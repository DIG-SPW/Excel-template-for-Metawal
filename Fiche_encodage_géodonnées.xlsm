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D10F" lockStructure="1"/>
  <bookViews>
    <workbookView xWindow="-1530" yWindow="-270" windowWidth="19440" windowHeight="9780" tabRatio="874"/>
  </bookViews>
  <sheets>
    <sheet name="Accueil-Instructions" sheetId="6" r:id="rId1"/>
    <sheet name="Qualité_ressource" sheetId="9" state="hidden" r:id="rId2"/>
    <sheet name="thesauri_details" sheetId="13" state="hidden" r:id="rId3"/>
    <sheet name="thesauri" sheetId="7" state="hidden" r:id="rId4"/>
    <sheet name="Listes" sheetId="11" state="hidden" r:id="rId5"/>
    <sheet name="Sheet2" sheetId="15" state="hidden" r:id="rId6"/>
    <sheet name="Identification" sheetId="18" r:id="rId7"/>
    <sheet name="Description" sheetId="24" r:id="rId8"/>
    <sheet name="Contacts" sheetId="2" r:id="rId9"/>
    <sheet name="Accès et utilisation" sheetId="26" r:id="rId10"/>
    <sheet name="Distribution" sheetId="19" r:id="rId11"/>
    <sheet name="Qualité" sheetId="25" r:id="rId12"/>
    <sheet name="INSPIRE" sheetId="22" r:id="rId13"/>
    <sheet name="Plus d'info" sheetId="23" r:id="rId14"/>
    <sheet name="synthese" sheetId="17" state="hidden" r:id="rId15"/>
    <sheet name="Valeurs fixes" sheetId="3" state="hidden" r:id="rId16"/>
    <sheet name="Codelist_ISO" sheetId="16" state="hidden" r:id="rId17"/>
  </sheets>
  <definedNames>
    <definedName name="acces_limite">synthese!$A$120:$F$124</definedName>
    <definedName name="carte_statique">synthese!$A$127:$C$129</definedName>
    <definedName name="Champ">synthese!$A$58:$A$64</definedName>
    <definedName name="code_classification">Listes!$K$2:$K$6</definedName>
    <definedName name="Cond">synthese!$B$58:$B$64</definedName>
    <definedName name="Cond_utilisation">Listes!$T$2:$T$3</definedName>
    <definedName name="conditions_utilisations">synthese!$A$163:$F$170</definedName>
    <definedName name="conformance_pass">synthese!$A$53:$B$54</definedName>
    <definedName name="Contraintes_acces">Listes!$M$2:$M$9</definedName>
    <definedName name="denominator">synthese!$A$41:$B$42</definedName>
    <definedName name="Descri_ressource_en_ligne">Listes!$H$2:$H$12</definedName>
    <definedName name="Distance">synthese!$A$44:$B$45</definedName>
    <definedName name="Distributeurs">OFFSET(synthese!$C$58,,,COUNTIF(synthese!$C$58:$C$64,"&gt;&lt;"&amp;""))</definedName>
    <definedName name="Distribution_detail">synthese!#REF!</definedName>
    <definedName name="EPSG">synthese!$A$207:$B$208</definedName>
    <definedName name="Fonction_ressource_en_ligne">Listes!$I$2:$I$6</definedName>
    <definedName name="Format_distri">Listes!$E$2:$E$36</definedName>
    <definedName name="Format_vignette">Listes!$R$2:$R$5</definedName>
    <definedName name="Frequence_maintenance">Listes!$L$2:$L$13</definedName>
    <definedName name="full_online2">synthese!$A$186:$K$196</definedName>
    <definedName name="hierachy_level2">synthese!$A$50:$B$51</definedName>
    <definedName name="hierarchylevel">Listes!$O$2:$O$3</definedName>
    <definedName name="INSPIRE">synthese!$A$70:$E$104</definedName>
    <definedName name="INSPIREConf">Listes!$N$2:$N$4</definedName>
    <definedName name="ISO_Topic">synthese!$A$38:$B$39</definedName>
    <definedName name="keywords2">synthese!$A$26:$E$35</definedName>
    <definedName name="Langues">Codelist_ISO!$A$146:$A$147</definedName>
    <definedName name="Liste_DB">Listes!$Q$2:$Q$5</definedName>
    <definedName name="Local_Code">synthese!$A$181:$D$183</definedName>
    <definedName name="mediumNameCOde">Codelist_ISO!$A$150:$A$153</definedName>
    <definedName name="mesure_qualité">synthese!$A$131:$B$135</definedName>
    <definedName name="Methode_evaluation">Listes!$J$2:$J$4</definedName>
    <definedName name="mots_cles_tech_INFRASIG">Listes!$W$2:$W$3</definedName>
    <definedName name="offline">synthese!$A$108:$G$110</definedName>
    <definedName name="Offline_2">synthese!$A$198:$G$202</definedName>
    <definedName name="online_full">synthese!$A$112:$K$118</definedName>
    <definedName name="principal">synthese!$A$1:$BH$2</definedName>
    <definedName name="Protocol_distri">Listes!$G$2:$G$34</definedName>
    <definedName name="protocoles_contacts">Listes!$X$2:$X$5</definedName>
    <definedName name="pt_contact">synthese!$A$14:$O$21</definedName>
    <definedName name="Regime_acces">Listes!$S$2:$S$3</definedName>
    <definedName name="regime_acces_ressource">synthese!$A$148:$D$155</definedName>
    <definedName name="Repre_Spatial">Listes!$C$2:$C$7</definedName>
    <definedName name="Role">Listes!$A$2:$A$13</definedName>
    <definedName name="roles">Codelist_ISO!$A$3:$B$14</definedName>
    <definedName name="ScopeINSPIRE">synthese!$A$66:$B$67</definedName>
    <definedName name="Séparateur">Listes!$P$2</definedName>
    <definedName name="service_visusalisation">synthese!$A$158:$B$160</definedName>
    <definedName name="site_rapport">synthese!$A$137:$E$145</definedName>
    <definedName name="Statut">Listes!$B$2:$B$8</definedName>
    <definedName name="syst_coord">Codelist_ISO!$A$157:$A$159</definedName>
    <definedName name="Thèmes_GEMET">thesauri!$B$36:$B$76</definedName>
    <definedName name="Thèmes_GEMET_Concepts">thesauri!$B$124:$B$5332</definedName>
    <definedName name="Thèmes_Géoportail">thesauri!$B$77:$B$103</definedName>
    <definedName name="Thèmes_INSPIRE">thesauri!$B$2:$B$35</definedName>
    <definedName name="Thèmes_ISO19115">thesauri!$B$104:$B$123</definedName>
    <definedName name="Thesauri">thesauri_details!$B$3:$B$6</definedName>
    <definedName name="Traduction_Themes_ISO">Codelist_ISO!$A$108:$B$126</definedName>
    <definedName name="Type_mot_cle">Listes!$D$2:$D$6</definedName>
    <definedName name="type_ressource">Listes!$O$2:$O$6</definedName>
    <definedName name="uselimitations">synthese!$A$172:$A$178</definedName>
  </definedNames>
  <calcPr calcId="145621"/>
</workbook>
</file>

<file path=xl/calcChain.xml><?xml version="1.0" encoding="utf-8"?>
<calcChain xmlns="http://schemas.openxmlformats.org/spreadsheetml/2006/main">
  <c r="G202" i="17" l="1"/>
  <c r="F202" i="17"/>
  <c r="E202" i="17"/>
  <c r="D202" i="17"/>
  <c r="C202" i="17"/>
  <c r="B202" i="17"/>
  <c r="A202" i="17"/>
  <c r="G201" i="17"/>
  <c r="F201" i="17"/>
  <c r="E201" i="17"/>
  <c r="D201" i="17"/>
  <c r="C201" i="17"/>
  <c r="B201" i="17"/>
  <c r="A201" i="17"/>
  <c r="G200" i="17"/>
  <c r="F200" i="17"/>
  <c r="E200" i="17"/>
  <c r="D200" i="17"/>
  <c r="C200" i="17"/>
  <c r="B200" i="17"/>
  <c r="A200" i="17"/>
  <c r="G199" i="17"/>
  <c r="F199" i="17"/>
  <c r="E199" i="17"/>
  <c r="D199" i="17"/>
  <c r="C199" i="17"/>
  <c r="B199" i="17"/>
  <c r="A199" i="17"/>
  <c r="J196" i="17"/>
  <c r="I196" i="17"/>
  <c r="H196" i="17"/>
  <c r="G196" i="17"/>
  <c r="F196" i="17"/>
  <c r="E196" i="17"/>
  <c r="D196" i="17"/>
  <c r="C196" i="17"/>
  <c r="B196" i="17"/>
  <c r="A196" i="17"/>
  <c r="J195" i="17"/>
  <c r="I195" i="17"/>
  <c r="H195" i="17"/>
  <c r="G195" i="17"/>
  <c r="F195" i="17"/>
  <c r="E195" i="17"/>
  <c r="D191" i="17"/>
  <c r="D195" i="17"/>
  <c r="C195" i="17"/>
  <c r="B195" i="17"/>
  <c r="A195" i="17"/>
  <c r="J194" i="17"/>
  <c r="I194" i="17"/>
  <c r="H194" i="17"/>
  <c r="G194" i="17"/>
  <c r="F194" i="17"/>
  <c r="E194" i="17"/>
  <c r="D194" i="17"/>
  <c r="C194" i="17"/>
  <c r="B194" i="17"/>
  <c r="A194" i="17"/>
  <c r="J193" i="17"/>
  <c r="I193" i="17"/>
  <c r="H193" i="17"/>
  <c r="G193" i="17"/>
  <c r="F193" i="17"/>
  <c r="E193" i="17"/>
  <c r="D193" i="17"/>
  <c r="C193" i="17"/>
  <c r="B193" i="17"/>
  <c r="A193" i="17"/>
  <c r="J192" i="17"/>
  <c r="I192" i="17"/>
  <c r="H192" i="17"/>
  <c r="G192" i="17"/>
  <c r="F192" i="17"/>
  <c r="E192" i="17"/>
  <c r="D192" i="17"/>
  <c r="C192" i="17"/>
  <c r="B192" i="17"/>
  <c r="A192" i="17"/>
  <c r="J191" i="17"/>
  <c r="I191" i="17"/>
  <c r="H191" i="17"/>
  <c r="G191" i="17"/>
  <c r="F191" i="17"/>
  <c r="E191" i="17"/>
  <c r="C191" i="17"/>
  <c r="B191" i="17"/>
  <c r="A191" i="17" l="1"/>
  <c r="J190" i="17"/>
  <c r="I190" i="17"/>
  <c r="H190" i="17"/>
  <c r="G190" i="17"/>
  <c r="F190" i="17"/>
  <c r="E190" i="17"/>
  <c r="D190" i="17"/>
  <c r="C190" i="17"/>
  <c r="B190" i="17"/>
  <c r="A190" i="17"/>
  <c r="J189" i="17"/>
  <c r="I189" i="17"/>
  <c r="H189" i="17"/>
  <c r="G189" i="17"/>
  <c r="F189" i="17"/>
  <c r="E189" i="17"/>
  <c r="D189" i="17"/>
  <c r="C189" i="17"/>
  <c r="B189" i="17"/>
  <c r="A189" i="17"/>
  <c r="B39" i="17" l="1"/>
  <c r="J187" i="17" l="1"/>
  <c r="J188" i="17"/>
  <c r="K188" i="17"/>
  <c r="I188" i="17"/>
  <c r="H188" i="17"/>
  <c r="G188" i="17"/>
  <c r="F188" i="17"/>
  <c r="E188" i="17"/>
  <c r="D188" i="17"/>
  <c r="C188" i="17"/>
  <c r="B188" i="17"/>
  <c r="A188" i="17"/>
  <c r="K187" i="17"/>
  <c r="I187" i="17"/>
  <c r="H187" i="17"/>
  <c r="G187" i="17"/>
  <c r="F187" i="17"/>
  <c r="E187" i="17"/>
  <c r="D187" i="17"/>
  <c r="C187" i="17"/>
  <c r="B187" i="17"/>
  <c r="A187" i="17"/>
  <c r="AT2" i="17"/>
  <c r="AW2" i="17"/>
  <c r="AY2" i="17"/>
  <c r="AS2" i="17"/>
  <c r="V2" i="17" l="1"/>
  <c r="D183" i="17"/>
  <c r="C183" i="17"/>
  <c r="B183" i="17"/>
  <c r="B182" i="17"/>
  <c r="A178" i="17" l="1"/>
  <c r="A177" i="17"/>
  <c r="A176" i="17"/>
  <c r="A175" i="17"/>
  <c r="A174" i="17"/>
  <c r="A173" i="17"/>
  <c r="BH2" i="17"/>
  <c r="D169" i="17"/>
  <c r="D168" i="17"/>
  <c r="F167" i="17"/>
  <c r="D167" i="17"/>
  <c r="F166" i="17"/>
  <c r="D166" i="17"/>
  <c r="F164" i="17"/>
  <c r="D164" i="17"/>
  <c r="B160" i="17" l="1"/>
  <c r="B159" i="17"/>
  <c r="D155" i="17"/>
  <c r="D154" i="17"/>
  <c r="D153" i="17"/>
  <c r="A155" i="17"/>
  <c r="B155" i="17"/>
  <c r="B54" i="17" l="1"/>
  <c r="D110" i="17" l="1"/>
  <c r="D109" i="17"/>
  <c r="C34" i="17" l="1"/>
  <c r="C35" i="17" l="1"/>
  <c r="AL2" i="17" l="1"/>
  <c r="AM2" i="17"/>
  <c r="E145" i="17"/>
  <c r="D145" i="17"/>
  <c r="C145" i="17"/>
  <c r="B145" i="17"/>
  <c r="B144" i="17"/>
  <c r="A145" i="17"/>
  <c r="E144" i="17"/>
  <c r="D144" i="17"/>
  <c r="C144" i="17"/>
  <c r="A144" i="17"/>
  <c r="E142" i="17"/>
  <c r="E143" i="17"/>
  <c r="D143" i="17"/>
  <c r="C143" i="17"/>
  <c r="B143" i="17"/>
  <c r="A142" i="17"/>
  <c r="A143" i="17"/>
  <c r="D142" i="17"/>
  <c r="C142" i="17"/>
  <c r="B142" i="17"/>
  <c r="E141" i="17"/>
  <c r="D141" i="17"/>
  <c r="C141" i="17"/>
  <c r="B141" i="17"/>
  <c r="A141" i="17"/>
  <c r="E140" i="17"/>
  <c r="D140" i="17"/>
  <c r="C140" i="17"/>
  <c r="B140" i="17"/>
  <c r="A140" i="17"/>
  <c r="E139" i="17"/>
  <c r="D139" i="17"/>
  <c r="C139" i="17"/>
  <c r="B139" i="17"/>
  <c r="A139" i="17"/>
  <c r="E138" i="17"/>
  <c r="D138" i="17"/>
  <c r="C138" i="17"/>
  <c r="B138" i="17"/>
  <c r="A138" i="17"/>
  <c r="Z2" i="17"/>
  <c r="B133" i="17"/>
  <c r="B134" i="17"/>
  <c r="B135" i="17"/>
  <c r="B132" i="17"/>
  <c r="A133" i="17"/>
  <c r="A134" i="17"/>
  <c r="A135" i="17"/>
  <c r="A132" i="17"/>
  <c r="C129" i="17"/>
  <c r="B129" i="17"/>
  <c r="A129" i="17"/>
  <c r="C128" i="17"/>
  <c r="B128" i="17"/>
  <c r="A128" i="17"/>
  <c r="F124" i="17"/>
  <c r="E124" i="17"/>
  <c r="D124" i="17"/>
  <c r="C124" i="17"/>
  <c r="B124" i="17"/>
  <c r="A124" i="17"/>
  <c r="A123" i="17"/>
  <c r="F123" i="17"/>
  <c r="F122" i="17"/>
  <c r="E123" i="17"/>
  <c r="D123" i="17"/>
  <c r="C123" i="17"/>
  <c r="B123" i="17"/>
  <c r="F121" i="17"/>
  <c r="K118" i="17"/>
  <c r="K117" i="17"/>
  <c r="E122" i="17"/>
  <c r="D122" i="17"/>
  <c r="C122" i="17"/>
  <c r="B122" i="17"/>
  <c r="A122" i="17"/>
  <c r="E121" i="17"/>
  <c r="J118" i="17"/>
  <c r="D121" i="17"/>
  <c r="C121" i="17"/>
  <c r="B121" i="17"/>
  <c r="A121" i="17"/>
  <c r="A118" i="17"/>
  <c r="B118" i="17"/>
  <c r="C118" i="17"/>
  <c r="D118" i="17"/>
  <c r="E118" i="17"/>
  <c r="F118" i="17"/>
  <c r="G118" i="17"/>
  <c r="H118" i="17"/>
  <c r="I118" i="17"/>
  <c r="J117" i="17"/>
  <c r="I117" i="17"/>
  <c r="H117" i="17"/>
  <c r="G117" i="17"/>
  <c r="F117" i="17"/>
  <c r="E117" i="17"/>
  <c r="D117" i="17"/>
  <c r="C117" i="17"/>
  <c r="B117" i="17"/>
  <c r="A117" i="17"/>
  <c r="G110" i="17"/>
  <c r="G109" i="17"/>
  <c r="F110" i="17"/>
  <c r="E110" i="17"/>
  <c r="C110" i="17"/>
  <c r="B110" i="17"/>
  <c r="A110" i="17"/>
  <c r="B109" i="17"/>
  <c r="C109" i="17"/>
  <c r="E109" i="17"/>
  <c r="F109" i="17"/>
  <c r="A109" i="17"/>
  <c r="A116" i="17"/>
  <c r="B116" i="17"/>
  <c r="C116" i="17"/>
  <c r="D116" i="17"/>
  <c r="E116" i="17"/>
  <c r="F116" i="17"/>
  <c r="G116" i="17"/>
  <c r="H116" i="17"/>
  <c r="I116" i="17"/>
  <c r="J116" i="17"/>
  <c r="J115" i="17"/>
  <c r="J114" i="17"/>
  <c r="J113" i="17"/>
  <c r="I115" i="17"/>
  <c r="H115" i="17"/>
  <c r="G115" i="17"/>
  <c r="F115" i="17"/>
  <c r="E115" i="17"/>
  <c r="D115" i="17"/>
  <c r="C115" i="17"/>
  <c r="B115" i="17"/>
  <c r="A115" i="17"/>
  <c r="B114" i="17"/>
  <c r="C114" i="17"/>
  <c r="D114" i="17"/>
  <c r="E114" i="17"/>
  <c r="F114" i="17"/>
  <c r="G114" i="17"/>
  <c r="H114" i="17"/>
  <c r="I114" i="17"/>
  <c r="A114" i="17"/>
  <c r="O21" i="17"/>
  <c r="O20" i="17"/>
  <c r="O19" i="17"/>
  <c r="O18" i="17"/>
  <c r="B113" i="17"/>
  <c r="C113" i="17"/>
  <c r="E113" i="17"/>
  <c r="F113" i="17"/>
  <c r="G113" i="17"/>
  <c r="H113" i="17"/>
  <c r="I113" i="17"/>
  <c r="A113" i="17"/>
  <c r="A63" i="17"/>
  <c r="B2" i="17"/>
  <c r="C2" i="17"/>
  <c r="E2" i="17"/>
  <c r="F2" i="17"/>
  <c r="G2" i="17"/>
  <c r="H2" i="17"/>
  <c r="I2" i="17"/>
  <c r="J2" i="17"/>
  <c r="K2" i="17"/>
  <c r="L2" i="17"/>
  <c r="M2" i="17"/>
  <c r="N2" i="17"/>
  <c r="O2" i="17"/>
  <c r="P2" i="17"/>
  <c r="Q2" i="17"/>
  <c r="R2" i="17"/>
  <c r="S2" i="17"/>
  <c r="T2" i="17"/>
  <c r="U2" i="17"/>
  <c r="W2" i="17"/>
  <c r="X2" i="17"/>
  <c r="Y2" i="17"/>
  <c r="AA2" i="17"/>
  <c r="AB2" i="17"/>
  <c r="AC2" i="17"/>
  <c r="AD2" i="17"/>
  <c r="AE2" i="17"/>
  <c r="AF2" i="17"/>
  <c r="AG2" i="17"/>
  <c r="AH2" i="17"/>
  <c r="AI2" i="17"/>
  <c r="AJ2" i="17"/>
  <c r="AK2" i="17"/>
  <c r="AN2" i="17"/>
  <c r="AO2" i="17"/>
  <c r="AR2" i="17"/>
  <c r="AU2" i="17"/>
  <c r="AV2" i="17"/>
  <c r="AX2" i="17"/>
  <c r="AZ2" i="17"/>
  <c r="BA2" i="17"/>
  <c r="BB2" i="17"/>
  <c r="BC2" i="17"/>
  <c r="BD2" i="17"/>
  <c r="BE2" i="17"/>
  <c r="BG2" i="17"/>
  <c r="N21" i="17"/>
  <c r="M21" i="17"/>
  <c r="L21" i="17"/>
  <c r="K21" i="17"/>
  <c r="J21" i="17"/>
  <c r="I21" i="17"/>
  <c r="H21" i="17"/>
  <c r="G21" i="17"/>
  <c r="F21" i="17"/>
  <c r="E21" i="17"/>
  <c r="D21" i="17"/>
  <c r="C21" i="17"/>
  <c r="B21" i="17"/>
  <c r="A21" i="17"/>
  <c r="P21" i="17"/>
  <c r="N20" i="17"/>
  <c r="M20" i="17"/>
  <c r="L20" i="17"/>
  <c r="K20" i="17"/>
  <c r="J20" i="17"/>
  <c r="I20" i="17"/>
  <c r="H20" i="17"/>
  <c r="G20" i="17"/>
  <c r="F20" i="17"/>
  <c r="E20" i="17"/>
  <c r="D20" i="17"/>
  <c r="C20" i="17"/>
  <c r="B20" i="17"/>
  <c r="A20" i="17"/>
  <c r="P20" i="17"/>
  <c r="N19" i="17"/>
  <c r="M19" i="17"/>
  <c r="L19" i="17"/>
  <c r="K19" i="17"/>
  <c r="J19" i="17"/>
  <c r="I19" i="17"/>
  <c r="H19" i="17"/>
  <c r="G19" i="17"/>
  <c r="F19" i="17"/>
  <c r="E19" i="17"/>
  <c r="D19" i="17"/>
  <c r="C19" i="17"/>
  <c r="B19" i="17"/>
  <c r="A19" i="17"/>
  <c r="P19" i="17"/>
  <c r="N18" i="17"/>
  <c r="M18" i="17"/>
  <c r="L18" i="17"/>
  <c r="K18" i="17"/>
  <c r="J18" i="17"/>
  <c r="I18" i="17"/>
  <c r="H18" i="17"/>
  <c r="G18" i="17"/>
  <c r="F18" i="17"/>
  <c r="E18" i="17"/>
  <c r="D18" i="17"/>
  <c r="C18" i="17"/>
  <c r="B18" i="17"/>
  <c r="A18" i="17"/>
  <c r="P18" i="17"/>
  <c r="A16" i="17"/>
  <c r="O16" i="17"/>
  <c r="N16" i="17"/>
  <c r="M16" i="17"/>
  <c r="L16" i="17"/>
  <c r="K16" i="17"/>
  <c r="J16" i="17"/>
  <c r="I16" i="17"/>
  <c r="H16" i="17"/>
  <c r="G16" i="17"/>
  <c r="F16" i="17"/>
  <c r="E16" i="17"/>
  <c r="D16" i="17"/>
  <c r="C16" i="17"/>
  <c r="B16" i="17"/>
  <c r="A17" i="17"/>
  <c r="O17" i="17"/>
  <c r="O15" i="17"/>
  <c r="N17" i="17"/>
  <c r="M17" i="17"/>
  <c r="L17" i="17"/>
  <c r="K17" i="17"/>
  <c r="J17" i="17"/>
  <c r="I17" i="17"/>
  <c r="H17" i="17"/>
  <c r="G17" i="17"/>
  <c r="F17" i="17"/>
  <c r="E17" i="17"/>
  <c r="D17" i="17"/>
  <c r="C17" i="17"/>
  <c r="B17" i="17"/>
  <c r="N15" i="17"/>
  <c r="M15" i="17"/>
  <c r="L15" i="17"/>
  <c r="K15" i="17"/>
  <c r="J15" i="17"/>
  <c r="I15" i="17"/>
  <c r="H15" i="17"/>
  <c r="G15" i="17"/>
  <c r="F15" i="17"/>
  <c r="E15" i="17"/>
  <c r="D15" i="17"/>
  <c r="C15" i="17"/>
  <c r="B15" i="17"/>
  <c r="A15" i="17"/>
  <c r="C32" i="17"/>
  <c r="C33" i="17"/>
  <c r="C31" i="17"/>
  <c r="B64" i="17" l="1"/>
  <c r="B63" i="17"/>
  <c r="B62" i="17"/>
  <c r="B61" i="17"/>
  <c r="B60" i="17"/>
  <c r="B59" i="17"/>
  <c r="B58" i="17"/>
  <c r="A64" i="17" a="1"/>
  <c r="A64" i="17" s="1"/>
  <c r="A62" i="17" a="1"/>
  <c r="A62" i="17" s="1"/>
  <c r="A61" i="17" a="1"/>
  <c r="A61" i="17" s="1"/>
  <c r="A60" i="17" a="1"/>
  <c r="A60" i="17" s="1"/>
  <c r="A59" i="17" a="1"/>
  <c r="A59" i="17" s="1"/>
  <c r="A58" i="17" a="1"/>
  <c r="A58" i="17" s="1"/>
  <c r="C64" i="17" l="1" a="1"/>
  <c r="C64" i="17" s="1"/>
  <c r="C63" i="17" a="1"/>
  <c r="C63" i="17" s="1"/>
  <c r="C62" i="17" a="1"/>
  <c r="C61" i="17" a="1"/>
  <c r="C60" i="17" a="1"/>
  <c r="C59" i="17" a="1"/>
  <c r="C58" i="17" a="1"/>
  <c r="C59" i="17" l="1"/>
  <c r="C58" i="17"/>
  <c r="C60" i="17"/>
  <c r="C62" i="17"/>
  <c r="C61" i="17"/>
  <c r="D33" i="3" l="1"/>
  <c r="B42" i="17" l="1"/>
  <c r="B45" i="17"/>
  <c r="D19" i="3"/>
  <c r="D20" i="3" s="1"/>
  <c r="D4" i="3"/>
  <c r="AQ2" i="17" s="1"/>
  <c r="BF2" i="17" l="1"/>
  <c r="D3" i="3"/>
  <c r="AP2" i="17" s="1"/>
  <c r="B51" i="17" l="1"/>
  <c r="D2" i="17"/>
  <c r="C30" i="17"/>
  <c r="C29" i="17"/>
  <c r="C28" i="17"/>
</calcChain>
</file>

<file path=xl/comments1.xml><?xml version="1.0" encoding="utf-8"?>
<comments xmlns="http://schemas.openxmlformats.org/spreadsheetml/2006/main">
  <authors>
    <author>Francois Donnay</author>
  </authors>
  <commentList>
    <comment ref="G7" authorId="0">
      <text>
        <r>
          <rPr>
            <b/>
            <sz val="9"/>
            <color indexed="81"/>
            <rFont val="Tahoma"/>
            <family val="2"/>
          </rPr>
          <t>Francois Donnay:</t>
        </r>
        <r>
          <rPr>
            <sz val="9"/>
            <color indexed="81"/>
            <rFont val="Tahoma"/>
            <family val="2"/>
          </rPr>
          <t xml:space="preserve">
Liste déroulante des mots-clés</t>
        </r>
      </text>
    </comment>
    <comment ref="G8" authorId="0">
      <text>
        <r>
          <rPr>
            <b/>
            <sz val="9"/>
            <color indexed="81"/>
            <rFont val="Tahoma"/>
            <family val="2"/>
          </rPr>
          <t>Francois Donnay:</t>
        </r>
        <r>
          <rPr>
            <sz val="9"/>
            <color indexed="81"/>
            <rFont val="Tahoma"/>
            <family val="2"/>
          </rPr>
          <t xml:space="preserve">
Liste déroulante des thèmes ISO</t>
        </r>
      </text>
    </comment>
    <comment ref="G10" authorId="0">
      <text>
        <r>
          <rPr>
            <b/>
            <sz val="9"/>
            <color indexed="81"/>
            <rFont val="Tahoma"/>
            <family val="2"/>
          </rPr>
          <t>Francois Donnay:</t>
        </r>
        <r>
          <rPr>
            <sz val="9"/>
            <color indexed="81"/>
            <rFont val="Tahoma"/>
            <family val="2"/>
          </rPr>
          <t xml:space="preserve">
Liste déroulante des mots-clés</t>
        </r>
      </text>
    </comment>
    <comment ref="G11" authorId="0">
      <text>
        <r>
          <rPr>
            <b/>
            <sz val="9"/>
            <color indexed="81"/>
            <rFont val="Tahoma"/>
            <family val="2"/>
          </rPr>
          <t>Francois Donnay:</t>
        </r>
        <r>
          <rPr>
            <sz val="9"/>
            <color indexed="81"/>
            <rFont val="Tahoma"/>
            <family val="2"/>
          </rPr>
          <t xml:space="preserve">
Liste déroulante des mots-clés</t>
        </r>
      </text>
    </comment>
    <comment ref="G16" authorId="0">
      <text>
        <r>
          <rPr>
            <b/>
            <sz val="9"/>
            <color indexed="81"/>
            <rFont val="Tahoma"/>
            <family val="2"/>
          </rPr>
          <t>Francois Donnay:</t>
        </r>
        <r>
          <rPr>
            <sz val="9"/>
            <color indexed="81"/>
            <rFont val="Tahoma"/>
            <family val="2"/>
          </rPr>
          <t xml:space="preserve">
Liste déroulante du thésaurus InfraSIG</t>
        </r>
      </text>
    </comment>
    <comment ref="G21" authorId="0">
      <text>
        <r>
          <rPr>
            <b/>
            <sz val="9"/>
            <color indexed="81"/>
            <rFont val="Tahoma"/>
            <family val="2"/>
          </rPr>
          <t>Francois Donnay:</t>
        </r>
        <r>
          <rPr>
            <sz val="9"/>
            <color indexed="81"/>
            <rFont val="Tahoma"/>
            <family val="2"/>
          </rPr>
          <t xml:space="preserve">
Liste déroulante des langues</t>
        </r>
      </text>
    </comment>
    <comment ref="G23" authorId="0">
      <text>
        <r>
          <rPr>
            <b/>
            <sz val="9"/>
            <color indexed="81"/>
            <rFont val="Tahoma"/>
            <family val="2"/>
          </rPr>
          <t>Francois Donnay:</t>
        </r>
        <r>
          <rPr>
            <sz val="9"/>
            <color indexed="81"/>
            <rFont val="Tahoma"/>
            <family val="2"/>
          </rPr>
          <t xml:space="preserve">
Liste déroulante des systèmes de référence spatiale</t>
        </r>
      </text>
    </comment>
    <comment ref="G34" authorId="0">
      <text>
        <r>
          <rPr>
            <b/>
            <sz val="9"/>
            <color indexed="81"/>
            <rFont val="Tahoma"/>
            <family val="2"/>
          </rPr>
          <t>Francois Donnay:</t>
        </r>
        <r>
          <rPr>
            <sz val="9"/>
            <color indexed="81"/>
            <rFont val="Tahoma"/>
            <family val="2"/>
          </rPr>
          <t xml:space="preserve">
Liste déroulante des types</t>
        </r>
      </text>
    </comment>
    <comment ref="G39" authorId="0">
      <text>
        <r>
          <rPr>
            <b/>
            <sz val="9"/>
            <color indexed="81"/>
            <rFont val="Tahoma"/>
            <family val="2"/>
          </rPr>
          <t>Francois Donnay:</t>
        </r>
        <r>
          <rPr>
            <sz val="9"/>
            <color indexed="81"/>
            <rFont val="Tahoma"/>
            <family val="2"/>
          </rPr>
          <t xml:space="preserve">
Liste déroulante des fréquences de maintenance.</t>
        </r>
      </text>
    </comment>
    <comment ref="G41" authorId="0">
      <text>
        <r>
          <rPr>
            <b/>
            <sz val="9"/>
            <color indexed="81"/>
            <rFont val="Tahoma"/>
            <family val="2"/>
          </rPr>
          <t>Francois Donnay:</t>
        </r>
        <r>
          <rPr>
            <sz val="9"/>
            <color indexed="81"/>
            <rFont val="Tahoma"/>
            <family val="2"/>
          </rPr>
          <t xml:space="preserve">
Liste déroulante des états de la ressource
</t>
        </r>
      </text>
    </comment>
  </commentList>
</comments>
</file>

<file path=xl/comments2.xml><?xml version="1.0" encoding="utf-8"?>
<comments xmlns="http://schemas.openxmlformats.org/spreadsheetml/2006/main">
  <authors>
    <author>Francois Donnay</author>
  </authors>
  <commentList>
    <comment ref="E3" authorId="0">
      <text>
        <r>
          <rPr>
            <b/>
            <sz val="9"/>
            <color indexed="81"/>
            <rFont val="Tahoma"/>
            <family val="2"/>
          </rPr>
          <t>Francois Donnay:</t>
        </r>
        <r>
          <rPr>
            <sz val="9"/>
            <color indexed="81"/>
            <rFont val="Tahoma"/>
            <family val="2"/>
          </rPr>
          <t xml:space="preserve">
Liste déroulante des rôles</t>
        </r>
      </text>
    </comment>
    <comment ref="F3" authorId="0">
      <text>
        <r>
          <rPr>
            <b/>
            <sz val="9"/>
            <color indexed="81"/>
            <rFont val="Tahoma"/>
            <family val="2"/>
          </rPr>
          <t>Francois Donnay:</t>
        </r>
        <r>
          <rPr>
            <sz val="9"/>
            <color indexed="81"/>
            <rFont val="Tahoma"/>
            <family val="2"/>
          </rPr>
          <t xml:space="preserve">
Liste déroulante des rôles</t>
        </r>
      </text>
    </comment>
    <comment ref="G3" authorId="0">
      <text>
        <r>
          <rPr>
            <b/>
            <sz val="9"/>
            <color indexed="81"/>
            <rFont val="Tahoma"/>
            <charset val="1"/>
          </rPr>
          <t>Francois Donnay:</t>
        </r>
        <r>
          <rPr>
            <sz val="9"/>
            <color indexed="81"/>
            <rFont val="Tahoma"/>
            <charset val="1"/>
          </rPr>
          <t xml:space="preserve">
Liste déroulante des rôles</t>
        </r>
      </text>
    </comment>
    <comment ref="H3" authorId="0">
      <text>
        <r>
          <rPr>
            <b/>
            <sz val="9"/>
            <color indexed="81"/>
            <rFont val="Tahoma"/>
            <family val="2"/>
          </rPr>
          <t>Francois Donnay:</t>
        </r>
        <r>
          <rPr>
            <sz val="9"/>
            <color indexed="81"/>
            <rFont val="Tahoma"/>
            <family val="2"/>
          </rPr>
          <t xml:space="preserve">
Liste déroulante des rôles</t>
        </r>
      </text>
    </comment>
    <comment ref="I3" authorId="0">
      <text>
        <r>
          <rPr>
            <b/>
            <sz val="9"/>
            <color indexed="81"/>
            <rFont val="Tahoma"/>
            <family val="2"/>
          </rPr>
          <t>Francois Donnay:</t>
        </r>
        <r>
          <rPr>
            <sz val="9"/>
            <color indexed="81"/>
            <rFont val="Tahoma"/>
            <family val="2"/>
          </rPr>
          <t xml:space="preserve">
Liste déroulante des rôles</t>
        </r>
      </text>
    </comment>
    <comment ref="J3" authorId="0">
      <text>
        <r>
          <rPr>
            <b/>
            <sz val="9"/>
            <color indexed="81"/>
            <rFont val="Tahoma"/>
            <family val="2"/>
          </rPr>
          <t>Francois Donnay:</t>
        </r>
        <r>
          <rPr>
            <sz val="9"/>
            <color indexed="81"/>
            <rFont val="Tahoma"/>
            <family val="2"/>
          </rPr>
          <t xml:space="preserve">
Liste déroulante des rôles</t>
        </r>
      </text>
    </comment>
    <comment ref="K3" authorId="0">
      <text>
        <r>
          <rPr>
            <b/>
            <sz val="9"/>
            <color indexed="81"/>
            <rFont val="Tahoma"/>
            <family val="2"/>
          </rPr>
          <t>Francois Donnay:</t>
        </r>
        <r>
          <rPr>
            <sz val="9"/>
            <color indexed="81"/>
            <rFont val="Tahoma"/>
            <family val="2"/>
          </rPr>
          <t xml:space="preserve">
Liste déroulante des rôles</t>
        </r>
      </text>
    </comment>
    <comment ref="E14" authorId="0">
      <text>
        <r>
          <rPr>
            <b/>
            <sz val="9"/>
            <color indexed="81"/>
            <rFont val="Tahoma"/>
            <family val="2"/>
          </rPr>
          <t>Francois Donnay:</t>
        </r>
        <r>
          <rPr>
            <sz val="9"/>
            <color indexed="81"/>
            <rFont val="Tahoma"/>
            <family val="2"/>
          </rPr>
          <t xml:space="preserve">
Liste déroulante des protocoles de distribution</t>
        </r>
      </text>
    </comment>
    <comment ref="F14" authorId="0">
      <text>
        <r>
          <rPr>
            <b/>
            <sz val="9"/>
            <color indexed="81"/>
            <rFont val="Tahoma"/>
            <family val="2"/>
          </rPr>
          <t>Francois Donnay:</t>
        </r>
        <r>
          <rPr>
            <sz val="9"/>
            <color indexed="81"/>
            <rFont val="Tahoma"/>
            <family val="2"/>
          </rPr>
          <t xml:space="preserve">
Liste déroulante des protocoles de distribution</t>
        </r>
      </text>
    </comment>
    <comment ref="G14" authorId="0">
      <text>
        <r>
          <rPr>
            <b/>
            <sz val="9"/>
            <color indexed="81"/>
            <rFont val="Tahoma"/>
            <family val="2"/>
          </rPr>
          <t>Francois Donnay:</t>
        </r>
        <r>
          <rPr>
            <sz val="9"/>
            <color indexed="81"/>
            <rFont val="Tahoma"/>
            <family val="2"/>
          </rPr>
          <t xml:space="preserve">
Liste déroulante des protocoles de distribution</t>
        </r>
      </text>
    </comment>
    <comment ref="H14" authorId="0">
      <text>
        <r>
          <rPr>
            <b/>
            <sz val="9"/>
            <color indexed="81"/>
            <rFont val="Tahoma"/>
            <family val="2"/>
          </rPr>
          <t>Francois Donnay:</t>
        </r>
        <r>
          <rPr>
            <sz val="9"/>
            <color indexed="81"/>
            <rFont val="Tahoma"/>
            <family val="2"/>
          </rPr>
          <t xml:space="preserve">
Liste déroulante des protocoles de distribution</t>
        </r>
      </text>
    </comment>
    <comment ref="I14" authorId="0">
      <text>
        <r>
          <rPr>
            <b/>
            <sz val="9"/>
            <color indexed="81"/>
            <rFont val="Tahoma"/>
            <family val="2"/>
          </rPr>
          <t>Francois Donnay:</t>
        </r>
        <r>
          <rPr>
            <sz val="9"/>
            <color indexed="81"/>
            <rFont val="Tahoma"/>
            <family val="2"/>
          </rPr>
          <t xml:space="preserve">
Liste déroulante des protocoles de distribution</t>
        </r>
      </text>
    </comment>
    <comment ref="J14" authorId="0">
      <text>
        <r>
          <rPr>
            <b/>
            <sz val="9"/>
            <color indexed="81"/>
            <rFont val="Tahoma"/>
            <family val="2"/>
          </rPr>
          <t>Francois Donnay:</t>
        </r>
        <r>
          <rPr>
            <sz val="9"/>
            <color indexed="81"/>
            <rFont val="Tahoma"/>
            <family val="2"/>
          </rPr>
          <t xml:space="preserve">
Liste déroulante des protocoles de distribution</t>
        </r>
      </text>
    </comment>
    <comment ref="K14" authorId="0">
      <text>
        <r>
          <rPr>
            <b/>
            <sz val="9"/>
            <color indexed="81"/>
            <rFont val="Tahoma"/>
            <family val="2"/>
          </rPr>
          <t>Francois Donnay:</t>
        </r>
        <r>
          <rPr>
            <sz val="9"/>
            <color indexed="81"/>
            <rFont val="Tahoma"/>
            <family val="2"/>
          </rPr>
          <t xml:space="preserve">
Liste déroulante des protocoles de distribution</t>
        </r>
      </text>
    </comment>
    <comment ref="K16" authorId="0">
      <text>
        <r>
          <rPr>
            <b/>
            <sz val="9"/>
            <color indexed="81"/>
            <rFont val="Tahoma"/>
            <family val="2"/>
          </rPr>
          <t>Francois Donnay:</t>
        </r>
        <r>
          <rPr>
            <sz val="9"/>
            <color indexed="81"/>
            <rFont val="Tahoma"/>
            <family val="2"/>
          </rPr>
          <t xml:space="preserve">
Liste déroulante des protocoles de distribution</t>
        </r>
      </text>
    </comment>
    <comment ref="E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7"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3.xml><?xml version="1.0" encoding="utf-8"?>
<comments xmlns="http://schemas.openxmlformats.org/spreadsheetml/2006/main">
  <authors>
    <author>Francois Donnay</author>
  </authors>
  <commentList>
    <comment ref="E9" authorId="0">
      <text>
        <r>
          <rPr>
            <b/>
            <sz val="9"/>
            <color indexed="81"/>
            <rFont val="Tahoma"/>
            <family val="2"/>
          </rPr>
          <t>Francois Donnay:</t>
        </r>
        <r>
          <rPr>
            <sz val="9"/>
            <color indexed="81"/>
            <rFont val="Tahoma"/>
            <family val="2"/>
          </rPr>
          <t xml:space="preserve">
Liste déroulante des cas de figure</t>
        </r>
      </text>
    </comment>
    <comment ref="F13" authorId="0">
      <text>
        <r>
          <rPr>
            <b/>
            <sz val="9"/>
            <color indexed="81"/>
            <rFont val="Tahoma"/>
            <family val="2"/>
          </rPr>
          <t>Francois Donnay:</t>
        </r>
        <r>
          <rPr>
            <sz val="9"/>
            <color indexed="81"/>
            <rFont val="Tahoma"/>
            <family val="2"/>
          </rPr>
          <t xml:space="preserve">
Liste déroulante des classifications</t>
        </r>
      </text>
    </comment>
  </commentList>
</comments>
</file>

<file path=xl/comments4.xml><?xml version="1.0" encoding="utf-8"?>
<comments xmlns="http://schemas.openxmlformats.org/spreadsheetml/2006/main">
  <authors>
    <author>Francois Donnay</author>
  </authors>
  <commentList>
    <comment ref="F6" authorId="0">
      <text>
        <r>
          <rPr>
            <b/>
            <sz val="9"/>
            <color indexed="81"/>
            <rFont val="Tahoma"/>
            <family val="2"/>
          </rPr>
          <t>Francois Donnay:</t>
        </r>
        <r>
          <rPr>
            <sz val="9"/>
            <color indexed="81"/>
            <rFont val="Tahoma"/>
            <family val="2"/>
          </rPr>
          <t xml:space="preserve">
Liste déroulante des distributeurs insérés dans l'onglet contact</t>
        </r>
      </text>
    </comment>
    <comment ref="G6" authorId="0">
      <text>
        <r>
          <rPr>
            <b/>
            <sz val="9"/>
            <color indexed="81"/>
            <rFont val="Tahoma"/>
            <family val="2"/>
          </rPr>
          <t>Francois Donnay:</t>
        </r>
        <r>
          <rPr>
            <sz val="9"/>
            <color indexed="81"/>
            <rFont val="Tahoma"/>
            <family val="2"/>
          </rPr>
          <t xml:space="preserve">
Liste déroulante des distributeurs insérés dans l'onglet contact</t>
        </r>
      </text>
    </comment>
    <comment ref="H6" authorId="0">
      <text>
        <r>
          <rPr>
            <b/>
            <sz val="9"/>
            <color indexed="81"/>
            <rFont val="Tahoma"/>
            <family val="2"/>
          </rPr>
          <t>Francois Donnay:</t>
        </r>
        <r>
          <rPr>
            <sz val="9"/>
            <color indexed="81"/>
            <rFont val="Tahoma"/>
            <family val="2"/>
          </rPr>
          <t xml:space="preserve">
Liste déroulante des distributeurs insérés dans l'onglet contact</t>
        </r>
      </text>
    </comment>
    <comment ref="I6" authorId="0">
      <text>
        <r>
          <rPr>
            <b/>
            <sz val="9"/>
            <color indexed="81"/>
            <rFont val="Tahoma"/>
            <family val="2"/>
          </rPr>
          <t>Francois Donnay:</t>
        </r>
        <r>
          <rPr>
            <sz val="9"/>
            <color indexed="81"/>
            <rFont val="Tahoma"/>
            <family val="2"/>
          </rPr>
          <t xml:space="preserve">
Liste déroulante des distributeurs insérés dans l'onglet contact</t>
        </r>
      </text>
    </comment>
    <comment ref="J6" authorId="0">
      <text>
        <r>
          <rPr>
            <b/>
            <sz val="9"/>
            <color indexed="81"/>
            <rFont val="Tahoma"/>
            <family val="2"/>
          </rPr>
          <t>Francois Donnay:</t>
        </r>
        <r>
          <rPr>
            <sz val="9"/>
            <color indexed="81"/>
            <rFont val="Tahoma"/>
            <family val="2"/>
          </rPr>
          <t xml:space="preserve">
Liste déroulante des distributeurs insérés dans l'onglet contact</t>
        </r>
      </text>
    </comment>
    <comment ref="K6" authorId="0">
      <text>
        <r>
          <rPr>
            <b/>
            <sz val="9"/>
            <color indexed="81"/>
            <rFont val="Tahoma"/>
            <family val="2"/>
          </rPr>
          <t>Francois Donnay:</t>
        </r>
        <r>
          <rPr>
            <sz val="9"/>
            <color indexed="81"/>
            <rFont val="Tahoma"/>
            <family val="2"/>
          </rPr>
          <t xml:space="preserve">
Liste déroulante des distributeurs insérés dans l'onglet contact</t>
        </r>
      </text>
    </comment>
    <comment ref="F8" authorId="0">
      <text>
        <r>
          <rPr>
            <b/>
            <sz val="9"/>
            <color indexed="81"/>
            <rFont val="Tahoma"/>
            <family val="2"/>
          </rPr>
          <t>Francois Donnay:</t>
        </r>
        <r>
          <rPr>
            <sz val="9"/>
            <color indexed="81"/>
            <rFont val="Tahoma"/>
            <family val="2"/>
          </rPr>
          <t xml:space="preserve">
Liste déroulante des formats</t>
        </r>
      </text>
    </comment>
    <comment ref="G8" authorId="0">
      <text>
        <r>
          <rPr>
            <b/>
            <sz val="9"/>
            <color indexed="81"/>
            <rFont val="Tahoma"/>
            <family val="2"/>
          </rPr>
          <t>Francois Donnay:</t>
        </r>
        <r>
          <rPr>
            <sz val="9"/>
            <color indexed="81"/>
            <rFont val="Tahoma"/>
            <family val="2"/>
          </rPr>
          <t xml:space="preserve">
Liste déroulante des formats</t>
        </r>
      </text>
    </comment>
    <comment ref="H8" authorId="0">
      <text>
        <r>
          <rPr>
            <b/>
            <sz val="9"/>
            <color indexed="81"/>
            <rFont val="Tahoma"/>
            <family val="2"/>
          </rPr>
          <t>Francois Donnay:</t>
        </r>
        <r>
          <rPr>
            <sz val="9"/>
            <color indexed="81"/>
            <rFont val="Tahoma"/>
            <family val="2"/>
          </rPr>
          <t xml:space="preserve">
Liste déroulante des formats</t>
        </r>
      </text>
    </comment>
    <comment ref="I8" authorId="0">
      <text>
        <r>
          <rPr>
            <b/>
            <sz val="9"/>
            <color indexed="81"/>
            <rFont val="Tahoma"/>
            <family val="2"/>
          </rPr>
          <t>Francois Donnay:</t>
        </r>
        <r>
          <rPr>
            <sz val="9"/>
            <color indexed="81"/>
            <rFont val="Tahoma"/>
            <family val="2"/>
          </rPr>
          <t xml:space="preserve">
Liste déroulante des formats</t>
        </r>
      </text>
    </comment>
    <comment ref="J8" authorId="0">
      <text>
        <r>
          <rPr>
            <b/>
            <sz val="9"/>
            <color indexed="81"/>
            <rFont val="Tahoma"/>
            <family val="2"/>
          </rPr>
          <t>Francois Donnay:</t>
        </r>
        <r>
          <rPr>
            <sz val="9"/>
            <color indexed="81"/>
            <rFont val="Tahoma"/>
            <family val="2"/>
          </rPr>
          <t xml:space="preserve">
Liste déroulante des formats</t>
        </r>
      </text>
    </comment>
    <comment ref="K8" authorId="0">
      <text>
        <r>
          <rPr>
            <b/>
            <sz val="9"/>
            <color indexed="81"/>
            <rFont val="Tahoma"/>
            <family val="2"/>
          </rPr>
          <t>Francois Donnay:</t>
        </r>
        <r>
          <rPr>
            <sz val="9"/>
            <color indexed="81"/>
            <rFont val="Tahoma"/>
            <family val="2"/>
          </rPr>
          <t xml:space="preserve">
Liste déroulante des formats</t>
        </r>
      </text>
    </comment>
    <comment ref="F12" authorId="0">
      <text>
        <r>
          <rPr>
            <b/>
            <sz val="9"/>
            <color indexed="81"/>
            <rFont val="Tahoma"/>
            <family val="2"/>
          </rPr>
          <t>Francois Donnay:</t>
        </r>
        <r>
          <rPr>
            <sz val="9"/>
            <color indexed="81"/>
            <rFont val="Tahoma"/>
            <family val="2"/>
          </rPr>
          <t xml:space="preserve">
Liste déroulante des protocoles</t>
        </r>
      </text>
    </comment>
    <comment ref="G12" authorId="0">
      <text>
        <r>
          <rPr>
            <b/>
            <sz val="9"/>
            <color indexed="81"/>
            <rFont val="Tahoma"/>
            <family val="2"/>
          </rPr>
          <t>Francois Donnay:</t>
        </r>
        <r>
          <rPr>
            <sz val="9"/>
            <color indexed="81"/>
            <rFont val="Tahoma"/>
            <family val="2"/>
          </rPr>
          <t xml:space="preserve">
Liste déroulante des protocoles</t>
        </r>
      </text>
    </comment>
    <comment ref="H12" authorId="0">
      <text>
        <r>
          <rPr>
            <b/>
            <sz val="9"/>
            <color indexed="81"/>
            <rFont val="Tahoma"/>
            <family val="2"/>
          </rPr>
          <t>Francois Donnay:</t>
        </r>
        <r>
          <rPr>
            <sz val="9"/>
            <color indexed="81"/>
            <rFont val="Tahoma"/>
            <family val="2"/>
          </rPr>
          <t xml:space="preserve">
Liste déroulante des protocoles</t>
        </r>
      </text>
    </comment>
    <comment ref="I12" authorId="0">
      <text>
        <r>
          <rPr>
            <b/>
            <sz val="9"/>
            <color indexed="81"/>
            <rFont val="Tahoma"/>
            <family val="2"/>
          </rPr>
          <t>Francois Donnay:</t>
        </r>
        <r>
          <rPr>
            <sz val="9"/>
            <color indexed="81"/>
            <rFont val="Tahoma"/>
            <family val="2"/>
          </rPr>
          <t xml:space="preserve">
Liste déroulante des protocoles</t>
        </r>
      </text>
    </comment>
    <comment ref="J12" authorId="0">
      <text>
        <r>
          <rPr>
            <b/>
            <sz val="9"/>
            <color indexed="81"/>
            <rFont val="Tahoma"/>
            <family val="2"/>
          </rPr>
          <t>Francois Donnay:</t>
        </r>
        <r>
          <rPr>
            <sz val="9"/>
            <color indexed="81"/>
            <rFont val="Tahoma"/>
            <family val="2"/>
          </rPr>
          <t xml:space="preserve">
Liste déroulante des protocoles</t>
        </r>
      </text>
    </comment>
    <comment ref="K12" authorId="0">
      <text>
        <r>
          <rPr>
            <b/>
            <sz val="9"/>
            <color indexed="81"/>
            <rFont val="Tahoma"/>
            <family val="2"/>
          </rPr>
          <t>Francois Donnay:</t>
        </r>
        <r>
          <rPr>
            <sz val="9"/>
            <color indexed="81"/>
            <rFont val="Tahoma"/>
            <family val="2"/>
          </rPr>
          <t xml:space="preserve">
Liste déroulante des protocoles</t>
        </r>
      </text>
    </comment>
    <comment ref="F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9" authorId="0">
      <text>
        <r>
          <rPr>
            <b/>
            <sz val="9"/>
            <color indexed="81"/>
            <rFont val="Tahoma"/>
            <family val="2"/>
          </rPr>
          <t>Francois Donnay:</t>
        </r>
        <r>
          <rPr>
            <sz val="9"/>
            <color indexed="81"/>
            <rFont val="Tahoma"/>
            <family val="2"/>
          </rPr>
          <t xml:space="preserve">
Liste déroulante des distributeurs insérés dans l'onglet contact</t>
        </r>
      </text>
    </comment>
    <comment ref="G19" authorId="0">
      <text>
        <r>
          <rPr>
            <b/>
            <sz val="9"/>
            <color indexed="81"/>
            <rFont val="Tahoma"/>
            <family val="2"/>
          </rPr>
          <t>Francois Donnay:</t>
        </r>
        <r>
          <rPr>
            <sz val="9"/>
            <color indexed="81"/>
            <rFont val="Tahoma"/>
            <family val="2"/>
          </rPr>
          <t xml:space="preserve">
Liste déroulante des distributeurs insérés dans l'onglet contact</t>
        </r>
      </text>
    </comment>
    <comment ref="H19" authorId="0">
      <text>
        <r>
          <rPr>
            <b/>
            <sz val="9"/>
            <color indexed="81"/>
            <rFont val="Tahoma"/>
            <family val="2"/>
          </rPr>
          <t>Francois Donnay:</t>
        </r>
        <r>
          <rPr>
            <sz val="9"/>
            <color indexed="81"/>
            <rFont val="Tahoma"/>
            <family val="2"/>
          </rPr>
          <t xml:space="preserve">
Liste déroulante des distributeurs insérés dans l'onglet contact</t>
        </r>
      </text>
    </comment>
    <comment ref="I19" authorId="0">
      <text>
        <r>
          <rPr>
            <b/>
            <sz val="9"/>
            <color indexed="81"/>
            <rFont val="Tahoma"/>
            <family val="2"/>
          </rPr>
          <t>Francois Donnay:</t>
        </r>
        <r>
          <rPr>
            <sz val="9"/>
            <color indexed="81"/>
            <rFont val="Tahoma"/>
            <family val="2"/>
          </rPr>
          <t xml:space="preserve">
Liste déroulante des distributeurs insérés dans l'onglet contact</t>
        </r>
      </text>
    </comment>
    <comment ref="J19" authorId="0">
      <text>
        <r>
          <rPr>
            <b/>
            <sz val="9"/>
            <color indexed="81"/>
            <rFont val="Tahoma"/>
            <family val="2"/>
          </rPr>
          <t>Francois Donnay:</t>
        </r>
        <r>
          <rPr>
            <sz val="9"/>
            <color indexed="81"/>
            <rFont val="Tahoma"/>
            <family val="2"/>
          </rPr>
          <t xml:space="preserve">
Liste déroulante des distributeurs insérés dans l'onglet contact</t>
        </r>
      </text>
    </comment>
    <comment ref="K19" authorId="0">
      <text>
        <r>
          <rPr>
            <b/>
            <sz val="9"/>
            <color indexed="81"/>
            <rFont val="Tahoma"/>
            <family val="2"/>
          </rPr>
          <t>Francois Donnay:</t>
        </r>
        <r>
          <rPr>
            <sz val="9"/>
            <color indexed="81"/>
            <rFont val="Tahoma"/>
            <family val="2"/>
          </rPr>
          <t xml:space="preserve">
Liste déroulante des distributeurs insérés dans l'onglet contact</t>
        </r>
      </text>
    </comment>
    <comment ref="F21" authorId="0">
      <text>
        <r>
          <rPr>
            <b/>
            <sz val="9"/>
            <color indexed="81"/>
            <rFont val="Tahoma"/>
            <family val="2"/>
          </rPr>
          <t>Francois Donnay:</t>
        </r>
        <r>
          <rPr>
            <sz val="9"/>
            <color indexed="81"/>
            <rFont val="Tahoma"/>
            <family val="2"/>
          </rPr>
          <t xml:space="preserve">
Liste déroulante des formats</t>
        </r>
      </text>
    </comment>
    <comment ref="G21" authorId="0">
      <text>
        <r>
          <rPr>
            <b/>
            <sz val="9"/>
            <color indexed="81"/>
            <rFont val="Tahoma"/>
            <family val="2"/>
          </rPr>
          <t>Francois Donnay:</t>
        </r>
        <r>
          <rPr>
            <sz val="9"/>
            <color indexed="81"/>
            <rFont val="Tahoma"/>
            <family val="2"/>
          </rPr>
          <t xml:space="preserve">
Liste déroulante des formats</t>
        </r>
      </text>
    </comment>
    <comment ref="H21" authorId="0">
      <text>
        <r>
          <rPr>
            <b/>
            <sz val="9"/>
            <color indexed="81"/>
            <rFont val="Tahoma"/>
            <family val="2"/>
          </rPr>
          <t>Francois Donnay:</t>
        </r>
        <r>
          <rPr>
            <sz val="9"/>
            <color indexed="81"/>
            <rFont val="Tahoma"/>
            <family val="2"/>
          </rPr>
          <t xml:space="preserve">
Liste déroulante des formats</t>
        </r>
      </text>
    </comment>
    <comment ref="I21" authorId="0">
      <text>
        <r>
          <rPr>
            <b/>
            <sz val="9"/>
            <color indexed="81"/>
            <rFont val="Tahoma"/>
            <family val="2"/>
          </rPr>
          <t>Francois Donnay:</t>
        </r>
        <r>
          <rPr>
            <sz val="9"/>
            <color indexed="81"/>
            <rFont val="Tahoma"/>
            <family val="2"/>
          </rPr>
          <t xml:space="preserve">
Liste déroulante des formats</t>
        </r>
      </text>
    </comment>
    <comment ref="J21" authorId="0">
      <text>
        <r>
          <rPr>
            <b/>
            <sz val="9"/>
            <color indexed="81"/>
            <rFont val="Tahoma"/>
            <family val="2"/>
          </rPr>
          <t>Francois Donnay:</t>
        </r>
        <r>
          <rPr>
            <sz val="9"/>
            <color indexed="81"/>
            <rFont val="Tahoma"/>
            <family val="2"/>
          </rPr>
          <t xml:space="preserve">
Liste déroulante des formats</t>
        </r>
      </text>
    </comment>
    <comment ref="K21" authorId="0">
      <text>
        <r>
          <rPr>
            <b/>
            <sz val="9"/>
            <color indexed="81"/>
            <rFont val="Tahoma"/>
            <family val="2"/>
          </rPr>
          <t>Francois Donnay:</t>
        </r>
        <r>
          <rPr>
            <sz val="9"/>
            <color indexed="81"/>
            <rFont val="Tahoma"/>
            <family val="2"/>
          </rPr>
          <t xml:space="preserve">
Liste déroulante des formats</t>
        </r>
      </text>
    </comment>
    <comment ref="F25" authorId="0">
      <text>
        <r>
          <rPr>
            <b/>
            <sz val="9"/>
            <color indexed="81"/>
            <rFont val="Tahoma"/>
            <family val="2"/>
          </rPr>
          <t>Francois Donnay:</t>
        </r>
        <r>
          <rPr>
            <sz val="9"/>
            <color indexed="81"/>
            <rFont val="Tahoma"/>
            <family val="2"/>
          </rPr>
          <t xml:space="preserve">
Liste déroulante des protocoles</t>
        </r>
      </text>
    </comment>
    <comment ref="G25" authorId="0">
      <text>
        <r>
          <rPr>
            <b/>
            <sz val="9"/>
            <color indexed="81"/>
            <rFont val="Tahoma"/>
            <family val="2"/>
          </rPr>
          <t>Francois Donnay:</t>
        </r>
        <r>
          <rPr>
            <sz val="9"/>
            <color indexed="81"/>
            <rFont val="Tahoma"/>
            <family val="2"/>
          </rPr>
          <t xml:space="preserve">
Liste déroulante des protocoles</t>
        </r>
      </text>
    </comment>
    <comment ref="H25" authorId="0">
      <text>
        <r>
          <rPr>
            <b/>
            <sz val="9"/>
            <color indexed="81"/>
            <rFont val="Tahoma"/>
            <family val="2"/>
          </rPr>
          <t>Francois Donnay:</t>
        </r>
        <r>
          <rPr>
            <sz val="9"/>
            <color indexed="81"/>
            <rFont val="Tahoma"/>
            <family val="2"/>
          </rPr>
          <t xml:space="preserve">
Liste déroulante des protocoles</t>
        </r>
      </text>
    </comment>
    <comment ref="I25" authorId="0">
      <text>
        <r>
          <rPr>
            <b/>
            <sz val="9"/>
            <color indexed="81"/>
            <rFont val="Tahoma"/>
            <family val="2"/>
          </rPr>
          <t>Francois Donnay:</t>
        </r>
        <r>
          <rPr>
            <sz val="9"/>
            <color indexed="81"/>
            <rFont val="Tahoma"/>
            <family val="2"/>
          </rPr>
          <t xml:space="preserve">
Liste déroulante des protocoles</t>
        </r>
      </text>
    </comment>
    <comment ref="J25" authorId="0">
      <text>
        <r>
          <rPr>
            <b/>
            <sz val="9"/>
            <color indexed="81"/>
            <rFont val="Tahoma"/>
            <family val="2"/>
          </rPr>
          <t>Francois Donnay:</t>
        </r>
        <r>
          <rPr>
            <sz val="9"/>
            <color indexed="81"/>
            <rFont val="Tahoma"/>
            <family val="2"/>
          </rPr>
          <t xml:space="preserve">
Liste déroulante des protocoles</t>
        </r>
      </text>
    </comment>
    <comment ref="K25" authorId="0">
      <text>
        <r>
          <rPr>
            <b/>
            <sz val="9"/>
            <color indexed="81"/>
            <rFont val="Tahoma"/>
            <family val="2"/>
          </rPr>
          <t>Francois Donnay:</t>
        </r>
        <r>
          <rPr>
            <sz val="9"/>
            <color indexed="81"/>
            <rFont val="Tahoma"/>
            <family val="2"/>
          </rPr>
          <t xml:space="preserve">
Liste déroulante des protocoles</t>
        </r>
      </text>
    </comment>
    <comment ref="F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32" authorId="0">
      <text>
        <r>
          <rPr>
            <b/>
            <sz val="9"/>
            <color indexed="81"/>
            <rFont val="Tahoma"/>
            <family val="2"/>
          </rPr>
          <t>Francois Donnay:</t>
        </r>
        <r>
          <rPr>
            <sz val="9"/>
            <color indexed="81"/>
            <rFont val="Tahoma"/>
            <family val="2"/>
          </rPr>
          <t xml:space="preserve">
Liste déroulante des distributeurs insérés dans l'onglet contact</t>
        </r>
      </text>
    </comment>
    <comment ref="G32" authorId="0">
      <text>
        <r>
          <rPr>
            <b/>
            <sz val="9"/>
            <color indexed="81"/>
            <rFont val="Tahoma"/>
            <family val="2"/>
          </rPr>
          <t>Francois Donnay:</t>
        </r>
        <r>
          <rPr>
            <sz val="9"/>
            <color indexed="81"/>
            <rFont val="Tahoma"/>
            <family val="2"/>
          </rPr>
          <t xml:space="preserve">
Liste déroulante des distributeurs insérés dans l'onglet contact</t>
        </r>
      </text>
    </comment>
    <comment ref="H32" authorId="0">
      <text>
        <r>
          <rPr>
            <b/>
            <sz val="9"/>
            <color indexed="81"/>
            <rFont val="Tahoma"/>
            <family val="2"/>
          </rPr>
          <t>Francois Donnay:</t>
        </r>
        <r>
          <rPr>
            <sz val="9"/>
            <color indexed="81"/>
            <rFont val="Tahoma"/>
            <family val="2"/>
          </rPr>
          <t xml:space="preserve">
Liste déroulante des distributeurs insérés dans l'onglet contact</t>
        </r>
      </text>
    </comment>
    <comment ref="I32" authorId="0">
      <text>
        <r>
          <rPr>
            <b/>
            <sz val="9"/>
            <color indexed="81"/>
            <rFont val="Tahoma"/>
            <family val="2"/>
          </rPr>
          <t>Francois Donnay:</t>
        </r>
        <r>
          <rPr>
            <sz val="9"/>
            <color indexed="81"/>
            <rFont val="Tahoma"/>
            <family val="2"/>
          </rPr>
          <t xml:space="preserve">
Liste déroulante des distributeurs insérés dans l'onglet contact</t>
        </r>
      </text>
    </comment>
    <comment ref="J32" authorId="0">
      <text>
        <r>
          <rPr>
            <b/>
            <sz val="9"/>
            <color indexed="81"/>
            <rFont val="Tahoma"/>
            <family val="2"/>
          </rPr>
          <t>Francois Donnay:</t>
        </r>
        <r>
          <rPr>
            <sz val="9"/>
            <color indexed="81"/>
            <rFont val="Tahoma"/>
            <family val="2"/>
          </rPr>
          <t xml:space="preserve">
Liste déroulante des distributeurs insérés dans l'onglet contact</t>
        </r>
      </text>
    </comment>
    <comment ref="K32" authorId="0">
      <text>
        <r>
          <rPr>
            <b/>
            <sz val="9"/>
            <color indexed="81"/>
            <rFont val="Tahoma"/>
            <family val="2"/>
          </rPr>
          <t>Francois Donnay:</t>
        </r>
        <r>
          <rPr>
            <sz val="9"/>
            <color indexed="81"/>
            <rFont val="Tahoma"/>
            <family val="2"/>
          </rPr>
          <t xml:space="preserve">
Liste déroulante des distributeurs insérés dans l'onglet contact</t>
        </r>
      </text>
    </comment>
    <comment ref="F34" authorId="0">
      <text>
        <r>
          <rPr>
            <b/>
            <sz val="9"/>
            <color indexed="81"/>
            <rFont val="Tahoma"/>
            <family val="2"/>
          </rPr>
          <t>Francois Donnay:</t>
        </r>
        <r>
          <rPr>
            <sz val="9"/>
            <color indexed="81"/>
            <rFont val="Tahoma"/>
            <family val="2"/>
          </rPr>
          <t xml:space="preserve">
Liste déroulante des formats</t>
        </r>
      </text>
    </comment>
    <comment ref="G34" authorId="0">
      <text>
        <r>
          <rPr>
            <b/>
            <sz val="9"/>
            <color indexed="81"/>
            <rFont val="Tahoma"/>
            <family val="2"/>
          </rPr>
          <t>Francois Donnay:</t>
        </r>
        <r>
          <rPr>
            <sz val="9"/>
            <color indexed="81"/>
            <rFont val="Tahoma"/>
            <family val="2"/>
          </rPr>
          <t xml:space="preserve">
Liste déroulante des formats</t>
        </r>
      </text>
    </comment>
    <comment ref="H34" authorId="0">
      <text>
        <r>
          <rPr>
            <b/>
            <sz val="9"/>
            <color indexed="81"/>
            <rFont val="Tahoma"/>
            <family val="2"/>
          </rPr>
          <t>Francois Donnay:</t>
        </r>
        <r>
          <rPr>
            <sz val="9"/>
            <color indexed="81"/>
            <rFont val="Tahoma"/>
            <family val="2"/>
          </rPr>
          <t xml:space="preserve">
Liste déroulante des formats</t>
        </r>
      </text>
    </comment>
    <comment ref="I34" authorId="0">
      <text>
        <r>
          <rPr>
            <b/>
            <sz val="9"/>
            <color indexed="81"/>
            <rFont val="Tahoma"/>
            <family val="2"/>
          </rPr>
          <t>Francois Donnay:</t>
        </r>
        <r>
          <rPr>
            <sz val="9"/>
            <color indexed="81"/>
            <rFont val="Tahoma"/>
            <family val="2"/>
          </rPr>
          <t xml:space="preserve">
Liste déroulante des formats</t>
        </r>
      </text>
    </comment>
    <comment ref="J34" authorId="0">
      <text>
        <r>
          <rPr>
            <b/>
            <sz val="9"/>
            <color indexed="81"/>
            <rFont val="Tahoma"/>
            <family val="2"/>
          </rPr>
          <t>Francois Donnay:</t>
        </r>
        <r>
          <rPr>
            <sz val="9"/>
            <color indexed="81"/>
            <rFont val="Tahoma"/>
            <family val="2"/>
          </rPr>
          <t xml:space="preserve">
Liste déroulante des formats</t>
        </r>
      </text>
    </comment>
    <comment ref="K34" authorId="0">
      <text>
        <r>
          <rPr>
            <b/>
            <sz val="9"/>
            <color indexed="81"/>
            <rFont val="Tahoma"/>
            <family val="2"/>
          </rPr>
          <t>Francois Donnay:</t>
        </r>
        <r>
          <rPr>
            <sz val="9"/>
            <color indexed="81"/>
            <rFont val="Tahoma"/>
            <family val="2"/>
          </rPr>
          <t xml:space="preserve">
Liste déroulante des formats</t>
        </r>
      </text>
    </comment>
    <comment ref="F38" authorId="0">
      <text>
        <r>
          <rPr>
            <b/>
            <sz val="9"/>
            <color indexed="81"/>
            <rFont val="Tahoma"/>
            <family val="2"/>
          </rPr>
          <t>Francois Donnay:</t>
        </r>
        <r>
          <rPr>
            <sz val="9"/>
            <color indexed="81"/>
            <rFont val="Tahoma"/>
            <family val="2"/>
          </rPr>
          <t xml:space="preserve">
Liste déroulante des types de média</t>
        </r>
      </text>
    </comment>
    <comment ref="G38" authorId="0">
      <text>
        <r>
          <rPr>
            <b/>
            <sz val="9"/>
            <color indexed="81"/>
            <rFont val="Tahoma"/>
            <family val="2"/>
          </rPr>
          <t>Francois Donnay:</t>
        </r>
        <r>
          <rPr>
            <sz val="9"/>
            <color indexed="81"/>
            <rFont val="Tahoma"/>
            <family val="2"/>
          </rPr>
          <t xml:space="preserve">
Liste déroulante des types de média</t>
        </r>
      </text>
    </comment>
    <comment ref="H38" authorId="0">
      <text>
        <r>
          <rPr>
            <b/>
            <sz val="9"/>
            <color indexed="81"/>
            <rFont val="Tahoma"/>
            <family val="2"/>
          </rPr>
          <t>Francois Donnay:</t>
        </r>
        <r>
          <rPr>
            <sz val="9"/>
            <color indexed="81"/>
            <rFont val="Tahoma"/>
            <family val="2"/>
          </rPr>
          <t xml:space="preserve">
Liste déroulante des types de média</t>
        </r>
      </text>
    </comment>
    <comment ref="I38" authorId="0">
      <text>
        <r>
          <rPr>
            <b/>
            <sz val="9"/>
            <color indexed="81"/>
            <rFont val="Tahoma"/>
            <family val="2"/>
          </rPr>
          <t>Francois Donnay:</t>
        </r>
        <r>
          <rPr>
            <sz val="9"/>
            <color indexed="81"/>
            <rFont val="Tahoma"/>
            <family val="2"/>
          </rPr>
          <t xml:space="preserve">
Liste déroulante des types de média</t>
        </r>
      </text>
    </comment>
    <comment ref="J38" authorId="0">
      <text>
        <r>
          <rPr>
            <b/>
            <sz val="9"/>
            <color indexed="81"/>
            <rFont val="Tahoma"/>
            <family val="2"/>
          </rPr>
          <t>Francois Donnay:</t>
        </r>
        <r>
          <rPr>
            <sz val="9"/>
            <color indexed="81"/>
            <rFont val="Tahoma"/>
            <family val="2"/>
          </rPr>
          <t xml:space="preserve">
Liste déroulante des types de média</t>
        </r>
      </text>
    </comment>
    <comment ref="K38" authorId="0">
      <text>
        <r>
          <rPr>
            <b/>
            <sz val="9"/>
            <color indexed="81"/>
            <rFont val="Tahoma"/>
            <family val="2"/>
          </rPr>
          <t>Francois Donnay:</t>
        </r>
        <r>
          <rPr>
            <sz val="9"/>
            <color indexed="81"/>
            <rFont val="Tahoma"/>
            <family val="2"/>
          </rPr>
          <t xml:space="preserve">
Liste déroulante des types de média</t>
        </r>
      </text>
    </comment>
    <comment ref="F42" authorId="0">
      <text>
        <r>
          <rPr>
            <b/>
            <sz val="9"/>
            <color indexed="81"/>
            <rFont val="Tahoma"/>
            <family val="2"/>
          </rPr>
          <t>Francois Donnay:</t>
        </r>
        <r>
          <rPr>
            <sz val="9"/>
            <color indexed="81"/>
            <rFont val="Tahoma"/>
            <family val="2"/>
          </rPr>
          <t xml:space="preserve">
Liste déroulante des distributeurs insérés dans l'onglet contact</t>
        </r>
      </text>
    </comment>
    <comment ref="G42" authorId="0">
      <text>
        <r>
          <rPr>
            <b/>
            <sz val="9"/>
            <color indexed="81"/>
            <rFont val="Tahoma"/>
            <family val="2"/>
          </rPr>
          <t>Francois Donnay:</t>
        </r>
        <r>
          <rPr>
            <sz val="9"/>
            <color indexed="81"/>
            <rFont val="Tahoma"/>
            <family val="2"/>
          </rPr>
          <t xml:space="preserve">
Liste déroulante des distributeurs insérés dans l'onglet contact</t>
        </r>
      </text>
    </comment>
    <comment ref="F44" authorId="0">
      <text>
        <r>
          <rPr>
            <b/>
            <sz val="9"/>
            <color indexed="81"/>
            <rFont val="Tahoma"/>
            <family val="2"/>
          </rPr>
          <t>Francois Donnay:</t>
        </r>
        <r>
          <rPr>
            <sz val="9"/>
            <color indexed="81"/>
            <rFont val="Tahoma"/>
            <family val="2"/>
          </rPr>
          <t xml:space="preserve">
Liste des types de base de données</t>
        </r>
      </text>
    </comment>
    <comment ref="G44" authorId="0">
      <text>
        <r>
          <rPr>
            <b/>
            <sz val="9"/>
            <color indexed="81"/>
            <rFont val="Tahoma"/>
            <family val="2"/>
          </rPr>
          <t>Francois Donnay:</t>
        </r>
        <r>
          <rPr>
            <sz val="9"/>
            <color indexed="81"/>
            <rFont val="Tahoma"/>
            <family val="2"/>
          </rPr>
          <t xml:space="preserve">
Liste des types de base de données</t>
        </r>
      </text>
    </comment>
    <comment ref="F48" authorId="0">
      <text>
        <r>
          <rPr>
            <b/>
            <sz val="9"/>
            <color indexed="81"/>
            <rFont val="Tahoma"/>
            <family val="2"/>
          </rPr>
          <t>Francois Donnay:</t>
        </r>
        <r>
          <rPr>
            <sz val="9"/>
            <color indexed="81"/>
            <rFont val="Tahoma"/>
            <family val="2"/>
          </rPr>
          <t xml:space="preserve">
Liste déroulante des protocoles</t>
        </r>
      </text>
    </comment>
    <comment ref="G48" authorId="0">
      <text>
        <r>
          <rPr>
            <b/>
            <sz val="9"/>
            <color indexed="81"/>
            <rFont val="Tahoma"/>
            <family val="2"/>
          </rPr>
          <t>Francois Donnay:</t>
        </r>
        <r>
          <rPr>
            <sz val="9"/>
            <color indexed="81"/>
            <rFont val="Tahoma"/>
            <family val="2"/>
          </rPr>
          <t xml:space="preserve">
Liste déroulante des protocoles</t>
        </r>
      </text>
    </comment>
    <comment ref="F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55" authorId="0">
      <text>
        <r>
          <rPr>
            <b/>
            <sz val="9"/>
            <color indexed="81"/>
            <rFont val="Tahoma"/>
            <family val="2"/>
          </rPr>
          <t>Francois Donnay:</t>
        </r>
        <r>
          <rPr>
            <sz val="9"/>
            <color indexed="81"/>
            <rFont val="Tahoma"/>
            <family val="2"/>
          </rPr>
          <t xml:space="preserve">
Liste déroulante des distributeurs insérés dans l'onglet contact</t>
        </r>
      </text>
    </comment>
    <comment ref="G55" authorId="0">
      <text>
        <r>
          <rPr>
            <b/>
            <sz val="9"/>
            <color indexed="81"/>
            <rFont val="Tahoma"/>
            <family val="2"/>
          </rPr>
          <t>Francois Donnay:</t>
        </r>
        <r>
          <rPr>
            <sz val="9"/>
            <color indexed="81"/>
            <rFont val="Tahoma"/>
            <family val="2"/>
          </rPr>
          <t xml:space="preserve">
Liste déroulante des distributeurs insérés dans l'onglet contact</t>
        </r>
      </text>
    </comment>
    <comment ref="F57" authorId="0">
      <text>
        <r>
          <rPr>
            <b/>
            <sz val="9"/>
            <color indexed="81"/>
            <rFont val="Tahoma"/>
            <family val="2"/>
          </rPr>
          <t>Francois Donnay:</t>
        </r>
        <r>
          <rPr>
            <sz val="9"/>
            <color indexed="81"/>
            <rFont val="Tahoma"/>
            <family val="2"/>
          </rPr>
          <t xml:space="preserve">
Liste des types de base de données</t>
        </r>
      </text>
    </comment>
    <comment ref="G57" authorId="0">
      <text>
        <r>
          <rPr>
            <b/>
            <sz val="9"/>
            <color indexed="81"/>
            <rFont val="Tahoma"/>
            <family val="2"/>
          </rPr>
          <t>Francois Donnay:</t>
        </r>
        <r>
          <rPr>
            <sz val="9"/>
            <color indexed="81"/>
            <rFont val="Tahoma"/>
            <family val="2"/>
          </rPr>
          <t xml:space="preserve">
Liste des types de base de données</t>
        </r>
      </text>
    </comment>
    <comment ref="F61" authorId="0">
      <text>
        <r>
          <rPr>
            <b/>
            <sz val="9"/>
            <color indexed="81"/>
            <rFont val="Tahoma"/>
            <family val="2"/>
          </rPr>
          <t>Francois Donnay:</t>
        </r>
        <r>
          <rPr>
            <sz val="9"/>
            <color indexed="81"/>
            <rFont val="Tahoma"/>
            <family val="2"/>
          </rPr>
          <t xml:space="preserve">
Liste déroulante des protocoles</t>
        </r>
      </text>
    </comment>
    <comment ref="G61" authorId="0">
      <text>
        <r>
          <rPr>
            <b/>
            <sz val="9"/>
            <color indexed="81"/>
            <rFont val="Tahoma"/>
            <family val="2"/>
          </rPr>
          <t>Francois Donnay:</t>
        </r>
        <r>
          <rPr>
            <sz val="9"/>
            <color indexed="81"/>
            <rFont val="Tahoma"/>
            <family val="2"/>
          </rPr>
          <t xml:space="preserve">
Liste déroulante des protocoles</t>
        </r>
      </text>
    </comment>
    <comment ref="F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71" authorId="0">
      <text>
        <r>
          <rPr>
            <b/>
            <sz val="9"/>
            <color indexed="81"/>
            <rFont val="Tahoma"/>
            <family val="2"/>
          </rPr>
          <t>Francois Donnay:</t>
        </r>
        <r>
          <rPr>
            <sz val="9"/>
            <color indexed="81"/>
            <rFont val="Tahoma"/>
            <family val="2"/>
          </rPr>
          <t xml:space="preserve">
Liste déroulante des protocoles de distribution</t>
        </r>
      </text>
    </comment>
    <comment ref="G71" authorId="0">
      <text>
        <r>
          <rPr>
            <b/>
            <sz val="9"/>
            <color indexed="81"/>
            <rFont val="Tahoma"/>
            <family val="2"/>
          </rPr>
          <t>Francois Donnay:</t>
        </r>
        <r>
          <rPr>
            <sz val="9"/>
            <color indexed="81"/>
            <rFont val="Tahoma"/>
            <family val="2"/>
          </rPr>
          <t xml:space="preserve">
Liste déroulante des protocoles de distribution</t>
        </r>
      </text>
    </comment>
    <comment ref="F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80" authorId="0">
      <text>
        <r>
          <rPr>
            <b/>
            <sz val="9"/>
            <color indexed="81"/>
            <rFont val="Tahoma"/>
            <family val="2"/>
          </rPr>
          <t>Francois Donnay:</t>
        </r>
        <r>
          <rPr>
            <sz val="9"/>
            <color indexed="81"/>
            <rFont val="Tahoma"/>
            <family val="2"/>
          </rPr>
          <t xml:space="preserve">
Liste déroulante des protocoles de distribution</t>
        </r>
      </text>
    </comment>
    <comment ref="G80" authorId="0">
      <text>
        <r>
          <rPr>
            <b/>
            <sz val="9"/>
            <color indexed="81"/>
            <rFont val="Tahoma"/>
            <family val="2"/>
          </rPr>
          <t>Francois Donnay:</t>
        </r>
        <r>
          <rPr>
            <sz val="9"/>
            <color indexed="81"/>
            <rFont val="Tahoma"/>
            <family val="2"/>
          </rPr>
          <t xml:space="preserve">
Liste déroulante des protocoles de distribution</t>
        </r>
      </text>
    </comment>
    <comment ref="F83"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83"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5.xml><?xml version="1.0" encoding="utf-8"?>
<comments xmlns="http://schemas.openxmlformats.org/spreadsheetml/2006/main">
  <authors>
    <author>Francois Donnay</author>
  </authors>
  <commentList>
    <comment ref="F7" authorId="0">
      <text>
        <r>
          <rPr>
            <b/>
            <sz val="9"/>
            <color indexed="81"/>
            <rFont val="Tahoma"/>
            <family val="2"/>
          </rPr>
          <t>Francois Donnay:</t>
        </r>
        <r>
          <rPr>
            <sz val="9"/>
            <color indexed="81"/>
            <rFont val="Tahoma"/>
            <family val="2"/>
          </rPr>
          <t xml:space="preserve">
Liste déroulante de la conformité</t>
        </r>
      </text>
    </comment>
  </commentList>
</comments>
</file>

<file path=xl/comments6.xml><?xml version="1.0" encoding="utf-8"?>
<comments xmlns="http://schemas.openxmlformats.org/spreadsheetml/2006/main">
  <authors>
    <author>Francois Donnay</author>
  </authors>
  <commentList>
    <comment ref="F10" authorId="0">
      <text>
        <r>
          <rPr>
            <b/>
            <sz val="9"/>
            <color indexed="81"/>
            <rFont val="Tahoma"/>
            <family val="2"/>
          </rPr>
          <t>Francois Donnay:</t>
        </r>
        <r>
          <rPr>
            <sz val="9"/>
            <color indexed="81"/>
            <rFont val="Tahoma"/>
            <family val="2"/>
          </rPr>
          <t xml:space="preserve">
Liste déroulante des formats</t>
        </r>
      </text>
    </comment>
    <comment ref="F16" authorId="0">
      <text>
        <r>
          <rPr>
            <b/>
            <sz val="9"/>
            <color indexed="81"/>
            <rFont val="Tahoma"/>
            <family val="2"/>
          </rPr>
          <t>Francois Donnay:</t>
        </r>
        <r>
          <rPr>
            <sz val="9"/>
            <color indexed="81"/>
            <rFont val="Tahoma"/>
            <family val="2"/>
          </rPr>
          <t xml:space="preserve">
Liste déroulante des protocoles de distribution</t>
        </r>
      </text>
    </comment>
    <comment ref="G16" authorId="0">
      <text>
        <r>
          <rPr>
            <b/>
            <sz val="9"/>
            <color indexed="81"/>
            <rFont val="Tahoma"/>
            <family val="2"/>
          </rPr>
          <t>Francois Donnay:</t>
        </r>
        <r>
          <rPr>
            <sz val="9"/>
            <color indexed="81"/>
            <rFont val="Tahoma"/>
            <family val="2"/>
          </rPr>
          <t xml:space="preserve">
Liste déroulante des protocoles de distribution</t>
        </r>
      </text>
    </comment>
    <comment ref="F25" authorId="0">
      <text>
        <r>
          <rPr>
            <b/>
            <sz val="9"/>
            <color indexed="81"/>
            <rFont val="Tahoma"/>
            <family val="2"/>
          </rPr>
          <t>Francois Donnay:</t>
        </r>
        <r>
          <rPr>
            <sz val="9"/>
            <color indexed="81"/>
            <rFont val="Tahoma"/>
            <family val="2"/>
          </rPr>
          <t xml:space="preserve">
Liste déroulante des protocoles de distribution</t>
        </r>
      </text>
    </comment>
    <comment ref="G25" authorId="0">
      <text>
        <r>
          <rPr>
            <b/>
            <sz val="9"/>
            <color indexed="81"/>
            <rFont val="Tahoma"/>
            <family val="2"/>
          </rPr>
          <t>Francois Donnay:</t>
        </r>
        <r>
          <rPr>
            <sz val="9"/>
            <color indexed="81"/>
            <rFont val="Tahoma"/>
            <family val="2"/>
          </rPr>
          <t xml:space="preserve">
Liste déroulante des protocoles de distribution</t>
        </r>
      </text>
    </comment>
    <comment ref="F34" authorId="0">
      <text>
        <r>
          <rPr>
            <b/>
            <sz val="9"/>
            <color indexed="81"/>
            <rFont val="Tahoma"/>
            <family val="2"/>
          </rPr>
          <t>Francois Donnay:</t>
        </r>
        <r>
          <rPr>
            <sz val="9"/>
            <color indexed="81"/>
            <rFont val="Tahoma"/>
            <family val="2"/>
          </rPr>
          <t xml:space="preserve">
Liste déroulante des protocoles de distribution</t>
        </r>
      </text>
    </comment>
    <comment ref="G34" authorId="0">
      <text>
        <r>
          <rPr>
            <b/>
            <sz val="9"/>
            <color indexed="81"/>
            <rFont val="Tahoma"/>
            <family val="2"/>
          </rPr>
          <t>Francois Donnay:</t>
        </r>
        <r>
          <rPr>
            <sz val="9"/>
            <color indexed="81"/>
            <rFont val="Tahoma"/>
            <family val="2"/>
          </rPr>
          <t xml:space="preserve">
Liste déroulante des protocoles de distribution</t>
        </r>
      </text>
    </comment>
    <comment ref="F43" authorId="0">
      <text>
        <r>
          <rPr>
            <b/>
            <sz val="9"/>
            <color indexed="81"/>
            <rFont val="Tahoma"/>
            <family val="2"/>
          </rPr>
          <t>Francois Donnay:</t>
        </r>
        <r>
          <rPr>
            <sz val="9"/>
            <color indexed="81"/>
            <rFont val="Tahoma"/>
            <family val="2"/>
          </rPr>
          <t xml:space="preserve">
Liste déroulante des protocoles de distribution</t>
        </r>
      </text>
    </comment>
    <comment ref="G43" authorId="0">
      <text>
        <r>
          <rPr>
            <b/>
            <sz val="9"/>
            <color indexed="81"/>
            <rFont val="Tahoma"/>
            <family val="2"/>
          </rPr>
          <t>Francois Donnay:</t>
        </r>
        <r>
          <rPr>
            <sz val="9"/>
            <color indexed="81"/>
            <rFont val="Tahoma"/>
            <family val="2"/>
          </rPr>
          <t xml:space="preserve">
Liste déroulante des protocoles de distribution</t>
        </r>
      </text>
    </comment>
  </commentList>
</comments>
</file>

<file path=xl/comments7.xml><?xml version="1.0" encoding="utf-8"?>
<comments xmlns="http://schemas.openxmlformats.org/spreadsheetml/2006/main">
  <authors>
    <author>Francois Donnay</author>
  </authors>
  <commentList>
    <comment ref="D26" authorId="0">
      <text>
        <r>
          <rPr>
            <b/>
            <sz val="9"/>
            <color indexed="81"/>
            <rFont val="Tahoma"/>
            <family val="2"/>
          </rPr>
          <t>Francois Donnay:</t>
        </r>
        <r>
          <rPr>
            <sz val="9"/>
            <color indexed="81"/>
            <rFont val="Tahoma"/>
            <family val="2"/>
          </rPr>
          <t xml:space="preserve">
Liste déroulante des méthodes d'évaluation.</t>
        </r>
      </text>
    </comment>
  </commentList>
</comments>
</file>

<file path=xl/sharedStrings.xml><?xml version="1.0" encoding="utf-8"?>
<sst xmlns="http://schemas.openxmlformats.org/spreadsheetml/2006/main" count="18129" uniqueCount="11400">
  <si>
    <t>Nom</t>
  </si>
  <si>
    <t>Valeur</t>
  </si>
  <si>
    <t>Conditionalité</t>
  </si>
  <si>
    <t>Exemple</t>
  </si>
  <si>
    <t>Défintion</t>
  </si>
  <si>
    <t>Lien wiki</t>
  </si>
  <si>
    <t>Column_name</t>
  </si>
  <si>
    <t>Propriétaire</t>
  </si>
  <si>
    <t>Distributeur</t>
  </si>
  <si>
    <t>Langue d'encodage de la fiche</t>
  </si>
  <si>
    <t>Français</t>
  </si>
  <si>
    <t>Langue utilisée pour documenter les métadonnées. Une fiche par langue d'encodage.</t>
  </si>
  <si>
    <t>[Obligatoire]</t>
  </si>
  <si>
    <t>http://157.164.47.151/confluence/pages/viewpage.action?pageId=6357063</t>
  </si>
  <si>
    <t>Identification de la fiche de métadonnée parent</t>
  </si>
  <si>
    <t>[Obligatoire si existe]</t>
  </si>
  <si>
    <t>b29db7d3-6934-46bb-bb23-e833e2c3d518</t>
  </si>
  <si>
    <t>metadata_lang</t>
  </si>
  <si>
    <t>Nom de l'individu</t>
  </si>
  <si>
    <t>[Optionnel]</t>
  </si>
  <si>
    <t>Colum_name</t>
  </si>
  <si>
    <t>Nom de l'organisation</t>
  </si>
  <si>
    <t>individualName</t>
  </si>
  <si>
    <t>Qualification de la personne</t>
  </si>
  <si>
    <t>positionName</t>
  </si>
  <si>
    <t>Rôle du point de contact</t>
  </si>
  <si>
    <t>Role</t>
  </si>
  <si>
    <t>Numéro de téléphone</t>
  </si>
  <si>
    <t>voice</t>
  </si>
  <si>
    <t>Adresse</t>
  </si>
  <si>
    <t>deliveryPoint</t>
  </si>
  <si>
    <t>Ville</t>
  </si>
  <si>
    <t>Code Postal</t>
  </si>
  <si>
    <t>Pays</t>
  </si>
  <si>
    <t>city</t>
  </si>
  <si>
    <t>postalCode</t>
  </si>
  <si>
    <t>country</t>
  </si>
  <si>
    <t>Adresse e-mail</t>
  </si>
  <si>
    <t>electronicMailAddress</t>
  </si>
  <si>
    <t>Lien URL de la source en ligne</t>
  </si>
  <si>
    <t>linkage</t>
  </si>
  <si>
    <t>Protocole</t>
  </si>
  <si>
    <t>Description</t>
  </si>
  <si>
    <t>Fonction</t>
  </si>
  <si>
    <t>protocole</t>
  </si>
  <si>
    <t>name</t>
  </si>
  <si>
    <t>description</t>
  </si>
  <si>
    <t>function</t>
  </si>
  <si>
    <t>http://157.164.47.151/confluence/display/METAWAL/Nom+de+la+personne</t>
  </si>
  <si>
    <t>http://157.164.47.151/confluence/display/METAWAL/Organisation</t>
  </si>
  <si>
    <t>http://157.164.47.151/confluence/pages/viewpage.action?pageId=6357097</t>
  </si>
  <si>
    <t>http://157.164.47.151/confluence/pages/viewpage.action?pageId=6357099</t>
  </si>
  <si>
    <t>http://157.164.47.151/confluence/display/METAWAL/Adresse+e-mail</t>
  </si>
  <si>
    <t>http://157.164.47.151/confluence/pages/viewpage.action?pageId=6357150</t>
  </si>
  <si>
    <t>CodeSpace</t>
  </si>
  <si>
    <t>urn:ogc:def:crs:EPSG</t>
  </si>
  <si>
    <t>Nom du domaine de valeurs. Chaîne de caractères qui préfixe le code et qui permet de le rendre unique.</t>
  </si>
  <si>
    <t>Version</t>
  </si>
  <si>
    <t>Domaine de valeurs du système de référence</t>
  </si>
  <si>
    <t>Identification de la version pour le domaine de valeur.</t>
  </si>
  <si>
    <t>7.9.8</t>
  </si>
  <si>
    <t>parentIdentifier</t>
  </si>
  <si>
    <t xml:space="preserve">[Obligatoire] </t>
  </si>
  <si>
    <t>Carte numérique des sols de Wallonie</t>
  </si>
  <si>
    <t>http://157.164.47.151/confluence/pages/viewpage.action?pageId=6357070</t>
  </si>
  <si>
    <t>http://157.164.47.151/confluence/display/METAWAL/Titre</t>
  </si>
  <si>
    <t>title</t>
  </si>
  <si>
    <t>alternateTitle</t>
  </si>
  <si>
    <t>CNSW</t>
  </si>
  <si>
    <t>http://157.164.47.151/confluence/display/METAWAL/Titre+court</t>
  </si>
  <si>
    <t>http://157.164.47.151/confluence/pages/viewpage.action?pageId=6357044</t>
  </si>
  <si>
    <t>creation_date</t>
  </si>
  <si>
    <t>publication_date</t>
  </si>
  <si>
    <t>revision_date</t>
  </si>
  <si>
    <t>Code</t>
  </si>
  <si>
    <t>http://157.164.47.151/confluence/display/METAWAL/Identifiant+de+la+ressource</t>
  </si>
  <si>
    <t>Résumé</t>
  </si>
  <si>
    <t>http://157.164.47.151/confluence/pages/viewpage.action?pageId=6357036</t>
  </si>
  <si>
    <t>abstract</t>
  </si>
  <si>
    <t>status</t>
  </si>
  <si>
    <t xml:space="preserve">[Optionnel] </t>
  </si>
  <si>
    <t>http://157.164.47.151/confluence/display/METAWAL/Etat</t>
  </si>
  <si>
    <t>Finalisé, archivé, obsolète…</t>
  </si>
  <si>
    <t>Etat de la ressource</t>
  </si>
  <si>
    <t>Etat (de travail) de la ressource. Cet élément indique l'état d'avancement de la ressource, par exemple si elle est planifiée, en cours de production…</t>
  </si>
  <si>
    <t>Fréquence de maintenance et de mise à jour</t>
  </si>
  <si>
    <t>maintenanceAndUpdateFrequency</t>
  </si>
  <si>
    <t>http://157.164.47.151/confluence/pages/viewpage.action?pageId=14352509</t>
  </si>
  <si>
    <t>maintenanceNote</t>
  </si>
  <si>
    <t>http://157.164.47.151/confluence/display/METAWAL/Vignette</t>
  </si>
  <si>
    <t>fileName</t>
  </si>
  <si>
    <t>Sols</t>
  </si>
  <si>
    <t>http://157.164.47.151/confluence/pages/viewpage.action?pageId=6357156</t>
  </si>
  <si>
    <t>GEMET - INSPIRE themes, version 1.0</t>
  </si>
  <si>
    <t>Publication</t>
  </si>
  <si>
    <t>GEMET- Concepts version 2.4</t>
  </si>
  <si>
    <t>Thèmes du géoportail wallon, version 1.0</t>
  </si>
  <si>
    <t>Création</t>
  </si>
  <si>
    <t>http://157.164.47.151/confluence/display/METAWAL/Contraintes+sur+la+ressource</t>
  </si>
  <si>
    <t>accessConstraints</t>
  </si>
  <si>
    <t>useConstraints</t>
  </si>
  <si>
    <t>Date</t>
  </si>
  <si>
    <t>Auteur</t>
  </si>
  <si>
    <t>Remarque</t>
  </si>
  <si>
    <t>Classification</t>
  </si>
  <si>
    <t>classification</t>
  </si>
  <si>
    <t>Top secret</t>
  </si>
  <si>
    <t>Type de représentation spatiale</t>
  </si>
  <si>
    <t>Vecteur</t>
  </si>
  <si>
    <t>http://157.164.47.151/confluence/pages/viewpage.action?pageId=6357160</t>
  </si>
  <si>
    <t>spatialRepresentationType</t>
  </si>
  <si>
    <t>Résolution spatiale: distance au sol</t>
  </si>
  <si>
    <t>denominator</t>
  </si>
  <si>
    <t>distance</t>
  </si>
  <si>
    <t>Langue de la ressource</t>
  </si>
  <si>
    <t>http://157.164.47.151/confluence/display/METAWAL/Langue+de+la+ressource</t>
  </si>
  <si>
    <t>Set de caractères</t>
  </si>
  <si>
    <t>language</t>
  </si>
  <si>
    <t>characterSet</t>
  </si>
  <si>
    <t>Nom complet du standard de code de caractères utilisé pour la ressource.</t>
  </si>
  <si>
    <t>Utf8</t>
  </si>
  <si>
    <t>http://157.164.47.151/confluence/pages/viewpage.action?pageId=6357172</t>
  </si>
  <si>
    <t>Thèmes ISO 19115</t>
  </si>
  <si>
    <t>http://157.164.47.151/confluence/pages/viewpage.action?pageId=6357166</t>
  </si>
  <si>
    <t>spatialDescription</t>
  </si>
  <si>
    <t>Coordonnées la plus à l'ouest</t>
  </si>
  <si>
    <t>Coordonnées la plus à l'est</t>
  </si>
  <si>
    <t>Coordonnées la plus au sud</t>
  </si>
  <si>
    <t>Coordonnées la plus au nord</t>
  </si>
  <si>
    <t>westBoundLongitude</t>
  </si>
  <si>
    <t>eastBoundLongitude</t>
  </si>
  <si>
    <t>Coordonnée la plus à l'ouest de la limite de l'étendue de la ressource, exprimée en longitude avec des degrés décimaux (EST positif). Par défaut l'emprise de la Wallonie est proposée. Si cela ne convient pas, adaptez.</t>
  </si>
  <si>
    <t>http://157.164.47.151/confluence/display/METAWAL/Etendue+spatiale</t>
  </si>
  <si>
    <t>Coordonnée la plus à l'est de la limite de l'étendue de la ressource, exprimée en longitude avec des degrés décimaux (EST positif). Par défaut l'emprise de la Wallonie est proposée. Si cela ne convient pas, adaptez.</t>
  </si>
  <si>
    <t>Coordonnée la plus au sud de la limite de l'étendue de la ressource, exprimée en latitude avec des degrés décimaux (NORD positif). Par défaut l'emprise de la Wallonie est proposée. Si cela ne convient pas, adaptez.</t>
  </si>
  <si>
    <t>Coordonnée la plus au nord de la limite de l'étendue de la ressource, exprimée en latitude avec des degrés décimaux (NORD positif). Par défaut l'emprise de la Wallonie est proposée. Si cela ne convient pas, adaptez.</t>
  </si>
  <si>
    <t>beginPosition</t>
  </si>
  <si>
    <t>endPosition</t>
  </si>
  <si>
    <t>Etendue altimétrique de la ressouce: Valeur minimum</t>
  </si>
  <si>
    <t>21m</t>
  </si>
  <si>
    <t>minimumValue</t>
  </si>
  <si>
    <t>maximumValue</t>
  </si>
  <si>
    <t>Etendue altimétrique de la ressouce: Valeur maximum</t>
  </si>
  <si>
    <t>694m</t>
  </si>
  <si>
    <t>Information sur l'étendue altimétrique de la ressource (Altitude du point le plus bas de la ressource)</t>
  </si>
  <si>
    <t>Information sur l'étendue altimétrique de la ressource (Altitude du point le plus haut de la ressource)</t>
  </si>
  <si>
    <t>Nom du format de distribution</t>
  </si>
  <si>
    <t>Nom du format par lequel la ressource est distribuée. Le nom ou l'acronyme sous lequel le format est connu + son extension entre paranthèses.</t>
  </si>
  <si>
    <t>ESRI File Geodatabase (.fgdb)</t>
  </si>
  <si>
    <t>http://157.164.47.151/confluence/display/METAWAL/Format+de+distribution</t>
  </si>
  <si>
    <t>Instructions de commande de la ressource</t>
  </si>
  <si>
    <t>Instructions générales, conditions et services offerts par le distributeur pour l'obtention de la ressource (comprenant également les informations sur les coûts).</t>
  </si>
  <si>
    <t>http://157.164.47.151/confluence/display/METAWAL/Processus+de+distribution+et+de+commande</t>
  </si>
  <si>
    <t>URL sur les sources en ligne par lesquelles la ressource peut être obtenue.</t>
  </si>
  <si>
    <t>http://157.164.47.151/confluence/display/METAWAL/Ressource+en+ligne</t>
  </si>
  <si>
    <t xml:space="preserve">Protocole de connexion. </t>
  </si>
  <si>
    <t xml:space="preserve">Nom de la source en ligne. </t>
  </si>
  <si>
    <t xml:space="preserve">Type d'opération possible avec la source en ligne. </t>
  </si>
  <si>
    <t>Nom du test d'adhésion à un domaine de valeur</t>
  </si>
  <si>
    <t>"Value domain conformance rate"</t>
  </si>
  <si>
    <t>nameOfMeasure</t>
  </si>
  <si>
    <t>Titre de l'organisme responsable</t>
  </si>
  <si>
    <t>Nom de l'organisme responsable du test.</t>
  </si>
  <si>
    <t>consistencyTitle</t>
  </si>
  <si>
    <t>Titre alternatif de l'organisme responsable</t>
  </si>
  <si>
    <t>Autres appelations ou acronyme de l'organisme responsable.</t>
  </si>
  <si>
    <t>ISO</t>
  </si>
  <si>
    <t>consistencyAlternateTitle</t>
  </si>
  <si>
    <t>Valeur alphanumérique pour l'identification du test dans le domaine de valeurs.</t>
  </si>
  <si>
    <t>17 (ISO 19138)</t>
  </si>
  <si>
    <t>consistencyCode</t>
  </si>
  <si>
    <t>Description du test choisi.</t>
  </si>
  <si>
    <t>"Number of items in the dataset that are in conformance with their value"</t>
  </si>
  <si>
    <t>consistencyDescription</t>
  </si>
  <si>
    <t>Type de méthode d'évaluation</t>
  </si>
  <si>
    <t>Type de méthodes utilisées pour évaluer la qualité du jeu de données.</t>
  </si>
  <si>
    <t>Date-période</t>
  </si>
  <si>
    <t>evaluationMethodType</t>
  </si>
  <si>
    <t>dateTime</t>
  </si>
  <si>
    <t>Date ou période pendant laquelle la mesure de qualité des données a été appliquée.</t>
  </si>
  <si>
    <t>Nom des spécifications du produit ou des exigences des utilisateurs avec lesquelles les données sont comparées.</t>
  </si>
  <si>
    <t>conformanceTitle</t>
  </si>
  <si>
    <t>Titre alternatif</t>
  </si>
  <si>
    <t>Autres appelations ou acronyme des sépcifications.</t>
  </si>
  <si>
    <t>conformanceAlternateTitle</t>
  </si>
  <si>
    <t>Titre des spécifications de référence dans le cadre d'une comparaison des valeurs de la ressource avec une référence (valeur de qualité spécifiée, acceptable et valide)</t>
  </si>
  <si>
    <t>Date à laquelle une ressource est publiée en vue de sa diffusion (date de première mise en ligne).</t>
  </si>
  <si>
    <t>Date de référence pour les spécifications.</t>
  </si>
  <si>
    <t>Type de date</t>
  </si>
  <si>
    <t>conformanceDate</t>
  </si>
  <si>
    <t>conformanceDateType</t>
  </si>
  <si>
    <t>Explication</t>
  </si>
  <si>
    <t>Type d'événements associé à la date référence.</t>
  </si>
  <si>
    <t>Explication de la signification de la valeur(s) des résultats.</t>
  </si>
  <si>
    <t>Veuillez consulter la spécification référencée</t>
  </si>
  <si>
    <t>conformanceExplanation</t>
  </si>
  <si>
    <t>Résultat du test</t>
  </si>
  <si>
    <t>Indication sur le résultat de validité où 0 = échoué et 1= réussi.</t>
  </si>
  <si>
    <t>conformancePass</t>
  </si>
  <si>
    <t>Valeur décrivant un résultat quantitatif</t>
  </si>
  <si>
    <t>Valeurs quantitatives, déterminées par la procédure d'évaluation utilisée.</t>
  </si>
  <si>
    <t>Généralité sur la provenance (généalogie)</t>
  </si>
  <si>
    <t>quantitativeResultValue</t>
  </si>
  <si>
    <t>http://157.164.47.151/confluence/pages/viewpage.action?pageId=6357298</t>
  </si>
  <si>
    <t>Information non-quantitative sur la généalogie ou les données-sources utilisées pour la construction des données spécifiées. Il s'agit d'une explication générale sur les connaissances du producteur au sujet de la généalogie de la ressource: dans quel but la ressource a été créée, sur base de quelles autres données, avec quelles méthodes, quand elle a été créée, les processus de mise à jour, les contrôles de qualité.... En résumé, tout ce qui peut aider à une meilleure compréhension de sa qualité et de sa valeur d'usage.</t>
  </si>
  <si>
    <t>Adresse de l'organisation ou de la personne de contact (Rue, numéro, boîte).</t>
  </si>
  <si>
    <t>Ville de l'organisation ou de la personne de contact.</t>
  </si>
  <si>
    <t>Code postal de l'organisation ou de la personne de contact.</t>
  </si>
  <si>
    <t>Pays de l'organisation ou de la personne de contact.</t>
  </si>
  <si>
    <t>Courriel de l'organisation ou de la personne de contact.</t>
  </si>
  <si>
    <t>URL du site internet de l'organisme (ou de la personne de contact).</t>
  </si>
  <si>
    <t>Protocole de connexion.</t>
  </si>
  <si>
    <t>Description détaillée de la source en ligne.</t>
  </si>
  <si>
    <t>GEMET themes</t>
  </si>
  <si>
    <t>Adresses</t>
  </si>
  <si>
    <t>Altitude</t>
  </si>
  <si>
    <t>Bâtiments</t>
  </si>
  <si>
    <t>Caractéristiques géographiques météorologiques</t>
  </si>
  <si>
    <t>Caractéristiques géographiques océanographiques</t>
  </si>
  <si>
    <t>Conditions atmosphériques</t>
  </si>
  <si>
    <t>Dénominations géographiques</t>
  </si>
  <si>
    <t>Géologie</t>
  </si>
  <si>
    <t>Habitats et biotopes</t>
  </si>
  <si>
    <t>Hydrographie</t>
  </si>
  <si>
    <t>Installations agricoles et aquacoles</t>
  </si>
  <si>
    <t>Installations de suivi environnemental</t>
  </si>
  <si>
    <t xml:space="preserve">Lieux de production et sites industriels
</t>
  </si>
  <si>
    <t>Occupation des terres</t>
  </si>
  <si>
    <t>Ortho-imagerie</t>
  </si>
  <si>
    <t>Parcelles cadastrales</t>
  </si>
  <si>
    <t>Référentiels de coordonnées</t>
  </si>
  <si>
    <t>Régions biogéographiques</t>
  </si>
  <si>
    <t>Régions maritimes</t>
  </si>
  <si>
    <t xml:space="preserve">
Répartition de la population — démographie</t>
  </si>
  <si>
    <t>Répartition des espèces</t>
  </si>
  <si>
    <t>Réseaux de transport</t>
  </si>
  <si>
    <t>Ressources minérales</t>
  </si>
  <si>
    <t>Santé et sécurité des personnes</t>
  </si>
  <si>
    <t>Services d'utilité publique et services publics</t>
  </si>
  <si>
    <t>Sites protégés</t>
  </si>
  <si>
    <t>Sources d'énergie</t>
  </si>
  <si>
    <t>Systèmes de maillage géographique</t>
  </si>
  <si>
    <t>Unités administratives</t>
  </si>
  <si>
    <t>Unités statistiques</t>
  </si>
  <si>
    <t>Usage des sols</t>
  </si>
  <si>
    <t>Zones à risque naturel</t>
  </si>
  <si>
    <t>Zones de gestion, de restriction ou de réglementation et unités de déclaration</t>
  </si>
  <si>
    <t>GEMET Themes</t>
  </si>
  <si>
    <t>administration</t>
  </si>
  <si>
    <t>agriculture</t>
  </si>
  <si>
    <t>air</t>
  </si>
  <si>
    <t>géographie</t>
  </si>
  <si>
    <t>industrie</t>
  </si>
  <si>
    <t>information</t>
  </si>
  <si>
    <t>législation</t>
  </si>
  <si>
    <t>bâtiment</t>
  </si>
  <si>
    <t>biologie</t>
  </si>
  <si>
    <t>physique</t>
  </si>
  <si>
    <t>chimie</t>
  </si>
  <si>
    <t>pollution</t>
  </si>
  <si>
    <t>climat</t>
  </si>
  <si>
    <t>recherche</t>
  </si>
  <si>
    <t>déchets</t>
  </si>
  <si>
    <t>ressources</t>
  </si>
  <si>
    <t>santé humaine</t>
  </si>
  <si>
    <t>sol</t>
  </si>
  <si>
    <t>économie</t>
  </si>
  <si>
    <t>sylviculture</t>
  </si>
  <si>
    <t>élevage</t>
  </si>
  <si>
    <t>tourisme</t>
  </si>
  <si>
    <t>énergie</t>
  </si>
  <si>
    <t>transport</t>
  </si>
  <si>
    <t>Thesauri</t>
  </si>
  <si>
    <t>Date de publication ou de création</t>
  </si>
  <si>
    <t>keyword1</t>
  </si>
  <si>
    <t>keyword2</t>
  </si>
  <si>
    <t>keyword3</t>
  </si>
  <si>
    <t>keyword4</t>
  </si>
  <si>
    <t>Mots-clés</t>
  </si>
  <si>
    <t>Agriculture</t>
  </si>
  <si>
    <t>Altimétrie</t>
  </si>
  <si>
    <t>Biologie, faune et flore</t>
  </si>
  <si>
    <t>Cadastre, aménagement</t>
  </si>
  <si>
    <t>Carte de référence de la couverture terrestre</t>
  </si>
  <si>
    <t>Climatologie, météorologie</t>
  </si>
  <si>
    <t>Constructions et ouvrages</t>
  </si>
  <si>
    <t>Eaux intérieures, hydrographie</t>
  </si>
  <si>
    <t>Economie</t>
  </si>
  <si>
    <t>Environnement</t>
  </si>
  <si>
    <t>Infrastructures de transport</t>
  </si>
  <si>
    <t>Infrastructures militaires</t>
  </si>
  <si>
    <t>Limites politiques et administratives</t>
  </si>
  <si>
    <t>Localisation</t>
  </si>
  <si>
    <t>Océans</t>
  </si>
  <si>
    <t>Santé</t>
  </si>
  <si>
    <t>Sciences de la terre, géosciences</t>
  </si>
  <si>
    <t>Société</t>
  </si>
  <si>
    <t>Télécommunication, approvisionnement et énergie</t>
  </si>
  <si>
    <t>topicISO1</t>
  </si>
  <si>
    <t xml:space="preserve">(10) Nature et environnement </t>
  </si>
  <si>
    <t>(1010) Faune et flore</t>
  </si>
  <si>
    <t>(1020) Eau</t>
  </si>
  <si>
    <t>(1030) Sol et sous-sol</t>
  </si>
  <si>
    <t>(1040) Air</t>
  </si>
  <si>
    <t>(20) Aménagement du territoire</t>
  </si>
  <si>
    <t>(2010) Plans et réglements</t>
  </si>
  <si>
    <t xml:space="preserve">(2020) Risques et contraintes </t>
  </si>
  <si>
    <t>(30) Mobilité</t>
  </si>
  <si>
    <t xml:space="preserve">(3010) Routes </t>
  </si>
  <si>
    <t xml:space="preserve">(3020) A pied et à vélo </t>
  </si>
  <si>
    <t xml:space="preserve">(3040) Transports en commun </t>
  </si>
  <si>
    <t xml:space="preserve">(40) Tourisme et loisirs </t>
  </si>
  <si>
    <t xml:space="preserve">(4010) Tourisme </t>
  </si>
  <si>
    <t xml:space="preserve">(4020) Loisirs </t>
  </si>
  <si>
    <t xml:space="preserve">(50) Données de base </t>
  </si>
  <si>
    <t xml:space="preserve">(5010) Données topographiques </t>
  </si>
  <si>
    <t xml:space="preserve">(5020) Limites administratives </t>
  </si>
  <si>
    <t xml:space="preserve">(5030) Photos et imagerie </t>
  </si>
  <si>
    <t xml:space="preserve">(5040) Cartes anciennes </t>
  </si>
  <si>
    <t xml:space="preserve">(60) Société et activités </t>
  </si>
  <si>
    <t xml:space="preserve">(6010) Industrie et services </t>
  </si>
  <si>
    <t xml:space="preserve">(6020) Agriculture </t>
  </si>
  <si>
    <t xml:space="preserve">(6030) Logement </t>
  </si>
  <si>
    <t xml:space="preserve">(6040) Bruit </t>
  </si>
  <si>
    <t xml:space="preserve">Finalisé </t>
  </si>
  <si>
    <t xml:space="preserve">Archivé </t>
  </si>
  <si>
    <t>Obsolète</t>
  </si>
  <si>
    <t xml:space="preserve">Mise à jour continue </t>
  </si>
  <si>
    <t xml:space="preserve">Planifié </t>
  </si>
  <si>
    <t>Création ou mise à jour requise</t>
  </si>
  <si>
    <t>En cours de création</t>
  </si>
  <si>
    <t>Thesauri_acro</t>
  </si>
  <si>
    <t>Standard de code de caractères</t>
  </si>
  <si>
    <t>Nom complet du standard de code de caractères utilisé pour le jeu de métadonnées</t>
  </si>
  <si>
    <t>http://157.164.47.151/confluence/pages/viewpage.action?pageId=6357068</t>
  </si>
  <si>
    <t>hierarchyLevel</t>
  </si>
  <si>
    <t>Jeu de données</t>
  </si>
  <si>
    <t>http://157.164.47.151/confluence/pages/viewpage.action?pageId=6357072</t>
  </si>
  <si>
    <t>hierarchyLevelName</t>
  </si>
  <si>
    <t>Niveau de hiérarchie</t>
  </si>
  <si>
    <t>metadataStandardName</t>
  </si>
  <si>
    <t>Nom du standard (incluant le nom du profil) de métadonnées utilisé</t>
  </si>
  <si>
    <t>Nom du standard de métadonnées utilisé</t>
  </si>
  <si>
    <t>http://157.164.47.151/confluence/pages/viewpage.action?pageId=6357144</t>
  </si>
  <si>
    <t>metadataStandardVersion</t>
  </si>
  <si>
    <t>Version du standard de métadonnées (version du profil) utilisé</t>
  </si>
  <si>
    <t>Version du standard de métadonnées utilisé</t>
  </si>
  <si>
    <t>2003/Cor 1:2006</t>
  </si>
  <si>
    <t>http://157.164.47.151/confluence/pages/viewpage.action?pageId=6357146</t>
  </si>
  <si>
    <t>level</t>
  </si>
  <si>
    <t>Domaine de valeur</t>
  </si>
  <si>
    <t xml:space="preserve">http://geoportail.wallonie.be/ressources/id/ </t>
  </si>
  <si>
    <t xml:space="preserve">Niveau hiérarchique des données spécifiées par l'attribut DQ_Scope </t>
  </si>
  <si>
    <t>Identifiant de la fiche de métadonnées de laquelle cette fiche est un sous-ensemble (enfant). Cet information est accessible via l'application via les ressources associées et doit être remplie soit dans ce formulaire ou soit via l'application une fois que la fiche y est créée.</t>
  </si>
  <si>
    <t>localCode</t>
  </si>
  <si>
    <t>referenceSystemCode</t>
  </si>
  <si>
    <t>Type de ressources</t>
  </si>
  <si>
    <t>Type de mots-clés libres</t>
  </si>
  <si>
    <t>versionFormat1</t>
  </si>
  <si>
    <t>versionFormat2</t>
  </si>
  <si>
    <t>versionFormat3</t>
  </si>
  <si>
    <t>ESRI Shapefile (.shp)</t>
  </si>
  <si>
    <t>GML (.gml)</t>
  </si>
  <si>
    <t>Protocole de distribution de la ressource</t>
  </si>
  <si>
    <t>Description détaillée de la source en ligne. La description doit reprendre en première partie le nom de la ressource, séparé de la description par un tiret.</t>
  </si>
  <si>
    <t>Téléchargement</t>
  </si>
  <si>
    <t>Données spécifiées pour lesquelles s'appliquent les informations de qualité des données</t>
  </si>
  <si>
    <t>International Standards Organization</t>
  </si>
  <si>
    <t>[Optionnel] mais [Obligatoire] dans le cas de l'évaluation de la conformité à une spécification de données INSPIRE</t>
  </si>
  <si>
    <t>roleType</t>
  </si>
  <si>
    <t>Rôle</t>
  </si>
  <si>
    <t>Statut de la ressource</t>
  </si>
  <si>
    <t>Raster</t>
  </si>
  <si>
    <t>Table</t>
  </si>
  <si>
    <t>TIN</t>
  </si>
  <si>
    <t>Reprendre les noms existants</t>
  </si>
  <si>
    <t>dans Metawal?</t>
  </si>
  <si>
    <t>Discipline</t>
  </si>
  <si>
    <t>Strate</t>
  </si>
  <si>
    <t>Temps</t>
  </si>
  <si>
    <t>Thème</t>
  </si>
  <si>
    <t>Adobe PDF (.pdf)</t>
  </si>
  <si>
    <t>Adobe 3D PDF (.pdf)</t>
  </si>
  <si>
    <t>Adobe Geospatial PDF (.pdf)</t>
  </si>
  <si>
    <t>Autodesk AutoCAD DXF (.dxf)</t>
  </si>
  <si>
    <t>Autodesk AutoCAD DWG (.dwg)</t>
  </si>
  <si>
    <t>CityGML</t>
  </si>
  <si>
    <t>Comma Separated Value (.csv)</t>
  </si>
  <si>
    <t>GeoSciML (.gsml)</t>
  </si>
  <si>
    <t>ESRI ArcGIS Map Document (.mxd)</t>
  </si>
  <si>
    <t>ESRI Personal Geodatabase (.mdb ou .accdb)</t>
  </si>
  <si>
    <t>GeoTIFF (.tif)</t>
  </si>
  <si>
    <t>GIF (.gif)</t>
  </si>
  <si>
    <t>GML-SF</t>
  </si>
  <si>
    <t>GML INSPIRE (.gml)</t>
  </si>
  <si>
    <t>GPX (.gpx)</t>
  </si>
  <si>
    <t>JPEG (.jpg ou .jpeg)</t>
  </si>
  <si>
    <t>JPEG2000 (.jp2 ou .j2k)</t>
  </si>
  <si>
    <t>KML (.kml ou .kmz)</t>
  </si>
  <si>
    <t>MapInfo MIF/MID (.mif)</t>
  </si>
  <si>
    <t>Microsoft Access (.mdb ou .accdb)</t>
  </si>
  <si>
    <t>Microsoft Excel (.xls ou .xlsx)</t>
  </si>
  <si>
    <t>STAR-APIC (.asc)</t>
  </si>
  <si>
    <t>STAR CARTO (.std)</t>
  </si>
  <si>
    <t>STAR GIS</t>
  </si>
  <si>
    <t>SVG (.svg)</t>
  </si>
  <si>
    <t>TXT (.txt)</t>
  </si>
  <si>
    <t>TIFF (.tif ou .tiff)</t>
  </si>
  <si>
    <t>ZIP (.zip)</t>
  </si>
  <si>
    <t>Application</t>
  </si>
  <si>
    <t>Application intranet</t>
  </si>
  <si>
    <t>Application sécurisée</t>
  </si>
  <si>
    <t>Service</t>
  </si>
  <si>
    <t>Service intranet</t>
  </si>
  <si>
    <t>Service securisé</t>
  </si>
  <si>
    <t>Site</t>
  </si>
  <si>
    <t>Site intranet</t>
  </si>
  <si>
    <t>Site securisé</t>
  </si>
  <si>
    <t>Site ftp</t>
  </si>
  <si>
    <t>Document</t>
  </si>
  <si>
    <t>Description de la ressource en ligne</t>
  </si>
  <si>
    <t>OGC-CSW Catalogue Service for the Web</t>
  </si>
  <si>
    <t>OGC-KML Keyhole Markup Language</t>
  </si>
  <si>
    <t>OGC-GML Geography Markup Language</t>
  </si>
  <si>
    <t>OGC-ODS OpenLS Directory Service</t>
  </si>
  <si>
    <t>OGC-ODS OpenLS Gateway Service</t>
  </si>
  <si>
    <t>OGC-ODS OpenLS Utility Service</t>
  </si>
  <si>
    <t>OGC-ODS OpenLS Presentation Service</t>
  </si>
  <si>
    <t>OGC-ODS OpenLS Route Service</t>
  </si>
  <si>
    <t>OGC-SOS Sensor Observation Service</t>
  </si>
  <si>
    <t>OGC-SPS Sensor Planning Service</t>
  </si>
  <si>
    <t>OGC-SAS Sensor Alert Service</t>
  </si>
  <si>
    <t>OGC-WCS Web Coverage Service</t>
  </si>
  <si>
    <t>OGC-WCTS Web Coordinate Transformation Service</t>
  </si>
  <si>
    <t>OGC-WFS Web Feature Service</t>
  </si>
  <si>
    <t>OGC-WFS-G Gazzetteer Service</t>
  </si>
  <si>
    <t>OGC-WMC Web Map Context</t>
  </si>
  <si>
    <t>OGC-WMS Web Map Service</t>
  </si>
  <si>
    <t>OGC-WNS Web Notification Service</t>
  </si>
  <si>
    <t>OGC-WPS Web Processing Service</t>
  </si>
  <si>
    <t>Fichier à télécharger (FTP)</t>
  </si>
  <si>
    <t>Fichier à télécharger</t>
  </si>
  <si>
    <t>iCalendar (URL)</t>
  </si>
  <si>
    <t>Adresse Internet (URL)</t>
  </si>
  <si>
    <t>Fil RSS (URL)</t>
  </si>
  <si>
    <t>OPeNDAP URL</t>
  </si>
  <si>
    <t>Data Turbine</t>
  </si>
  <si>
    <t>Unknown Service Type</t>
  </si>
  <si>
    <t>Fonction de la ressource en ligne</t>
  </si>
  <si>
    <t>Commande en ligne</t>
  </si>
  <si>
    <t>Commande hors ligne</t>
  </si>
  <si>
    <t>Information</t>
  </si>
  <si>
    <t>Interface de recherche</t>
  </si>
  <si>
    <t>Données accessibles gratuitement à des fins de recherche sous condition d'acceptation d'une licence. Les instructions relatives à la licence se trouvent à l'adresse http://geoportail.wallonie.be/licenceunique</t>
  </si>
  <si>
    <t>Application réservée aux agents autorisés. Un login est nécessaire pour accéder à l'application.Contacter le gestionnaire de l'application à l'adresse gestionnaire@application.wallonie.be pour obtenir un login.</t>
  </si>
  <si>
    <t>code administratif</t>
  </si>
  <si>
    <t>comptabilité</t>
  </si>
  <si>
    <t>vie animale</t>
  </si>
  <si>
    <t>produit de consommation</t>
  </si>
  <si>
    <t>pont</t>
  </si>
  <si>
    <t>organisme administratif a compétence environnementale</t>
  </si>
  <si>
    <t>bruit et santé</t>
  </si>
  <si>
    <t>corps humain</t>
  </si>
  <si>
    <t>sciences humaines</t>
  </si>
  <si>
    <t>transfert de l'information</t>
  </si>
  <si>
    <t>acte juridique</t>
  </si>
  <si>
    <t>recherche météorologique</t>
  </si>
  <si>
    <t>protection des espaces naturels</t>
  </si>
  <si>
    <t>prévention des risques naturels</t>
  </si>
  <si>
    <t>physicochimie</t>
  </si>
  <si>
    <t>mesure physique de la pollution</t>
  </si>
  <si>
    <t>vie végétale</t>
  </si>
  <si>
    <t>production végétale</t>
  </si>
  <si>
    <t>type de pollution</t>
  </si>
  <si>
    <t>prévention des pollutions</t>
  </si>
  <si>
    <t>gestion du risque</t>
  </si>
  <si>
    <t>système de sécurité</t>
  </si>
  <si>
    <t>génie parasismique</t>
  </si>
  <si>
    <t>sciences sociales</t>
  </si>
  <si>
    <t>gestion des eaux superficielles</t>
  </si>
  <si>
    <t>protection de la faune et de la flore</t>
  </si>
  <si>
    <t>centre historique</t>
  </si>
  <si>
    <t>promotion du commerce et de l'industrie</t>
  </si>
  <si>
    <t>maçonnerie</t>
  </si>
  <si>
    <t>brome</t>
  </si>
  <si>
    <t>replat sableux</t>
  </si>
  <si>
    <t>espèce animale</t>
  </si>
  <si>
    <t>espèce végétale</t>
  </si>
  <si>
    <t>profession</t>
  </si>
  <si>
    <t>tradition populaire</t>
  </si>
  <si>
    <t>branches du droit</t>
  </si>
  <si>
    <t>organisation judiciaire</t>
  </si>
  <si>
    <t>méthode chimique de mesure de la pollution</t>
  </si>
  <si>
    <t>instrument de mesure</t>
  </si>
  <si>
    <t>évolution des polluants</t>
  </si>
  <si>
    <t>bruit urbain</t>
  </si>
  <si>
    <t>propreté</t>
  </si>
  <si>
    <t>environnement industriel (généralités)</t>
  </si>
  <si>
    <t>risque naturel</t>
  </si>
  <si>
    <t>étude des risques naturels</t>
  </si>
  <si>
    <t>risque majeur</t>
  </si>
  <si>
    <t>système de secours</t>
  </si>
  <si>
    <t>gestion de crise</t>
  </si>
  <si>
    <t>fiscalité</t>
  </si>
  <si>
    <t>concept d'environnement</t>
  </si>
  <si>
    <t>écologie forestière</t>
  </si>
  <si>
    <t>écologie scientifique</t>
  </si>
  <si>
    <t>écologie urbaine</t>
  </si>
  <si>
    <t>écozone</t>
  </si>
  <si>
    <t>ingéniérie de l'environnement</t>
  </si>
  <si>
    <t>paléoécologie</t>
  </si>
  <si>
    <t>patrimoine biologique</t>
  </si>
  <si>
    <t>couvaison</t>
  </si>
  <si>
    <t>altitude</t>
  </si>
  <si>
    <t>calanque</t>
  </si>
  <si>
    <t>gorge</t>
  </si>
  <si>
    <t>cap</t>
  </si>
  <si>
    <t>cirque géographique</t>
  </si>
  <si>
    <t>continent</t>
  </si>
  <si>
    <t>cordon littoral</t>
  </si>
  <si>
    <t>ruisseau</t>
  </si>
  <si>
    <t>crique</t>
  </si>
  <si>
    <t>faille</t>
  </si>
  <si>
    <t>falaise</t>
  </si>
  <si>
    <t>haute mer</t>
  </si>
  <si>
    <t>lagon</t>
  </si>
  <si>
    <t>lit de cours d'eau</t>
  </si>
  <si>
    <t>environnement physique</t>
  </si>
  <si>
    <t>plaine alluviale</t>
  </si>
  <si>
    <t>récif barrière</t>
  </si>
  <si>
    <t>relief</t>
  </si>
  <si>
    <t>ordonnance des  biotopes</t>
  </si>
  <si>
    <t>espace naturel sensible</t>
  </si>
  <si>
    <t>étude de milieu</t>
  </si>
  <si>
    <t>milieu abiotique</t>
  </si>
  <si>
    <t>milieu aquatique</t>
  </si>
  <si>
    <t>milieu sensible</t>
  </si>
  <si>
    <t>milieu terrestre</t>
  </si>
  <si>
    <t>parc marin</t>
  </si>
  <si>
    <t>broussaille</t>
  </si>
  <si>
    <t>parc naturel régional</t>
  </si>
  <si>
    <t>réserve</t>
  </si>
  <si>
    <t>réserve biologique gouvernementale</t>
  </si>
  <si>
    <t>réserve biologique forestière</t>
  </si>
  <si>
    <t>réserve naturelle volontaire</t>
  </si>
  <si>
    <t>zone centrale de parc</t>
  </si>
  <si>
    <t>zone marine protégée</t>
  </si>
  <si>
    <t>zone périphérique de parc</t>
  </si>
  <si>
    <t>alignement</t>
  </si>
  <si>
    <t>bocage</t>
  </si>
  <si>
    <t>jardin à la française</t>
  </si>
  <si>
    <t>jardin à l'anglaise</t>
  </si>
  <si>
    <t>jardin en terrasses</t>
  </si>
  <si>
    <t>bryophites</t>
  </si>
  <si>
    <t>paysage en terrasses</t>
  </si>
  <si>
    <t>protection de la montagne</t>
  </si>
  <si>
    <t>protection des sites</t>
  </si>
  <si>
    <t>protection du littoral</t>
  </si>
  <si>
    <t>politique de la &amp;quot;bulle&amp;quot; (permis d'émissions négociables)</t>
  </si>
  <si>
    <t>restauration de site</t>
  </si>
  <si>
    <t>site classé</t>
  </si>
  <si>
    <t>site inscrit</t>
  </si>
  <si>
    <t>budget</t>
  </si>
  <si>
    <t>charte d'écologie urbaine</t>
  </si>
  <si>
    <t>écocitoyenneté</t>
  </si>
  <si>
    <t>gestion intégrée</t>
  </si>
  <si>
    <t>mécénat</t>
  </si>
  <si>
    <t>plan municipal d'environnement</t>
  </si>
  <si>
    <t>sensibilisation du public</t>
  </si>
  <si>
    <t>punaise</t>
  </si>
  <si>
    <t>compétence administrative</t>
  </si>
  <si>
    <t>poisson migrateur</t>
  </si>
  <si>
    <t>zone construite</t>
  </si>
  <si>
    <t>composant préfabriqué (bâtiment)</t>
  </si>
  <si>
    <t>félidé</t>
  </si>
  <si>
    <t>industrie du bâtiment</t>
  </si>
  <si>
    <t>zone constructible</t>
  </si>
  <si>
    <t>matériau de construction</t>
  </si>
  <si>
    <t>mammifère marin</t>
  </si>
  <si>
    <t>industrie des matériaux de construction</t>
  </si>
  <si>
    <t>ovidé</t>
  </si>
  <si>
    <t>planification de la construction</t>
  </si>
  <si>
    <t>réglementation du bâtiment</t>
  </si>
  <si>
    <t>abri</t>
  </si>
  <si>
    <t>aire de nidification</t>
  </si>
  <si>
    <t>autorisation administrative</t>
  </si>
  <si>
    <t>couloir d'animaux</t>
  </si>
  <si>
    <t>dégât animal</t>
  </si>
  <si>
    <t>déplacement d'animaux</t>
  </si>
  <si>
    <t>chantier</t>
  </si>
  <si>
    <t>frayère</t>
  </si>
  <si>
    <t>habitat animal</t>
  </si>
  <si>
    <t>nidification</t>
  </si>
  <si>
    <t>population animale</t>
  </si>
  <si>
    <t>viabilisation</t>
  </si>
  <si>
    <t>reproduction animale</t>
  </si>
  <si>
    <t>survie</t>
  </si>
  <si>
    <t>espèce endémique</t>
  </si>
  <si>
    <t>feuillu</t>
  </si>
  <si>
    <t>pré sous-marin</t>
  </si>
  <si>
    <t>macrophyte</t>
  </si>
  <si>
    <t>technologie du bâtiment</t>
  </si>
  <si>
    <t>déchet de construction</t>
  </si>
  <si>
    <t>ripisylve</t>
  </si>
  <si>
    <t>châtaignier</t>
  </si>
  <si>
    <t>système de drainage bâti</t>
  </si>
  <si>
    <t>graminée</t>
  </si>
  <si>
    <t>posidonie</t>
  </si>
  <si>
    <t>étage de végétation</t>
  </si>
  <si>
    <t>environnement bâti</t>
  </si>
  <si>
    <t>population végétale</t>
  </si>
  <si>
    <t>structure bâtie</t>
  </si>
  <si>
    <t>arboretum</t>
  </si>
  <si>
    <t>chorologie</t>
  </si>
  <si>
    <t>collection de documents divers</t>
  </si>
  <si>
    <t>agglomération</t>
  </si>
  <si>
    <t>réserve pour animaux</t>
  </si>
  <si>
    <t>jardin botanique</t>
  </si>
  <si>
    <t>introduction d'espèces animales</t>
  </si>
  <si>
    <t>introduction d'espèces végétales</t>
  </si>
  <si>
    <t>patrimoine animal</t>
  </si>
  <si>
    <t>patrimoine végétal</t>
  </si>
  <si>
    <t>culture des bulbes</t>
  </si>
  <si>
    <t>protection des animaux</t>
  </si>
  <si>
    <t>réintroduction d'espèces animales</t>
  </si>
  <si>
    <t>réintroduction d'espèces végétales</t>
  </si>
  <si>
    <t>reboisement</t>
  </si>
  <si>
    <t>chablis</t>
  </si>
  <si>
    <t>élagage</t>
  </si>
  <si>
    <t>exploitation forestière</t>
  </si>
  <si>
    <t>forêt de montagne</t>
  </si>
  <si>
    <t>forêt domaniale</t>
  </si>
  <si>
    <t>forêt méditérranéenne</t>
  </si>
  <si>
    <t>forêt privée</t>
  </si>
  <si>
    <t>futaie</t>
  </si>
  <si>
    <t>maquis</t>
  </si>
  <si>
    <t>juridiction administrative</t>
  </si>
  <si>
    <t>pelouse sèche</t>
  </si>
  <si>
    <t>pépinière</t>
  </si>
  <si>
    <t>protection de la forêt</t>
  </si>
  <si>
    <t>régénération naturelle</t>
  </si>
  <si>
    <t>résineux</t>
  </si>
  <si>
    <t>taillis sous futaie</t>
  </si>
  <si>
    <t>jeu</t>
  </si>
  <si>
    <t>grand gibier</t>
  </si>
  <si>
    <t>conchyliculture</t>
  </si>
  <si>
    <t>bureaucratisation</t>
  </si>
  <si>
    <t>ostréiculture</t>
  </si>
  <si>
    <t>pêche professionnelle</t>
  </si>
  <si>
    <t>réserve nationale de pêche</t>
  </si>
  <si>
    <t>action socio-éducative</t>
  </si>
  <si>
    <t>concours</t>
  </si>
  <si>
    <t>formation continue</t>
  </si>
  <si>
    <t>formation initiale</t>
  </si>
  <si>
    <t>pédagogie</t>
  </si>
  <si>
    <t>droit administratif</t>
  </si>
  <si>
    <t>métier de l'environnement</t>
  </si>
  <si>
    <t>autobus</t>
  </si>
  <si>
    <t>fonction publique</t>
  </si>
  <si>
    <t>organisation du travail</t>
  </si>
  <si>
    <t>entreprise</t>
  </si>
  <si>
    <t>base de loisirs</t>
  </si>
  <si>
    <t>équipement collectif</t>
  </si>
  <si>
    <t>piste cyclable</t>
  </si>
  <si>
    <t>piste de ski</t>
  </si>
  <si>
    <t>circuit touristique</t>
  </si>
  <si>
    <t>écomusée</t>
  </si>
  <si>
    <t>folklore</t>
  </si>
  <si>
    <t>fréquentation du public</t>
  </si>
  <si>
    <t>fréquentation touristique</t>
  </si>
  <si>
    <t>gîte rural</t>
  </si>
  <si>
    <t>hébergement</t>
  </si>
  <si>
    <t>public</t>
  </si>
  <si>
    <t>sentier</t>
  </si>
  <si>
    <t>sentier littoral</t>
  </si>
  <si>
    <t>sentier pédagogique</t>
  </si>
  <si>
    <t>station balnéaire</t>
  </si>
  <si>
    <t>papillon</t>
  </si>
  <si>
    <t>station de montagne</t>
  </si>
  <si>
    <t>station de sports d'hiver</t>
  </si>
  <si>
    <t>unité touristique</t>
  </si>
  <si>
    <t>véhicule tout terrain</t>
  </si>
  <si>
    <t>densité de population</t>
  </si>
  <si>
    <t>jeune</t>
  </si>
  <si>
    <t>pile bouton</t>
  </si>
  <si>
    <t>population active</t>
  </si>
  <si>
    <t>aménagement du temps</t>
  </si>
  <si>
    <t>biens durables</t>
  </si>
  <si>
    <t>bien non durable</t>
  </si>
  <si>
    <t>capture accessoire</t>
  </si>
  <si>
    <t>biens</t>
  </si>
  <si>
    <t>biens et services</t>
  </si>
  <si>
    <t>budget temps</t>
  </si>
  <si>
    <t>cadre de vie</t>
  </si>
  <si>
    <t>cycle de vie d'un produit</t>
  </si>
  <si>
    <t>écolabel</t>
  </si>
  <si>
    <t>certification qualité</t>
  </si>
  <si>
    <t>niveau de vie</t>
  </si>
  <si>
    <t>sous-produit</t>
  </si>
  <si>
    <t>offre et demande</t>
  </si>
  <si>
    <t>inégalité écologique</t>
  </si>
  <si>
    <t>inégalité sociale</t>
  </si>
  <si>
    <t>mythe</t>
  </si>
  <si>
    <t>attitude NIMBY</t>
  </si>
  <si>
    <t>psychosociologie</t>
  </si>
  <si>
    <t>représentation sociale</t>
  </si>
  <si>
    <t>sentiment de la nature</t>
  </si>
  <si>
    <t>socio-économie</t>
  </si>
  <si>
    <t>câble</t>
  </si>
  <si>
    <t>accès aux documents administratifs</t>
  </si>
  <si>
    <t>acte administratif</t>
  </si>
  <si>
    <t>administration territoriale</t>
  </si>
  <si>
    <t>aide à la décision</t>
  </si>
  <si>
    <t>attribution ministérielle</t>
  </si>
  <si>
    <t>citoyen</t>
  </si>
  <si>
    <t>collectivité locale</t>
  </si>
  <si>
    <t>collectivité territoriale</t>
  </si>
  <si>
    <t>débat parlementaire</t>
  </si>
  <si>
    <t>facteur abiotique</t>
  </si>
  <si>
    <t>cadmium</t>
  </si>
  <si>
    <t>motivation des actes administratifs</t>
  </si>
  <si>
    <t>contamination par le cadmium</t>
  </si>
  <si>
    <t>plan économique</t>
  </si>
  <si>
    <t>principe de subsidiarité</t>
  </si>
  <si>
    <t>césium</t>
  </si>
  <si>
    <t>aide financière</t>
  </si>
  <si>
    <t>aide internationale</t>
  </si>
  <si>
    <t>aide publique</t>
  </si>
  <si>
    <t>comptabilité nationale</t>
  </si>
  <si>
    <t>compte satellite</t>
  </si>
  <si>
    <t>dépense des ménages</t>
  </si>
  <si>
    <t>dépense publique</t>
  </si>
  <si>
    <t>fonds d'intervention</t>
  </si>
  <si>
    <t>fonds financier</t>
  </si>
  <si>
    <t>Fonds monétaire européen</t>
  </si>
  <si>
    <t>Fonds monétaire international</t>
  </si>
  <si>
    <t>incitation économique</t>
  </si>
  <si>
    <t>incitation fiscale</t>
  </si>
  <si>
    <t>produit intérieur brut</t>
  </si>
  <si>
    <t>taxe parafiscale</t>
  </si>
  <si>
    <t>analyse de filière</t>
  </si>
  <si>
    <t>audit</t>
  </si>
  <si>
    <t>évaluation du patrimoine naturel</t>
  </si>
  <si>
    <t>coût de l'eau</t>
  </si>
  <si>
    <t>écomarketing</t>
  </si>
  <si>
    <t>gestion patrimoniale</t>
  </si>
  <si>
    <t>investissement antipollution</t>
  </si>
  <si>
    <t>marché de l'environnement</t>
  </si>
  <si>
    <t>prime antipollution</t>
  </si>
  <si>
    <t>tarification de l'eau</t>
  </si>
  <si>
    <t>théorie de l'environnement</t>
  </si>
  <si>
    <t>activité commerciale</t>
  </si>
  <si>
    <t>développement local</t>
  </si>
  <si>
    <t>étude de marché</t>
  </si>
  <si>
    <t>procédure administrative</t>
  </si>
  <si>
    <t>libre échange</t>
  </si>
  <si>
    <t>pays moins avancé</t>
  </si>
  <si>
    <t>relation Nord-Sud</t>
  </si>
  <si>
    <t>calcium</t>
  </si>
  <si>
    <t>calcul</t>
  </si>
  <si>
    <t>densité</t>
  </si>
  <si>
    <t>distribution spatiale</t>
  </si>
  <si>
    <t>donnée économique</t>
  </si>
  <si>
    <t>teneur en calcium</t>
  </si>
  <si>
    <t>index</t>
  </si>
  <si>
    <t>recensement</t>
  </si>
  <si>
    <t>série statistique</t>
  </si>
  <si>
    <t>sondage d'opinion</t>
  </si>
  <si>
    <t>méthode de calcul</t>
  </si>
  <si>
    <t>taux</t>
  </si>
  <si>
    <t>variation saisonnière</t>
  </si>
  <si>
    <t>comité scientifique</t>
  </si>
  <si>
    <t>controverse scientifique</t>
  </si>
  <si>
    <t>étalonnage</t>
  </si>
  <si>
    <t>recherche appliquée</t>
  </si>
  <si>
    <t>recherche scientifique</t>
  </si>
  <si>
    <t>étalonnage des instruments de mesure</t>
  </si>
  <si>
    <t>agronomie</t>
  </si>
  <si>
    <t>agrosystème</t>
  </si>
  <si>
    <t>calamité agricole</t>
  </si>
  <si>
    <t>sous-estimation agricole</t>
  </si>
  <si>
    <t>développement rural</t>
  </si>
  <si>
    <t>hydraulique agricole</t>
  </si>
  <si>
    <t>technique culturale</t>
  </si>
  <si>
    <t>culture fourragère</t>
  </si>
  <si>
    <t>culture maraîchère</t>
  </si>
  <si>
    <t>semence</t>
  </si>
  <si>
    <t>traitement des cultures</t>
  </si>
  <si>
    <t>traitement phytosanitaire</t>
  </si>
  <si>
    <t>aviculture</t>
  </si>
  <si>
    <t>technique d'élevage</t>
  </si>
  <si>
    <t>transhumance</t>
  </si>
  <si>
    <t>sanction administrative</t>
  </si>
  <si>
    <t>amendement minéral</t>
  </si>
  <si>
    <t>assèchement</t>
  </si>
  <si>
    <t>culture sur brûlis</t>
  </si>
  <si>
    <t>craie</t>
  </si>
  <si>
    <t>engrais azote</t>
  </si>
  <si>
    <t>camping</t>
  </si>
  <si>
    <t>engrais phosphate</t>
  </si>
  <si>
    <t>engrais potassique</t>
  </si>
  <si>
    <t>épuration par le sol</t>
  </si>
  <si>
    <t>lessivage du sol</t>
  </si>
  <si>
    <t>matière minérale</t>
  </si>
  <si>
    <t>matière organique</t>
  </si>
  <si>
    <t>réseau de drainage</t>
  </si>
  <si>
    <t>réseau d'irrigation</t>
  </si>
  <si>
    <t>salinité du sol</t>
  </si>
  <si>
    <t>valeur agronomique</t>
  </si>
  <si>
    <t>aménagement de la montagne</t>
  </si>
  <si>
    <t>gestion et planification rurale</t>
  </si>
  <si>
    <t>aménagement touristique</t>
  </si>
  <si>
    <t>groupement forestier</t>
  </si>
  <si>
    <t>projet d'équipement</t>
  </si>
  <si>
    <t>abords (agglomération)</t>
  </si>
  <si>
    <t>canal</t>
  </si>
  <si>
    <t>gare ferroviaire</t>
  </si>
  <si>
    <t>gare routière</t>
  </si>
  <si>
    <t>matériau routier</t>
  </si>
  <si>
    <t>ouvrage d'art</t>
  </si>
  <si>
    <t>réseau ferroviaire</t>
  </si>
  <si>
    <t>réseau routier</t>
  </si>
  <si>
    <t>navigation</t>
  </si>
  <si>
    <t>marine marchande</t>
  </si>
  <si>
    <t>transport combiné</t>
  </si>
  <si>
    <t>cancer</t>
  </si>
  <si>
    <t>communauté urbaine</t>
  </si>
  <si>
    <t>document d'urbanisme</t>
  </si>
  <si>
    <t>espace périurbain</t>
  </si>
  <si>
    <t>maison individuelle</t>
  </si>
  <si>
    <t>plan d'occupation des sols</t>
  </si>
  <si>
    <t>planification et développement urbain</t>
  </si>
  <si>
    <t>régime foncier</t>
  </si>
  <si>
    <t>risque de cancer</t>
  </si>
  <si>
    <t>ville nouvelle</t>
  </si>
  <si>
    <t>zone de préemption</t>
  </si>
  <si>
    <t>zone d'intervention foncière</t>
  </si>
  <si>
    <t>canidé</t>
  </si>
  <si>
    <t>architecture rurale</t>
  </si>
  <si>
    <t>architecture traditionnelle</t>
  </si>
  <si>
    <t>destruction de bâtiment</t>
  </si>
  <si>
    <t>génie urbain</t>
  </si>
  <si>
    <t>restauration de bâtiment</t>
  </si>
  <si>
    <t>déclaration réglementaire</t>
  </si>
  <si>
    <t>norme de qualité</t>
  </si>
  <si>
    <t>norme européenne</t>
  </si>
  <si>
    <t>norme ISO</t>
  </si>
  <si>
    <t>réglementation technique</t>
  </si>
  <si>
    <t>codification</t>
  </si>
  <si>
    <t>doctrine (droit)</t>
  </si>
  <si>
    <t>droit des transports</t>
  </si>
  <si>
    <t>droit rural</t>
  </si>
  <si>
    <t>droits des animaux</t>
  </si>
  <si>
    <t>droits des générations futures</t>
  </si>
  <si>
    <t>droits du citoyen</t>
  </si>
  <si>
    <t>automobile</t>
  </si>
  <si>
    <t>avis</t>
  </si>
  <si>
    <t>circulaire</t>
  </si>
  <si>
    <t>décision communautaire</t>
  </si>
  <si>
    <t>ordre</t>
  </si>
  <si>
    <t>instruction administrative</t>
  </si>
  <si>
    <t>instruction technique</t>
  </si>
  <si>
    <t>droit (corpus de lois)</t>
  </si>
  <si>
    <t>permis de chasse</t>
  </si>
  <si>
    <t>permis de construire</t>
  </si>
  <si>
    <t>permis de pêche</t>
  </si>
  <si>
    <t>projet de loi</t>
  </si>
  <si>
    <t>règlement</t>
  </si>
  <si>
    <t>transposition de directive</t>
  </si>
  <si>
    <t>concession</t>
  </si>
  <si>
    <t>débat public</t>
  </si>
  <si>
    <t>déclaration d'utilité publique</t>
  </si>
  <si>
    <t>domaine privé</t>
  </si>
  <si>
    <t>domaine public fluvial</t>
  </si>
  <si>
    <t>domaine public maritime</t>
  </si>
  <si>
    <t>droit d'accès</t>
  </si>
  <si>
    <t>enquête d'utilité publique</t>
  </si>
  <si>
    <t>enquête publique</t>
  </si>
  <si>
    <t>gestion déléguée</t>
  </si>
  <si>
    <t>contrôle d'état</t>
  </si>
  <si>
    <t>servitude</t>
  </si>
  <si>
    <t>crime</t>
  </si>
  <si>
    <t>pouvoir de police</t>
  </si>
  <si>
    <t>procédure pénale</t>
  </si>
  <si>
    <t>arrêt (droit)</t>
  </si>
  <si>
    <t>conflit</t>
  </si>
  <si>
    <t>contentieux</t>
  </si>
  <si>
    <t>cour administrative</t>
  </si>
  <si>
    <t>Cour de justice des communautés européennes</t>
  </si>
  <si>
    <t>justice</t>
  </si>
  <si>
    <t>procès</t>
  </si>
  <si>
    <t>hydrate de carbone</t>
  </si>
  <si>
    <t>tribunal</t>
  </si>
  <si>
    <t>carbone</t>
  </si>
  <si>
    <t>bail</t>
  </si>
  <si>
    <t>certification</t>
  </si>
  <si>
    <t>homologation</t>
  </si>
  <si>
    <t>carbonate</t>
  </si>
  <si>
    <t>notification</t>
  </si>
  <si>
    <t>préemption</t>
  </si>
  <si>
    <t>prescription</t>
  </si>
  <si>
    <t>répression</t>
  </si>
  <si>
    <t>délégation de pouvoir</t>
  </si>
  <si>
    <t>flux de polluant</t>
  </si>
  <si>
    <t>interface air mer</t>
  </si>
  <si>
    <t>migration de polluant</t>
  </si>
  <si>
    <t>pollution accidentelle</t>
  </si>
  <si>
    <t>pollution bactériologique</t>
  </si>
  <si>
    <t>cycle du carbone</t>
  </si>
  <si>
    <t>pollution diffuse</t>
  </si>
  <si>
    <t>pollution domestique</t>
  </si>
  <si>
    <t>pollution minérale</t>
  </si>
  <si>
    <t>pollution organique</t>
  </si>
  <si>
    <t>pollution photochimique</t>
  </si>
  <si>
    <t>pollution tellurique</t>
  </si>
  <si>
    <t>pollution toxique</t>
  </si>
  <si>
    <t>rejet en cours d'eau</t>
  </si>
  <si>
    <t>rejet en sous sol</t>
  </si>
  <si>
    <t>polluant urbain</t>
  </si>
  <si>
    <t>mesure de prévention</t>
  </si>
  <si>
    <t>mesure de protection</t>
  </si>
  <si>
    <t>acidité forte</t>
  </si>
  <si>
    <t>biomarqueur</t>
  </si>
  <si>
    <t>contamination biologique</t>
  </si>
  <si>
    <t>contamination chimique</t>
  </si>
  <si>
    <t>effet biologique de la pollution</t>
  </si>
  <si>
    <t>dioxyde de carbone</t>
  </si>
  <si>
    <t>irréversibilité du phénomène</t>
  </si>
  <si>
    <t>objectif de qualité</t>
  </si>
  <si>
    <t>particule solide</t>
  </si>
  <si>
    <t>pouvoir épurateur</t>
  </si>
  <si>
    <t>taxe sur le dioxyde de carbone</t>
  </si>
  <si>
    <t>capteur</t>
  </si>
  <si>
    <t>instrumentation</t>
  </si>
  <si>
    <t>métrologie</t>
  </si>
  <si>
    <t>satellite d'observation</t>
  </si>
  <si>
    <t>atrazine</t>
  </si>
  <si>
    <t>azote organique</t>
  </si>
  <si>
    <t>composé halogéné</t>
  </si>
  <si>
    <t>monoxyde de carbone</t>
  </si>
  <si>
    <t>monoxyde de soufre</t>
  </si>
  <si>
    <t>pyralène</t>
  </si>
  <si>
    <t>asbestose</t>
  </si>
  <si>
    <t>génotoxicité</t>
  </si>
  <si>
    <t>intoxication</t>
  </si>
  <si>
    <t>équarrissage</t>
  </si>
  <si>
    <t>test biologique</t>
  </si>
  <si>
    <t>carbone organique total</t>
  </si>
  <si>
    <t>décomposition chimique</t>
  </si>
  <si>
    <t>test de laboratoire</t>
  </si>
  <si>
    <t>indice biotique</t>
  </si>
  <si>
    <t>matière oxydable</t>
  </si>
  <si>
    <t>oxygène dissous</t>
  </si>
  <si>
    <t>photodécomposition</t>
  </si>
  <si>
    <t>substance insoluble</t>
  </si>
  <si>
    <t>substance non volatile</t>
  </si>
  <si>
    <t>substance peu dégradable</t>
  </si>
  <si>
    <t>substance volatile</t>
  </si>
  <si>
    <t>corrosivité chimique</t>
  </si>
  <si>
    <t>analyse physico-chimique</t>
  </si>
  <si>
    <t>cancérigènicité</t>
  </si>
  <si>
    <t>étude expérimentale</t>
  </si>
  <si>
    <t>granulométrie</t>
  </si>
  <si>
    <t>test de cancérigénicité</t>
  </si>
  <si>
    <t>prélèvement</t>
  </si>
  <si>
    <t>produit chimique</t>
  </si>
  <si>
    <t>produit inflammable</t>
  </si>
  <si>
    <t>propriété organoleptique</t>
  </si>
  <si>
    <t>cancérigène</t>
  </si>
  <si>
    <t>système auditif</t>
  </si>
  <si>
    <t>système cardiovasculaire</t>
  </si>
  <si>
    <t>cardiologie</t>
  </si>
  <si>
    <t>maladie cardiovasculaire</t>
  </si>
  <si>
    <t>entérovirus</t>
  </si>
  <si>
    <t>biologie animale</t>
  </si>
  <si>
    <t>biologie végétale</t>
  </si>
  <si>
    <t>patrimoine génétique</t>
  </si>
  <si>
    <t>acuité auditive</t>
  </si>
  <si>
    <t>décibel</t>
  </si>
  <si>
    <t>qualité acoustique</t>
  </si>
  <si>
    <t>Caraïbes (les)</t>
  </si>
  <si>
    <t>spectre de bruit</t>
  </si>
  <si>
    <t>carnivores</t>
  </si>
  <si>
    <t>vibration mécanique</t>
  </si>
  <si>
    <t>bruit aérien</t>
  </si>
  <si>
    <t>bruit de fond</t>
  </si>
  <si>
    <t>bruit de roulement</t>
  </si>
  <si>
    <t>bruit de voisinage</t>
  </si>
  <si>
    <t>confort acoustique</t>
  </si>
  <si>
    <t>plan d'exposition au bruit</t>
  </si>
  <si>
    <t>centrale marémotrice</t>
  </si>
  <si>
    <t>énergie hydroélectrique</t>
  </si>
  <si>
    <t>microcentrale</t>
  </si>
  <si>
    <t>moulin à eau</t>
  </si>
  <si>
    <t>capacité de charge écologique</t>
  </si>
  <si>
    <t>effet de report</t>
  </si>
  <si>
    <t>déclassement de centrale</t>
  </si>
  <si>
    <t>adsorption</t>
  </si>
  <si>
    <t>cartographie</t>
  </si>
  <si>
    <t>radioélément</t>
  </si>
  <si>
    <t>surgénérateur</t>
  </si>
  <si>
    <t>zone contaminée</t>
  </si>
  <si>
    <t>aérosol atmosphérique</t>
  </si>
  <si>
    <t>pneu d'automobile</t>
  </si>
  <si>
    <t>biocarburant</t>
  </si>
  <si>
    <t>dépérissement forestier</t>
  </si>
  <si>
    <t>éthanol</t>
  </si>
  <si>
    <t>pollution automobile</t>
  </si>
  <si>
    <t>retombée atmosphérique</t>
  </si>
  <si>
    <t>voiture propre</t>
  </si>
  <si>
    <t>culture industrielle</t>
  </si>
  <si>
    <t>paléoclimatologie</t>
  </si>
  <si>
    <t>climat continental</t>
  </si>
  <si>
    <t>climat désertique</t>
  </si>
  <si>
    <t>climat équatorial</t>
  </si>
  <si>
    <t>climat méditerranéen</t>
  </si>
  <si>
    <t>climat montagnard</t>
  </si>
  <si>
    <t>climat océanique</t>
  </si>
  <si>
    <t>climat tempéré</t>
  </si>
  <si>
    <t>climat tropical</t>
  </si>
  <si>
    <t>inversion thermique</t>
  </si>
  <si>
    <t>orage</t>
  </si>
  <si>
    <t>catalyse</t>
  </si>
  <si>
    <t>verglas</t>
  </si>
  <si>
    <t>exploitation de nappe souterraine</t>
  </si>
  <si>
    <t>infiltration d'eau dans le sol</t>
  </si>
  <si>
    <t>adulte</t>
  </si>
  <si>
    <t>catalyseur</t>
  </si>
  <si>
    <t>nappe phréatique</t>
  </si>
  <si>
    <t>protection de zone de captage de l'eau</t>
  </si>
  <si>
    <t>protection des niveaux d'eau</t>
  </si>
  <si>
    <t>pot catalytique</t>
  </si>
  <si>
    <t>écoulement des crues</t>
  </si>
  <si>
    <t>remplissage de réservoir (barrage)</t>
  </si>
  <si>
    <t>hydrométrie</t>
  </si>
  <si>
    <t>catastrophe</t>
  </si>
  <si>
    <t>prévision des crues</t>
  </si>
  <si>
    <t>réseau hydrographique</t>
  </si>
  <si>
    <t>sédimentologie</t>
  </si>
  <si>
    <t>bassin hydrographique</t>
  </si>
  <si>
    <t>bassin versant</t>
  </si>
  <si>
    <t>eau de baignade douce</t>
  </si>
  <si>
    <t>eau domaniale</t>
  </si>
  <si>
    <t>eau non domaniale</t>
  </si>
  <si>
    <t>tourbière</t>
  </si>
  <si>
    <t>dessalement de l'eau</t>
  </si>
  <si>
    <t>eau de baignade marine</t>
  </si>
  <si>
    <t>émissaire marin</t>
  </si>
  <si>
    <t>exploitation des océans</t>
  </si>
  <si>
    <t>houle</t>
  </si>
  <si>
    <t>pollution d'estuaire</t>
  </si>
  <si>
    <t>gestion de cours d'eau</t>
  </si>
  <si>
    <t>rinçage</t>
  </si>
  <si>
    <t>écluse</t>
  </si>
  <si>
    <t>formation pour adultes</t>
  </si>
  <si>
    <t>rendement de pêche</t>
  </si>
  <si>
    <t>faucardage</t>
  </si>
  <si>
    <t>protection des berges</t>
  </si>
  <si>
    <t>catégorie d'espèce menacée d'extinction</t>
  </si>
  <si>
    <t>retenue d'eau</t>
  </si>
  <si>
    <t>vidange de barrage</t>
  </si>
  <si>
    <t>agressivité de l'eau</t>
  </si>
  <si>
    <t>amélioration de la qualité de l'eau</t>
  </si>
  <si>
    <t>goût de l'eau</t>
  </si>
  <si>
    <t>marée verte</t>
  </si>
  <si>
    <t>matières en suspension</t>
  </si>
  <si>
    <t>salinité de l'eau</t>
  </si>
  <si>
    <t>captage</t>
  </si>
  <si>
    <t>cation</t>
  </si>
  <si>
    <t>fontaine</t>
  </si>
  <si>
    <t>réservoir d'eau</t>
  </si>
  <si>
    <t>bétail (bovins)</t>
  </si>
  <si>
    <t>déminéralisation de l'eau</t>
  </si>
  <si>
    <t>traitement des eaux usées sur site</t>
  </si>
  <si>
    <t>assainissement collectif</t>
  </si>
  <si>
    <t>bassin d'orage</t>
  </si>
  <si>
    <t>système de canalisation des eaux de pluie</t>
  </si>
  <si>
    <t>réseau de canalisation indépendant</t>
  </si>
  <si>
    <t>réseau de canalisation combiné</t>
  </si>
  <si>
    <t>aération de l'eau</t>
  </si>
  <si>
    <t>assainissement autonome</t>
  </si>
  <si>
    <t>bassin de décantation</t>
  </si>
  <si>
    <t>biofiltre</t>
  </si>
  <si>
    <t>eau usée</t>
  </si>
  <si>
    <t>eau usée urbaine</t>
  </si>
  <si>
    <t>effluent issu du traitement de déchets</t>
  </si>
  <si>
    <t>épuration biologique</t>
  </si>
  <si>
    <t>lagunage</t>
  </si>
  <si>
    <t>principe de précaution</t>
  </si>
  <si>
    <t>régénération d'eau</t>
  </si>
  <si>
    <t>gestion des ressources en eau</t>
  </si>
  <si>
    <t>grotte</t>
  </si>
  <si>
    <t>centre de tri (déchets)</t>
  </si>
  <si>
    <t>dépôt de ferraille</t>
  </si>
  <si>
    <t>industrie de la récupération</t>
  </si>
  <si>
    <t>valorisation énergétique des déchets</t>
  </si>
  <si>
    <t>valorisation des matières de déchets</t>
  </si>
  <si>
    <t>nettoiement des plages</t>
  </si>
  <si>
    <t>déchet encombrant</t>
  </si>
  <si>
    <t>pile alcaline</t>
  </si>
  <si>
    <t>pile électrique</t>
  </si>
  <si>
    <t>déchet d'action de dépollution</t>
  </si>
  <si>
    <t>déchets sanitaires</t>
  </si>
  <si>
    <t>déchet industriel spécial</t>
  </si>
  <si>
    <t>déchet métallique</t>
  </si>
  <si>
    <t>déchet minéral</t>
  </si>
  <si>
    <t>cellule (biologie)</t>
  </si>
  <si>
    <t>épave de bateau</t>
  </si>
  <si>
    <t>huile minérale</t>
  </si>
  <si>
    <t>lactosérum</t>
  </si>
  <si>
    <t>immersion des déchets</t>
  </si>
  <si>
    <t>cellule (énergie)</t>
  </si>
  <si>
    <t>résidu de broyage</t>
  </si>
  <si>
    <t>résidu d'épuration</t>
  </si>
  <si>
    <t>résidu d'incinération</t>
  </si>
  <si>
    <t>boue de curage</t>
  </si>
  <si>
    <t>boue deshydratée</t>
  </si>
  <si>
    <t>cellulose</t>
  </si>
  <si>
    <t>boue résiduaire</t>
  </si>
  <si>
    <t>épaississement</t>
  </si>
  <si>
    <t>stabilisation des boues</t>
  </si>
  <si>
    <t>industrie de la cellulose</t>
  </si>
  <si>
    <t>activité industrielle</t>
  </si>
  <si>
    <t>friche industrielle</t>
  </si>
  <si>
    <t>installation classée</t>
  </si>
  <si>
    <t>ciment</t>
  </si>
  <si>
    <t>porcherie</t>
  </si>
  <si>
    <t>industrie du ciment</t>
  </si>
  <si>
    <t>chaîne pétrolière</t>
  </si>
  <si>
    <t>dépôt d'hydrocarbure</t>
  </si>
  <si>
    <t>forage pétrolier</t>
  </si>
  <si>
    <t>cimenterie</t>
  </si>
  <si>
    <t>extraction de granulat</t>
  </si>
  <si>
    <t>industrie mécanique</t>
  </si>
  <si>
    <t>filière bois</t>
  </si>
  <si>
    <t>industrie de l'emballage</t>
  </si>
  <si>
    <t>Afrique Centrale</t>
  </si>
  <si>
    <t>Amérique Centrale</t>
  </si>
  <si>
    <t>Asie Centrale</t>
  </si>
  <si>
    <t>biofiltration</t>
  </si>
  <si>
    <t>déchloruration</t>
  </si>
  <si>
    <t>ingéniérie</t>
  </si>
  <si>
    <t>méthanisation</t>
  </si>
  <si>
    <t>administration centrale</t>
  </si>
  <si>
    <t>traitement aérobie</t>
  </si>
  <si>
    <t>publicité</t>
  </si>
  <si>
    <t>traitement anaérobie</t>
  </si>
  <si>
    <t>traitement biologique</t>
  </si>
  <si>
    <t>traitement physicochimique</t>
  </si>
  <si>
    <t>traitement physique</t>
  </si>
  <si>
    <t>traitement primaire</t>
  </si>
  <si>
    <t>traitement secondaire</t>
  </si>
  <si>
    <t>traitement tertiaire</t>
  </si>
  <si>
    <t>centralisation</t>
  </si>
  <si>
    <t>vitrification</t>
  </si>
  <si>
    <t>centrifugation</t>
  </si>
  <si>
    <t>céphalopode</t>
  </si>
  <si>
    <t>carrière souterraine</t>
  </si>
  <si>
    <t>céramique</t>
  </si>
  <si>
    <t>géotechnique</t>
  </si>
  <si>
    <t>mécanique des roches</t>
  </si>
  <si>
    <t>industrie de la céramique</t>
  </si>
  <si>
    <t>débroussaillement</t>
  </si>
  <si>
    <t>prévention des incendies de forêt</t>
  </si>
  <si>
    <t>protection contre les crues</t>
  </si>
  <si>
    <t>restauration de terrain en montagne</t>
  </si>
  <si>
    <t>stabilité du sol</t>
  </si>
  <si>
    <t>volcanologie</t>
  </si>
  <si>
    <t>réglementation parasismique</t>
  </si>
  <si>
    <t>cétacé</t>
  </si>
  <si>
    <t>sécurité civile</t>
  </si>
  <si>
    <t>sécurité industrielle</t>
  </si>
  <si>
    <t>exposition aux risques</t>
  </si>
  <si>
    <t>zone à risque</t>
  </si>
  <si>
    <t>accident technologique</t>
  </si>
  <si>
    <t>maladie de Chagas</t>
  </si>
  <si>
    <t>catastrophe écologique</t>
  </si>
  <si>
    <t>danger nucléaire</t>
  </si>
  <si>
    <t>installation à haut risque</t>
  </si>
  <si>
    <t>installation dangereuse</t>
  </si>
  <si>
    <t>danger biotechnologique</t>
  </si>
  <si>
    <t>risque nucléaire</t>
  </si>
  <si>
    <t>transport de matières dangereuses</t>
  </si>
  <si>
    <t>zone sinistrée</t>
  </si>
  <si>
    <t>changement de valeur</t>
  </si>
  <si>
    <t>étude de danger</t>
  </si>
  <si>
    <t>information préventive</t>
  </si>
  <si>
    <t>plan d'exposition aux risques</t>
  </si>
  <si>
    <t>canalisation</t>
  </si>
  <si>
    <t>assurance dommages</t>
  </si>
  <si>
    <t>assurance pollution</t>
  </si>
  <si>
    <t>dégât des eaux</t>
  </si>
  <si>
    <t>évaluation des dommages</t>
  </si>
  <si>
    <t>publicité pour un produit</t>
  </si>
  <si>
    <t>charbon de bois</t>
  </si>
  <si>
    <t>expertise</t>
  </si>
  <si>
    <t>réparation des dommages</t>
  </si>
  <si>
    <t>charge négociable</t>
  </si>
  <si>
    <t>établissement public</t>
  </si>
  <si>
    <t>établissement public à caractère administratif</t>
  </si>
  <si>
    <t>établissement public à caractère industriel et commercial</t>
  </si>
  <si>
    <t>cartogramme</t>
  </si>
  <si>
    <t>société de conseil</t>
  </si>
  <si>
    <t>chélicère</t>
  </si>
  <si>
    <t>brevet d'invention</t>
  </si>
  <si>
    <t>analyse chimique</t>
  </si>
  <si>
    <t>communiqué de presse</t>
  </si>
  <si>
    <t>discours</t>
  </si>
  <si>
    <t>composition chimique</t>
  </si>
  <si>
    <t>étude d'environnement</t>
  </si>
  <si>
    <t>absorption (exposition)</t>
  </si>
  <si>
    <t>bon de livraison</t>
  </si>
  <si>
    <t>film cinématographique</t>
  </si>
  <si>
    <t>film documentaire</t>
  </si>
  <si>
    <t>herbier</t>
  </si>
  <si>
    <t>rapport au ministre</t>
  </si>
  <si>
    <t>rapport parlementaire</t>
  </si>
  <si>
    <t>texte réglementaire</t>
  </si>
  <si>
    <t>thèse</t>
  </si>
  <si>
    <t>décontamination chimique</t>
  </si>
  <si>
    <t>CD ROM</t>
  </si>
  <si>
    <t>centre d'information</t>
  </si>
  <si>
    <t>génie chimique</t>
  </si>
  <si>
    <t>information technique</t>
  </si>
  <si>
    <t>retombée (substances chimiques)</t>
  </si>
  <si>
    <t>réseau d'information</t>
  </si>
  <si>
    <t>engrais chimique</t>
  </si>
  <si>
    <t>analyse</t>
  </si>
  <si>
    <t>méthode</t>
  </si>
  <si>
    <t>industrie sidérurgique</t>
  </si>
  <si>
    <t>industrie chimique</t>
  </si>
  <si>
    <t>habitat urbain</t>
  </si>
  <si>
    <t>faune sauvage</t>
  </si>
  <si>
    <t>aménagement du territoire</t>
  </si>
  <si>
    <t>habitat rural</t>
  </si>
  <si>
    <t>qualité des eaux souterraines</t>
  </si>
  <si>
    <t>définition des cibles</t>
  </si>
  <si>
    <t>installation chimique</t>
  </si>
  <si>
    <t>ontogenèse</t>
  </si>
  <si>
    <t>taxe foncière</t>
  </si>
  <si>
    <t>pelouse</t>
  </si>
  <si>
    <t>cycle biologique</t>
  </si>
  <si>
    <t>océanographie chimique</t>
  </si>
  <si>
    <t>habitat humain</t>
  </si>
  <si>
    <t>concentration urbaine</t>
  </si>
  <si>
    <t>jardin familial</t>
  </si>
  <si>
    <t>photographie</t>
  </si>
  <si>
    <t>bouchon</t>
  </si>
  <si>
    <t>ferraille</t>
  </si>
  <si>
    <t>vote</t>
  </si>
  <si>
    <t>structure agricole</t>
  </si>
  <si>
    <t>politique budgétaire</t>
  </si>
  <si>
    <t>procédé chimique de lutte contre les nuisibles</t>
  </si>
  <si>
    <t>politique de coopération</t>
  </si>
  <si>
    <t>équilibre international</t>
  </si>
  <si>
    <t>finances communautaires</t>
  </si>
  <si>
    <t>organisation de la justice</t>
  </si>
  <si>
    <t>droits</t>
  </si>
  <si>
    <t>structure économique</t>
  </si>
  <si>
    <t>distribution commerciale</t>
  </si>
  <si>
    <t>relation monétaire</t>
  </si>
  <si>
    <t>économie monétaire</t>
  </si>
  <si>
    <t>libre circulation des capitaux</t>
  </si>
  <si>
    <t>cadre social</t>
  </si>
  <si>
    <t>protection sociale</t>
  </si>
  <si>
    <t>organisation de l'enseignement</t>
  </si>
  <si>
    <t>organisation de l'entreprise</t>
  </si>
  <si>
    <t>usine chimique</t>
  </si>
  <si>
    <t>type d'entreprise</t>
  </si>
  <si>
    <t>forme juridique de l'entreprise</t>
  </si>
  <si>
    <t>exploitation de la terre agricole</t>
  </si>
  <si>
    <t>moyen de production agricole</t>
  </si>
  <si>
    <t>produit agricole transformé</t>
  </si>
  <si>
    <t>agro-alimentaire</t>
  </si>
  <si>
    <t>politique en matière de produits chimiques</t>
  </si>
  <si>
    <t>géographie économique</t>
  </si>
  <si>
    <t>crédit</t>
  </si>
  <si>
    <t>liberté</t>
  </si>
  <si>
    <t>structure industrielle</t>
  </si>
  <si>
    <t>polluant chimique</t>
  </si>
  <si>
    <t>stock (commercial)</t>
  </si>
  <si>
    <t>stérilisation (biologique)</t>
  </si>
  <si>
    <t>économie environnementale des entreprises</t>
  </si>
  <si>
    <t>rendement (agriculture)</t>
  </si>
  <si>
    <t>apport de solution à un problème environnemental</t>
  </si>
  <si>
    <t>plante fourragère</t>
  </si>
  <si>
    <t>matière première végétale</t>
  </si>
  <si>
    <t>pollution chimique</t>
  </si>
  <si>
    <t>plante textile</t>
  </si>
  <si>
    <t>plante tropicale</t>
  </si>
  <si>
    <t>propriété foncière agricole</t>
  </si>
  <si>
    <t>exploitation agricole</t>
  </si>
  <si>
    <t>mode de faire-valoir</t>
  </si>
  <si>
    <t>milieu géophysique</t>
  </si>
  <si>
    <t>produit pétrochimique</t>
  </si>
  <si>
    <t>parachimie</t>
  </si>
  <si>
    <t>produit protéique</t>
  </si>
  <si>
    <t>aliment transformé</t>
  </si>
  <si>
    <t>aération</t>
  </si>
  <si>
    <t>procédé chimique</t>
  </si>
  <si>
    <t>produit alimentaire complexe</t>
  </si>
  <si>
    <t>produit minier</t>
  </si>
  <si>
    <t>plante sarclée</t>
  </si>
  <si>
    <t>système de culture</t>
  </si>
  <si>
    <t>équipement de pêche</t>
  </si>
  <si>
    <t>zone de pêche</t>
  </si>
  <si>
    <t>industrie charbonnière</t>
  </si>
  <si>
    <t>industrie énergétique</t>
  </si>
  <si>
    <t>industrie de la communication</t>
  </si>
  <si>
    <t>industrie informatique</t>
  </si>
  <si>
    <t>industrie du vide</t>
  </si>
  <si>
    <t>conditionnement</t>
  </si>
  <si>
    <t>mécanique de précision</t>
  </si>
  <si>
    <t>technologie des matériaux</t>
  </si>
  <si>
    <t>propriété chimique</t>
  </si>
  <si>
    <t>matériel militaire</t>
  </si>
  <si>
    <t>matériel audiovisuel</t>
  </si>
  <si>
    <t>machine</t>
  </si>
  <si>
    <t>matériel mécanique</t>
  </si>
  <si>
    <t>équipement sous pression</t>
  </si>
  <si>
    <t>équipement thermique</t>
  </si>
  <si>
    <t>fabrication industrielle</t>
  </si>
  <si>
    <t>taille d'entreprise</t>
  </si>
  <si>
    <t>activité de l'entreprise</t>
  </si>
  <si>
    <t>secteur d'activité</t>
  </si>
  <si>
    <t>profession administrative</t>
  </si>
  <si>
    <t>équipment du bâtiment</t>
  </si>
  <si>
    <t>mode de transport</t>
  </si>
  <si>
    <t>localisation du transport</t>
  </si>
  <si>
    <t>dégradation de l'environnement</t>
  </si>
  <si>
    <t>budget communautaire</t>
  </si>
  <si>
    <t>soutien économique</t>
  </si>
  <si>
    <t>système de comptabilité</t>
  </si>
  <si>
    <t>réaction chimique</t>
  </si>
  <si>
    <t>prévision économique</t>
  </si>
  <si>
    <t>tarif douanier</t>
  </si>
  <si>
    <t>acte de commerce</t>
  </si>
  <si>
    <t>politique des salaires</t>
  </si>
  <si>
    <t>système monétaire européen</t>
  </si>
  <si>
    <t>marché monétaire</t>
  </si>
  <si>
    <t>politique des changes</t>
  </si>
  <si>
    <t>politique de crédit</t>
  </si>
  <si>
    <t>dette publique</t>
  </si>
  <si>
    <t>impôt sur la consommation</t>
  </si>
  <si>
    <t>impôt sur le capital</t>
  </si>
  <si>
    <t>impôt sur le revenu</t>
  </si>
  <si>
    <t>politique fiscale</t>
  </si>
  <si>
    <t>prix agricole</t>
  </si>
  <si>
    <t>prix de marché</t>
  </si>
  <si>
    <t>prix de transport</t>
  </si>
  <si>
    <t>politique des prix</t>
  </si>
  <si>
    <t>concentration économique</t>
  </si>
  <si>
    <t>structure de l'entreprise</t>
  </si>
  <si>
    <t>risque chimique</t>
  </si>
  <si>
    <t>gestion financière</t>
  </si>
  <si>
    <t>gestion comptable</t>
  </si>
  <si>
    <t>politique de l'entreprise</t>
  </si>
  <si>
    <t>restriction à la concurrence</t>
  </si>
  <si>
    <t>droit privé international</t>
  </si>
  <si>
    <t>droit international public</t>
  </si>
  <si>
    <t>droit international économique</t>
  </si>
  <si>
    <t>responsabilité pénale</t>
  </si>
  <si>
    <t>marché public</t>
  </si>
  <si>
    <t>substance chimique</t>
  </si>
  <si>
    <t>réglementation douanière</t>
  </si>
  <si>
    <t>droit de la famille</t>
  </si>
  <si>
    <t>réglementation de la circulation</t>
  </si>
  <si>
    <t>réglementation de la production agricole</t>
  </si>
  <si>
    <t>droit pénitentiaire</t>
  </si>
  <si>
    <t>location immobilière</t>
  </si>
  <si>
    <t>droit de l'informatique</t>
  </si>
  <si>
    <t>droit de la concurrence</t>
  </si>
  <si>
    <t>pratique commerciale restrictive</t>
  </si>
  <si>
    <t>traité CE</t>
  </si>
  <si>
    <t>loi sur les produits chimiques</t>
  </si>
  <si>
    <t>réglementation du transport</t>
  </si>
  <si>
    <t>ordre juridique communautaire</t>
  </si>
  <si>
    <t>acte communautaire</t>
  </si>
  <si>
    <t>décision juridique</t>
  </si>
  <si>
    <t>procédure judiciaire</t>
  </si>
  <si>
    <t>accès à la justice</t>
  </si>
  <si>
    <t>société (organisme)</t>
  </si>
  <si>
    <t>profession judiciaire</t>
  </si>
  <si>
    <t>système judiciaire</t>
  </si>
  <si>
    <t>organisation administrative</t>
  </si>
  <si>
    <t>procédure législative</t>
  </si>
  <si>
    <t>technique de gestion</t>
  </si>
  <si>
    <t>structure institutionnelle</t>
  </si>
  <si>
    <t>vie institutionnelle</t>
  </si>
  <si>
    <t>politique commerciale commune</t>
  </si>
  <si>
    <t>politique tarifaire commune</t>
  </si>
  <si>
    <t>politique de la recherche</t>
  </si>
  <si>
    <t>politique de la construction</t>
  </si>
  <si>
    <t>politique de la communication</t>
  </si>
  <si>
    <t>politique de production</t>
  </si>
  <si>
    <t>produits chimiques dans l'environnement</t>
  </si>
  <si>
    <t>politique de l'espace</t>
  </si>
  <si>
    <t>région économique</t>
  </si>
  <si>
    <t>politique d'aide</t>
  </si>
  <si>
    <t>aide humanitaire</t>
  </si>
  <si>
    <t>conflit international</t>
  </si>
  <si>
    <t>maintien de la paix</t>
  </si>
  <si>
    <t>mesure de lutte contre la pollution</t>
  </si>
  <si>
    <t>niveau d'études</t>
  </si>
  <si>
    <t>enseignement général</t>
  </si>
  <si>
    <t>travail scolaire</t>
  </si>
  <si>
    <t>vie scolaire</t>
  </si>
  <si>
    <t>matériel d'enseignement</t>
  </si>
  <si>
    <t>système documentaire</t>
  </si>
  <si>
    <t>moyen de communication</t>
  </si>
  <si>
    <t>système de communication</t>
  </si>
  <si>
    <t>système informatique</t>
  </si>
  <si>
    <t>analyse sociale</t>
  </si>
  <si>
    <t>sciences du comportement</t>
  </si>
  <si>
    <t>profession de la santé</t>
  </si>
  <si>
    <t>essai de produits chimiques</t>
  </si>
  <si>
    <t>procréacion artificielle</t>
  </si>
  <si>
    <t>santé animale</t>
  </si>
  <si>
    <t>victime de guerre</t>
  </si>
  <si>
    <t>migration intérieure</t>
  </si>
  <si>
    <t>répartition géographique de la population</t>
  </si>
  <si>
    <t>composition de la population</t>
  </si>
  <si>
    <t>droits de l'individu</t>
  </si>
  <si>
    <t>structure chimique</t>
  </si>
  <si>
    <t>droits économiques</t>
  </si>
  <si>
    <t>tendance d'opinion</t>
  </si>
  <si>
    <t>idéologie politique</t>
  </si>
  <si>
    <t>situation de famille</t>
  </si>
  <si>
    <t>groupe socio-culturel</t>
  </si>
  <si>
    <t>structure de l'emploi</t>
  </si>
  <si>
    <t>statut professionnel</t>
  </si>
  <si>
    <t>résiliation de contrat de travail</t>
  </si>
  <si>
    <t>population active agricole</t>
  </si>
  <si>
    <t>congé social</t>
  </si>
  <si>
    <t>main-d'oeuvre</t>
  </si>
  <si>
    <t>traitement chimique</t>
  </si>
  <si>
    <t>traitement chimique des déchets</t>
  </si>
  <si>
    <t>déchet chimique</t>
  </si>
  <si>
    <t>arme chimique</t>
  </si>
  <si>
    <t>chimisorption</t>
  </si>
  <si>
    <t>photographie aérienne</t>
  </si>
  <si>
    <t>enfant</t>
  </si>
  <si>
    <t>cheminée</t>
  </si>
  <si>
    <t>campement</t>
  </si>
  <si>
    <t>berge</t>
  </si>
  <si>
    <t>débardage</t>
  </si>
  <si>
    <t>redevance</t>
  </si>
  <si>
    <t>charte</t>
  </si>
  <si>
    <t>déjection animale</t>
  </si>
  <si>
    <t>hauteur de cheminée</t>
  </si>
  <si>
    <t>allocation</t>
  </si>
  <si>
    <t>maintenance</t>
  </si>
  <si>
    <t>atelier de peinture</t>
  </si>
  <si>
    <t>marais salant</t>
  </si>
  <si>
    <t>sentier de randonnée</t>
  </si>
  <si>
    <t>déversoir</t>
  </si>
  <si>
    <t>bouture</t>
  </si>
  <si>
    <t>écobilan</t>
  </si>
  <si>
    <t>oxyde d'azote</t>
  </si>
  <si>
    <t>four de cuisine</t>
  </si>
  <si>
    <t>chiroptère</t>
  </si>
  <si>
    <t>bovins</t>
  </si>
  <si>
    <t>chlorure</t>
  </si>
  <si>
    <t>hydrocarbure chloré</t>
  </si>
  <si>
    <t>approbation</t>
  </si>
  <si>
    <t>chloration</t>
  </si>
  <si>
    <t>nettoyage</t>
  </si>
  <si>
    <t>chlore</t>
  </si>
  <si>
    <t>centre ville</t>
  </si>
  <si>
    <t>chloroéthylène</t>
  </si>
  <si>
    <t>porte d'écluse</t>
  </si>
  <si>
    <t>chlorofluorocarbure</t>
  </si>
  <si>
    <t>effet du bruit</t>
  </si>
  <si>
    <t>interdiction des C.F.C. et haloalcalines</t>
  </si>
  <si>
    <t>hydrocarbures chlorofluorés</t>
  </si>
  <si>
    <t>chlorophénol</t>
  </si>
  <si>
    <t>chlorophylle</t>
  </si>
  <si>
    <t>arbre à feuilles caduques</t>
  </si>
  <si>
    <t>forêt mixte</t>
  </si>
  <si>
    <t>chlorose</t>
  </si>
  <si>
    <t>sanction pénale</t>
  </si>
  <si>
    <t>conifère</t>
  </si>
  <si>
    <t>analyse chromatographique</t>
  </si>
  <si>
    <t>chromatographie</t>
  </si>
  <si>
    <t>chrome</t>
  </si>
  <si>
    <t>chrysophycées</t>
  </si>
  <si>
    <t>hébergement d'urgence</t>
  </si>
  <si>
    <t>tri sélectif à la source</t>
  </si>
  <si>
    <t>église</t>
  </si>
  <si>
    <t>gestion du littoral</t>
  </si>
  <si>
    <t>immeuble ministériel</t>
  </si>
  <si>
    <t>conscience civique</t>
  </si>
  <si>
    <t>marais</t>
  </si>
  <si>
    <t>processus législatif</t>
  </si>
  <si>
    <t>ville</t>
  </si>
  <si>
    <t>emballage consigné</t>
  </si>
  <si>
    <t>dispersion des effluents gazeux</t>
  </si>
  <si>
    <t>produit intermédiaire</t>
  </si>
  <si>
    <t>substance mutagène</t>
  </si>
  <si>
    <t>décharge municipale</t>
  </si>
  <si>
    <t>aérobiose</t>
  </si>
  <si>
    <t>navigation aérienne civile</t>
  </si>
  <si>
    <t>substance teratogène</t>
  </si>
  <si>
    <t>génie civil</t>
  </si>
  <si>
    <t>protection civile</t>
  </si>
  <si>
    <t>droit civil</t>
  </si>
  <si>
    <t>réseau de chauffage urbain</t>
  </si>
  <si>
    <t>demande de remboursement</t>
  </si>
  <si>
    <t>loi sur les recours collectifs</t>
  </si>
  <si>
    <t>argile</t>
  </si>
  <si>
    <t>accise</t>
  </si>
  <si>
    <t>diptères</t>
  </si>
  <si>
    <t>bois de conifères</t>
  </si>
  <si>
    <t>service de nettoiement</t>
  </si>
  <si>
    <t>produit de nettoyage</t>
  </si>
  <si>
    <t>métro</t>
  </si>
  <si>
    <t>processus aérobie</t>
  </si>
  <si>
    <t>technologie propre</t>
  </si>
  <si>
    <t>organisme génétiquement modifié</t>
  </si>
  <si>
    <t>croisière de plaisance</t>
  </si>
  <si>
    <t>composé tensio-actif</t>
  </si>
  <si>
    <t>valeur pH</t>
  </si>
  <si>
    <t>effet climatique</t>
  </si>
  <si>
    <t>industrie manufacturière</t>
  </si>
  <si>
    <t>restes d'animaux</t>
  </si>
  <si>
    <t>protection du climat</t>
  </si>
  <si>
    <t>charte nautique</t>
  </si>
  <si>
    <t>ressource climatique</t>
  </si>
  <si>
    <t>politique de protection de la nature</t>
  </si>
  <si>
    <t>type de climat</t>
  </si>
  <si>
    <t>altération climatique</t>
  </si>
  <si>
    <t>changement climatique</t>
  </si>
  <si>
    <t>hygiène environnementale</t>
  </si>
  <si>
    <t>test climatique</t>
  </si>
  <si>
    <t>facteur climatique</t>
  </si>
  <si>
    <t>zone climatique</t>
  </si>
  <si>
    <t>climatologie</t>
  </si>
  <si>
    <t>aérobiologie</t>
  </si>
  <si>
    <t>climax</t>
  </si>
  <si>
    <t>plante grimpante (mur)</t>
  </si>
  <si>
    <t>symptôme clinique</t>
  </si>
  <si>
    <t>instruments de fiscalité &amp;quot;verte&amp;quot;</t>
  </si>
  <si>
    <t>activité minière</t>
  </si>
  <si>
    <t>clonage</t>
  </si>
  <si>
    <t>Mer noire</t>
  </si>
  <si>
    <t>mer caspienne</t>
  </si>
  <si>
    <t>Mer méditerranée</t>
  </si>
  <si>
    <t>connaissances indigènes</t>
  </si>
  <si>
    <t>syndicat professionnel</t>
  </si>
  <si>
    <t>sujet</t>
  </si>
  <si>
    <t>polluant organique persistant</t>
  </si>
  <si>
    <t>mobilisation de sédiments</t>
  </si>
  <si>
    <t>destruction de l'habitat</t>
  </si>
  <si>
    <t>activité terrestre</t>
  </si>
  <si>
    <t>altération physique</t>
  </si>
  <si>
    <t>appréciation sectorielle</t>
  </si>
  <si>
    <t>infrastructure de l'information</t>
  </si>
  <si>
    <t>informations géoréférencées</t>
  </si>
  <si>
    <t>centre de données</t>
  </si>
  <si>
    <t>fournisseur de services internet</t>
  </si>
  <si>
    <t>fermeture</t>
  </si>
  <si>
    <t>réseau électronique d'information</t>
  </si>
  <si>
    <t>réseau grande distance</t>
  </si>
  <si>
    <t>internet</t>
  </si>
  <si>
    <t>Web</t>
  </si>
  <si>
    <t>page d'accueil</t>
  </si>
  <si>
    <t>hypertexte</t>
  </si>
  <si>
    <t>tableau électronique d'affichage et d'information</t>
  </si>
  <si>
    <t>forum</t>
  </si>
  <si>
    <t>courrier électronique</t>
  </si>
  <si>
    <t>technologie multimédia</t>
  </si>
  <si>
    <t>fermeture d'une entreprise</t>
  </si>
  <si>
    <t>présentation audio-visuelle</t>
  </si>
  <si>
    <t>cahier de documentation</t>
  </si>
  <si>
    <t>pièce d'exposition</t>
  </si>
  <si>
    <t>lettre d'informations</t>
  </si>
  <si>
    <t>programme radio</t>
  </si>
  <si>
    <t>programme télévisé</t>
  </si>
  <si>
    <t>relation publique</t>
  </si>
  <si>
    <t>système de renseignements bibliographiques</t>
  </si>
  <si>
    <t>information bibliographique</t>
  </si>
  <si>
    <t>système d'informations de référence</t>
  </si>
  <si>
    <t>information d'orientation</t>
  </si>
  <si>
    <t>système d'informations statistiques</t>
  </si>
  <si>
    <t>informations statistiques</t>
  </si>
  <si>
    <t>service de bibliothèque</t>
  </si>
  <si>
    <t>service de référence</t>
  </si>
  <si>
    <t>indexation de la documentation</t>
  </si>
  <si>
    <t>prêt de document</t>
  </si>
  <si>
    <t>prêt inter-bibliothèques</t>
  </si>
  <si>
    <t>diffusion sélective de l'information</t>
  </si>
  <si>
    <t>habillement</t>
  </si>
  <si>
    <t>service de recherche sur CD-ROM</t>
  </si>
  <si>
    <t>service de recherche sur Internet</t>
  </si>
  <si>
    <t>bourse d'informations</t>
  </si>
  <si>
    <t>système d'aide à la décision</t>
  </si>
  <si>
    <t>développement logiciel</t>
  </si>
  <si>
    <t>échange d'informations</t>
  </si>
  <si>
    <t>base de données relationnelle</t>
  </si>
  <si>
    <t>scanner à spectres multiples</t>
  </si>
  <si>
    <t>résolution (paramètres)</t>
  </si>
  <si>
    <t>industrie de l'habillement</t>
  </si>
  <si>
    <t>pixel</t>
  </si>
  <si>
    <t>bande spectrale</t>
  </si>
  <si>
    <t>identification du lieu (SIG)</t>
  </si>
  <si>
    <t>système numérique de traitement d'images</t>
  </si>
  <si>
    <t>technique de traitement numérique des images</t>
  </si>
  <si>
    <t>reconnaissance de formes</t>
  </si>
  <si>
    <t>mosaïque</t>
  </si>
  <si>
    <t>filtrage d'image</t>
  </si>
  <si>
    <t>amélioration de l'image</t>
  </si>
  <si>
    <t>correction géométrique</t>
  </si>
  <si>
    <t>nuage</t>
  </si>
  <si>
    <t>enregistrement d'images</t>
  </si>
  <si>
    <t>classification d'image</t>
  </si>
  <si>
    <t>classification contrôlée d'images</t>
  </si>
  <si>
    <t>classification d'images non-contrôlée</t>
  </si>
  <si>
    <t>composition de couleurs</t>
  </si>
  <si>
    <t>correction atmosphérique</t>
  </si>
  <si>
    <t>système numérique SIG</t>
  </si>
  <si>
    <t>format électronique de données géo-référencées</t>
  </si>
  <si>
    <t>vecteur</t>
  </si>
  <si>
    <t>point</t>
  </si>
  <si>
    <t>ligne</t>
  </si>
  <si>
    <t>polygone</t>
  </si>
  <si>
    <t>trame</t>
  </si>
  <si>
    <t>attribut</t>
  </si>
  <si>
    <t>technique digitale SIG</t>
  </si>
  <si>
    <t>interpolation</t>
  </si>
  <si>
    <t>maillage</t>
  </si>
  <si>
    <t>trame en vecteur</t>
  </si>
  <si>
    <t>vecteur en trame</t>
  </si>
  <si>
    <t>frontière nationale</t>
  </si>
  <si>
    <t>frontière infranationale</t>
  </si>
  <si>
    <t>limite administrative</t>
  </si>
  <si>
    <t>données géoréférencées</t>
  </si>
  <si>
    <t>projection géographique</t>
  </si>
  <si>
    <t>système de coordonnées</t>
  </si>
  <si>
    <t>latitude</t>
  </si>
  <si>
    <t>longitude</t>
  </si>
  <si>
    <t>centre de télédétection</t>
  </si>
  <si>
    <t>laboratoire SIG</t>
  </si>
  <si>
    <t>service en ligne</t>
  </si>
  <si>
    <t>décharge souterraine</t>
  </si>
  <si>
    <t>économie des affaires</t>
  </si>
  <si>
    <t>dissuasion</t>
  </si>
  <si>
    <t>site ancien dangereux</t>
  </si>
  <si>
    <t>activité d'extraction off-shore</t>
  </si>
  <si>
    <t>fumier semi-liquide</t>
  </si>
  <si>
    <t>indutrie des biens électroménagers</t>
  </si>
  <si>
    <t>activité de service</t>
  </si>
  <si>
    <t>restauration de l'eau</t>
  </si>
  <si>
    <t>fourniture locale de chaleur</t>
  </si>
  <si>
    <t>transporteur</t>
  </si>
  <si>
    <t>réduction des déchets à la source</t>
  </si>
  <si>
    <t>loi sur l'indépendance naturelle</t>
  </si>
  <si>
    <t>atteinte à l'environnement</t>
  </si>
  <si>
    <t>législation régionale</t>
  </si>
  <si>
    <t>autorité régionale</t>
  </si>
  <si>
    <t>comparaison internationale</t>
  </si>
  <si>
    <t>implantation des routes</t>
  </si>
  <si>
    <t>contrôle de la qualité de l'air</t>
  </si>
  <si>
    <t>initiative du citoyen</t>
  </si>
  <si>
    <t>zone sous tension (environnementale)</t>
  </si>
  <si>
    <t>stockage</t>
  </si>
  <si>
    <t>refuge de montagne</t>
  </si>
  <si>
    <t>recherche spatiale</t>
  </si>
  <si>
    <t>liste rouge</t>
  </si>
  <si>
    <t>coagulation</t>
  </si>
  <si>
    <t>charbon</t>
  </si>
  <si>
    <t>énergie à base de charbon</t>
  </si>
  <si>
    <t>matériau isolant</t>
  </si>
  <si>
    <t>décantation</t>
  </si>
  <si>
    <t>centrale à charbon</t>
  </si>
  <si>
    <t>gazéification du charbon</t>
  </si>
  <si>
    <t>liquéfaction du charbon</t>
  </si>
  <si>
    <t>extraction de charbon</t>
  </si>
  <si>
    <t>raffinage de la houille</t>
  </si>
  <si>
    <t>bruit aérodynamique</t>
  </si>
  <si>
    <t>technologie du charbon</t>
  </si>
  <si>
    <t>côte</t>
  </si>
  <si>
    <t>zone côtière</t>
  </si>
  <si>
    <t>développement du littoral</t>
  </si>
  <si>
    <t>écosystème côtier</t>
  </si>
  <si>
    <t>environnement côtier</t>
  </si>
  <si>
    <t>érosion côtière</t>
  </si>
  <si>
    <t>pêche côtière</t>
  </si>
  <si>
    <t>pollution du littoral</t>
  </si>
  <si>
    <t>eaux côtières</t>
  </si>
  <si>
    <t>aménagement de la zone littorale</t>
  </si>
  <si>
    <t>garde-côtière</t>
  </si>
  <si>
    <t>revêtement</t>
  </si>
  <si>
    <t>cobalt</t>
  </si>
  <si>
    <t>cafards</t>
  </si>
  <si>
    <t>demande chimique en oxygène</t>
  </si>
  <si>
    <t>code de mise en pratique</t>
  </si>
  <si>
    <t>code</t>
  </si>
  <si>
    <t>coelentérés</t>
  </si>
  <si>
    <t>cogénération</t>
  </si>
  <si>
    <t>co-incinération</t>
  </si>
  <si>
    <t>coke</t>
  </si>
  <si>
    <t>froid</t>
  </si>
  <si>
    <t>écosystème de zone froide</t>
  </si>
  <si>
    <t>colibacilles</t>
  </si>
  <si>
    <t>colloïde</t>
  </si>
  <si>
    <t>état colloïdal</t>
  </si>
  <si>
    <t>colonisation</t>
  </si>
  <si>
    <t>aérosol</t>
  </si>
  <si>
    <t>colorimétrie</t>
  </si>
  <si>
    <t>couleur</t>
  </si>
  <si>
    <t>effet de combinaison</t>
  </si>
  <si>
    <t>centrale mixte</t>
  </si>
  <si>
    <t>eaux usées issues d'un réseau d'assainissement unitaire</t>
  </si>
  <si>
    <t>combustibilité</t>
  </si>
  <si>
    <t>moteur à combustion</t>
  </si>
  <si>
    <t>gaz de combustion</t>
  </si>
  <si>
    <t>résidu de combustion</t>
  </si>
  <si>
    <t>commercialisation</t>
  </si>
  <si>
    <t>droit commercial</t>
  </si>
  <si>
    <t>bruit des activités commerciales</t>
  </si>
  <si>
    <t>trafic commercial</t>
  </si>
  <si>
    <t>véhicule commercial</t>
  </si>
  <si>
    <t>déchets issus de l'activité commerciale (déchets banals)</t>
  </si>
  <si>
    <t>politique agricole commune</t>
  </si>
  <si>
    <t>règle générale</t>
  </si>
  <si>
    <t>communication</t>
  </si>
  <si>
    <t>communauté écologique</t>
  </si>
  <si>
    <t>droit communautaire</t>
  </si>
  <si>
    <t>participation communautaire</t>
  </si>
  <si>
    <t>principe de paiement communautaire</t>
  </si>
  <si>
    <t>migration pendulaire</t>
  </si>
  <si>
    <t>déplacement journalier domicile-travail</t>
  </si>
  <si>
    <t>compactage</t>
  </si>
  <si>
    <t>politique d'entreprise</t>
  </si>
  <si>
    <t>esthétique</t>
  </si>
  <si>
    <t>droit comparé</t>
  </si>
  <si>
    <t>test comparatif</t>
  </si>
  <si>
    <t>comparaison</t>
  </si>
  <si>
    <t>compensation</t>
  </si>
  <si>
    <t>mesure compensatoire</t>
  </si>
  <si>
    <t>taxe compensatoire</t>
  </si>
  <si>
    <t>compétition (biologique)</t>
  </si>
  <si>
    <t>concurrence</t>
  </si>
  <si>
    <t>compétitivité</t>
  </si>
  <si>
    <t>complexation</t>
  </si>
  <si>
    <t>agent complexant</t>
  </si>
  <si>
    <t>pollution composite</t>
  </si>
  <si>
    <t>compost</t>
  </si>
  <si>
    <t>déchet fermentescible</t>
  </si>
  <si>
    <t>compostage</t>
  </si>
  <si>
    <t>compostage par le producteur</t>
  </si>
  <si>
    <t>compression</t>
  </si>
  <si>
    <t>compresseur</t>
  </si>
  <si>
    <t>usage obligatoire</t>
  </si>
  <si>
    <t>Communautés européennes</t>
  </si>
  <si>
    <t>boisement</t>
  </si>
  <si>
    <t>concentration (valeur)</t>
  </si>
  <si>
    <t>concentration (procédé)</t>
  </si>
  <si>
    <t>béton</t>
  </si>
  <si>
    <t>industrie du béton</t>
  </si>
  <si>
    <t>condensation</t>
  </si>
  <si>
    <t>conductivité</t>
  </si>
  <si>
    <t>usage incompatible</t>
  </si>
  <si>
    <t>conflit d'objectifs</t>
  </si>
  <si>
    <t>conflit d'intérêts</t>
  </si>
  <si>
    <t>congrès</t>
  </si>
  <si>
    <t>forêt de conifères</t>
  </si>
  <si>
    <t>Afrique</t>
  </si>
  <si>
    <t>conservation</t>
  </si>
  <si>
    <t>préservation des réserves en eau douce</t>
  </si>
  <si>
    <t>préservation des ressources génétiques</t>
  </si>
  <si>
    <t>conservation des monuments</t>
  </si>
  <si>
    <t>post-combustion</t>
  </si>
  <si>
    <t>droit constitutionnel</t>
  </si>
  <si>
    <t>engin de chantier</t>
  </si>
  <si>
    <t>bruit de construction</t>
  </si>
  <si>
    <t>construction d'installations</t>
  </si>
  <si>
    <t>âge</t>
  </si>
  <si>
    <t>construction avec des matériaux recyclés</t>
  </si>
  <si>
    <t>travaux de construction</t>
  </si>
  <si>
    <t>consultation</t>
  </si>
  <si>
    <t>comportement des consommateurs</t>
  </si>
  <si>
    <t>bien de consommation</t>
  </si>
  <si>
    <t>groupement de consommateurs</t>
  </si>
  <si>
    <t>information des consommateurs</t>
  </si>
  <si>
    <t>protection des consommateurs</t>
  </si>
  <si>
    <t>déchets assimilés aux ordures ménagères</t>
  </si>
  <si>
    <t>consommation</t>
  </si>
  <si>
    <t>mode de consommation</t>
  </si>
  <si>
    <t>conteneur</t>
  </si>
  <si>
    <t>dôme de confinement</t>
  </si>
  <si>
    <t>sol contaminé</t>
  </si>
  <si>
    <t>contamination</t>
  </si>
  <si>
    <t>plate-forme continentale</t>
  </si>
  <si>
    <t>charge continue</t>
  </si>
  <si>
    <t>cultures selon les courbes de niveau</t>
  </si>
  <si>
    <t>contrat</t>
  </si>
  <si>
    <t>entreprise de nettoyage</t>
  </si>
  <si>
    <t>brûlage contrôlé</t>
  </si>
  <si>
    <t>zone de chasse contrôlée</t>
  </si>
  <si>
    <t>autorité de contrôle</t>
  </si>
  <si>
    <t>mesure de contrôle</t>
  </si>
  <si>
    <t>conurbation</t>
  </si>
  <si>
    <t>convention</t>
  </si>
  <si>
    <t>énergie conventionnelle</t>
  </si>
  <si>
    <t>refroidissement</t>
  </si>
  <si>
    <t>huile de refroidissement</t>
  </si>
  <si>
    <t>tour de refroidissement</t>
  </si>
  <si>
    <t>eau de refroidissement</t>
  </si>
  <si>
    <t>coopération</t>
  </si>
  <si>
    <t>principe de coopération</t>
  </si>
  <si>
    <t>coordination</t>
  </si>
  <si>
    <t>cuivre</t>
  </si>
  <si>
    <t>taillis</t>
  </si>
  <si>
    <t>corail</t>
  </si>
  <si>
    <t>récif corallien</t>
  </si>
  <si>
    <t>chordés</t>
  </si>
  <si>
    <t>fusion du coeur</t>
  </si>
  <si>
    <t>liège</t>
  </si>
  <si>
    <t>corridor urbain</t>
  </si>
  <si>
    <t>corrosion</t>
  </si>
  <si>
    <t>produit anti-corrosion</t>
  </si>
  <si>
    <t>industrie cosmétique</t>
  </si>
  <si>
    <t>rayonnement cosmique</t>
  </si>
  <si>
    <t>relation coûts-bénéfices</t>
  </si>
  <si>
    <t>analyse coûts-bénéfices</t>
  </si>
  <si>
    <t>augmentation des coûts</t>
  </si>
  <si>
    <t>base de couverture des coûts</t>
  </si>
  <si>
    <t>réduction des coûts</t>
  </si>
  <si>
    <t>coût</t>
  </si>
  <si>
    <t>coût de la pollution</t>
  </si>
  <si>
    <t>économie nationale</t>
  </si>
  <si>
    <t>coton</t>
  </si>
  <si>
    <t>accord</t>
  </si>
  <si>
    <t>département (UK)</t>
  </si>
  <si>
    <t>Cour de justice</t>
  </si>
  <si>
    <t>couverture</t>
  </si>
  <si>
    <t>biotechnologie agro-alimentaire</t>
  </si>
  <si>
    <t>artisanat</t>
  </si>
  <si>
    <t>assistance en matière de crédit</t>
  </si>
  <si>
    <t>bâtiment agricole</t>
  </si>
  <si>
    <t>criminalité</t>
  </si>
  <si>
    <t>droit pénal</t>
  </si>
  <si>
    <t>niveau critique</t>
  </si>
  <si>
    <t>charge critique</t>
  </si>
  <si>
    <t>crocodile</t>
  </si>
  <si>
    <t>protection des cultures</t>
  </si>
  <si>
    <t>rotation des cultures</t>
  </si>
  <si>
    <t>résidus de cultures</t>
  </si>
  <si>
    <t>passage</t>
  </si>
  <si>
    <t>endroit de passage aménagé pour les animaux</t>
  </si>
  <si>
    <t>pétrole brut</t>
  </si>
  <si>
    <t>croisière</t>
  </si>
  <si>
    <t>crustacé</t>
  </si>
  <si>
    <t>cryptogame</t>
  </si>
  <si>
    <t>cristallisation</t>
  </si>
  <si>
    <t>cristallographie</t>
  </si>
  <si>
    <t>plante cultivée</t>
  </si>
  <si>
    <t>culture</t>
  </si>
  <si>
    <t>méthode culturale</t>
  </si>
  <si>
    <t>développement culturel</t>
  </si>
  <si>
    <t>écologie agricole</t>
  </si>
  <si>
    <t>équipement culturel</t>
  </si>
  <si>
    <t>patrimoine culturel</t>
  </si>
  <si>
    <t>indicateur culturel</t>
  </si>
  <si>
    <t>politique culturelle</t>
  </si>
  <si>
    <t>culture (aspects sociaux)</t>
  </si>
  <si>
    <t>programme d'études</t>
  </si>
  <si>
    <t>us et coutumes</t>
  </si>
  <si>
    <t>douane</t>
  </si>
  <si>
    <t>economie agricole</t>
  </si>
  <si>
    <t>abattage (foresterie)</t>
  </si>
  <si>
    <t>cyanate</t>
  </si>
  <si>
    <t>cyanure</t>
  </si>
  <si>
    <t>effluent agricole</t>
  </si>
  <si>
    <t>cyclone</t>
  </si>
  <si>
    <t>cytologie</t>
  </si>
  <si>
    <t>cytotoxicité</t>
  </si>
  <si>
    <t>génie agricole</t>
  </si>
  <si>
    <t>laiterie</t>
  </si>
  <si>
    <t>industrie laitière</t>
  </si>
  <si>
    <t>produit laitier</t>
  </si>
  <si>
    <t>barrage</t>
  </si>
  <si>
    <t>dommage</t>
  </si>
  <si>
    <t>dommages dus à des manoeuvres militaires</t>
  </si>
  <si>
    <t>prévention des dommages</t>
  </si>
  <si>
    <t>exportation de produits chimiques dangereux</t>
  </si>
  <si>
    <t>matières dangereuses</t>
  </si>
  <si>
    <t>équipement agricole</t>
  </si>
  <si>
    <t>loi sur les matières dangereuses</t>
  </si>
  <si>
    <t>réglementation des matières dangereuses</t>
  </si>
  <si>
    <t>acquisition des données</t>
  </si>
  <si>
    <t>analyse des données</t>
  </si>
  <si>
    <t>base de données</t>
  </si>
  <si>
    <t>support de données</t>
  </si>
  <si>
    <t>échange de données</t>
  </si>
  <si>
    <t>traitement des données</t>
  </si>
  <si>
    <t>protection des données</t>
  </si>
  <si>
    <t>technique d'enregistrement des données</t>
  </si>
  <si>
    <t>datation</t>
  </si>
  <si>
    <t>descendant</t>
  </si>
  <si>
    <t>DDT</t>
  </si>
  <si>
    <t>niveau de risque acceptable</t>
  </si>
  <si>
    <t>dette</t>
  </si>
  <si>
    <t>service de la dette</t>
  </si>
  <si>
    <t>décentralisation</t>
  </si>
  <si>
    <t>forêt de feuillus</t>
  </si>
  <si>
    <t>décision</t>
  </si>
  <si>
    <t>processus de décision</t>
  </si>
  <si>
    <t>décomposition</t>
  </si>
  <si>
    <t>décontamination</t>
  </si>
  <si>
    <t>terre agricole</t>
  </si>
  <si>
    <t>décret</t>
  </si>
  <si>
    <t>grand fond marin</t>
  </si>
  <si>
    <t>gisement minéral dans le fond marin</t>
  </si>
  <si>
    <t>décharge en haute mer</t>
  </si>
  <si>
    <t>pêche en haute mer</t>
  </si>
  <si>
    <t>cerf</t>
  </si>
  <si>
    <t>défense</t>
  </si>
  <si>
    <t>défoliation</t>
  </si>
  <si>
    <t>déforestation</t>
  </si>
  <si>
    <t>dégradabilité</t>
  </si>
  <si>
    <t>paysage cultivé</t>
  </si>
  <si>
    <t>dégradation</t>
  </si>
  <si>
    <t>dégradation des ressources naturelles</t>
  </si>
  <si>
    <t>produit de dégradation</t>
  </si>
  <si>
    <t>dégraissage</t>
  </si>
  <si>
    <t>désencrage</t>
  </si>
  <si>
    <t>délinquence</t>
  </si>
  <si>
    <t>delta</t>
  </si>
  <si>
    <t>demande (offre et demande)</t>
  </si>
  <si>
    <t>démocratie</t>
  </si>
  <si>
    <t>croissance démographique</t>
  </si>
  <si>
    <t>évolution démographique</t>
  </si>
  <si>
    <t>législation agricole</t>
  </si>
  <si>
    <t>démographie</t>
  </si>
  <si>
    <t>entreprise de démolition</t>
  </si>
  <si>
    <t>déchet de démolition</t>
  </si>
  <si>
    <t>démontrabilité</t>
  </si>
  <si>
    <t>dendrochronologie</t>
  </si>
  <si>
    <t>machine agricole</t>
  </si>
  <si>
    <t>dendrométrie</t>
  </si>
  <si>
    <t>dénitrification</t>
  </si>
  <si>
    <t>dénitrification des effluents gazeux</t>
  </si>
  <si>
    <t>gestion agricole</t>
  </si>
  <si>
    <t>dépôt de particules fines</t>
  </si>
  <si>
    <t>rétombée atmosphérique</t>
  </si>
  <si>
    <t>dérégulation</t>
  </si>
  <si>
    <t>dermaptère</t>
  </si>
  <si>
    <t>déssalement</t>
  </si>
  <si>
    <t>usine de déssalement</t>
  </si>
  <si>
    <t>agrément</t>
  </si>
  <si>
    <t>méthodes agricoles</t>
  </si>
  <si>
    <t>désert</t>
  </si>
  <si>
    <t>désertification</t>
  </si>
  <si>
    <t>lutte contre la désertification</t>
  </si>
  <si>
    <t>criquet pélérin</t>
  </si>
  <si>
    <t>dessin industriel ou architectural</t>
  </si>
  <si>
    <t>étude de bureau</t>
  </si>
  <si>
    <t>désorption</t>
  </si>
  <si>
    <t>parasites agricoles</t>
  </si>
  <si>
    <t>désulfuration</t>
  </si>
  <si>
    <t>désulfuration des combustibles</t>
  </si>
  <si>
    <t>investigation</t>
  </si>
  <si>
    <t>détecteur</t>
  </si>
  <si>
    <t>planification rurale</t>
  </si>
  <si>
    <t>détergent</t>
  </si>
  <si>
    <t>méthode de détermination</t>
  </si>
  <si>
    <t>dissuasif</t>
  </si>
  <si>
    <t>désintoxication</t>
  </si>
  <si>
    <t>pays développé</t>
  </si>
  <si>
    <t>politique agricole</t>
  </si>
  <si>
    <t>dette des pays en développement</t>
  </si>
  <si>
    <t>pays en développement</t>
  </si>
  <si>
    <t>aide au développement</t>
  </si>
  <si>
    <t>zone de développement</t>
  </si>
  <si>
    <t>coopération au développement</t>
  </si>
  <si>
    <t>modèle de développement</t>
  </si>
  <si>
    <t>pollution agricole</t>
  </si>
  <si>
    <t>plan de développement</t>
  </si>
  <si>
    <t>plan d'aménagement</t>
  </si>
  <si>
    <t>dialyse</t>
  </si>
  <si>
    <t>diatomées</t>
  </si>
  <si>
    <t>dictionnaire</t>
  </si>
  <si>
    <t>didactique</t>
  </si>
  <si>
    <t>moteur diesel</t>
  </si>
  <si>
    <t>gazole</t>
  </si>
  <si>
    <t>différenciation</t>
  </si>
  <si>
    <t>source de pollution diffuse</t>
  </si>
  <si>
    <t>diffusion</t>
  </si>
  <si>
    <t>boue digérée</t>
  </si>
  <si>
    <t>digesteur</t>
  </si>
  <si>
    <t>production agricole</t>
  </si>
  <si>
    <t>digestion</t>
  </si>
  <si>
    <t>modèle terrestre numérique</t>
  </si>
  <si>
    <t>digitalisation</t>
  </si>
  <si>
    <t>route d'accès</t>
  </si>
  <si>
    <t>produit agricole</t>
  </si>
  <si>
    <t>acide dilué</t>
  </si>
  <si>
    <t>dioxine</t>
  </si>
  <si>
    <t>inducteur direct</t>
  </si>
  <si>
    <t>directive</t>
  </si>
  <si>
    <t>personne handicapée</t>
  </si>
  <si>
    <t>restauration après catastrophe</t>
  </si>
  <si>
    <t>plan catastrophe</t>
  </si>
  <si>
    <t>service de prévention des risques</t>
  </si>
  <si>
    <t>prévoyance en cas de catastrophe</t>
  </si>
  <si>
    <t>prévention des catastrophes</t>
  </si>
  <si>
    <t>secours en cas de catastrophe</t>
  </si>
  <si>
    <t>législation en matière d'émission</t>
  </si>
  <si>
    <t>régime d'écoulement</t>
  </si>
  <si>
    <t>maladie</t>
  </si>
  <si>
    <t>étiologie</t>
  </si>
  <si>
    <t>désinfectant</t>
  </si>
  <si>
    <t>désinfection</t>
  </si>
  <si>
    <t>stockage des produits agricoles</t>
  </si>
  <si>
    <t>bulletin d'expédition</t>
  </si>
  <si>
    <t>dispersion</t>
  </si>
  <si>
    <t>calcul de dispersion</t>
  </si>
  <si>
    <t>personne déplacée</t>
  </si>
  <si>
    <t>pompes funèbres</t>
  </si>
  <si>
    <t>élimination des matériels de guerre</t>
  </si>
  <si>
    <t>dissolution</t>
  </si>
  <si>
    <t>carbone organique dissous</t>
  </si>
  <si>
    <t>distillation</t>
  </si>
  <si>
    <t>industrie de distillation</t>
  </si>
  <si>
    <t>distorsion de concurrence</t>
  </si>
  <si>
    <t>distribution</t>
  </si>
  <si>
    <t>chauffage urbain</t>
  </si>
  <si>
    <t>centrale de chauffage à distance</t>
  </si>
  <si>
    <t>terrain militaire désaffecté</t>
  </si>
  <si>
    <t>fossé</t>
  </si>
  <si>
    <t>ADN</t>
  </si>
  <si>
    <t>document</t>
  </si>
  <si>
    <t>documentation</t>
  </si>
  <si>
    <t>centre de documentation</t>
  </si>
  <si>
    <t>type de document</t>
  </si>
  <si>
    <t>chien</t>
  </si>
  <si>
    <t>déchet agricole</t>
  </si>
  <si>
    <t>appareil électro-ménager</t>
  </si>
  <si>
    <t>animal domestique (élevage)</t>
  </si>
  <si>
    <t>fioul domestique</t>
  </si>
  <si>
    <t>mazout de chauffage</t>
  </si>
  <si>
    <t>bruit domestique</t>
  </si>
  <si>
    <t>accès à la culture</t>
  </si>
  <si>
    <t>commerce intérieur</t>
  </si>
  <si>
    <t>ordures ménagères</t>
  </si>
  <si>
    <t>décharge d'ordures ménagères</t>
  </si>
  <si>
    <t>eau usée domestique</t>
  </si>
  <si>
    <t>dosage</t>
  </si>
  <si>
    <t>dose</t>
  </si>
  <si>
    <t>relation dose-effet</t>
  </si>
  <si>
    <t>projet d'acte législatif</t>
  </si>
  <si>
    <t>libellule</t>
  </si>
  <si>
    <t>drainage</t>
  </si>
  <si>
    <t>eau de drainage</t>
  </si>
  <si>
    <t>bête de trait</t>
  </si>
  <si>
    <t>matériau dragué</t>
  </si>
  <si>
    <t>dragage</t>
  </si>
  <si>
    <t>agriculture et élevage industriel</t>
  </si>
  <si>
    <t>lies d'huile</t>
  </si>
  <si>
    <t>pêche aux filets dérivants</t>
  </si>
  <si>
    <t>forage</t>
  </si>
  <si>
    <t>installation de forage</t>
  </si>
  <si>
    <t>eau potable</t>
  </si>
  <si>
    <t>zone de captage d'eau potable</t>
  </si>
  <si>
    <t>approvisionnement en eau potable</t>
  </si>
  <si>
    <t>traitement de l'eau potable</t>
  </si>
  <si>
    <t>sécheresse</t>
  </si>
  <si>
    <t>plan cadre de l'agriculture</t>
  </si>
  <si>
    <t>lutte contre la sécheresse</t>
  </si>
  <si>
    <t>toxicomanie</t>
  </si>
  <si>
    <t>médicament</t>
  </si>
  <si>
    <t>nettoyage à sec</t>
  </si>
  <si>
    <t>retombée sèche</t>
  </si>
  <si>
    <t>aridoculture</t>
  </si>
  <si>
    <t>séchage</t>
  </si>
  <si>
    <t>dessèchement</t>
  </si>
  <si>
    <t>économie à deux vitesses</t>
  </si>
  <si>
    <t>gestion commune des déchets banals et spéciaux</t>
  </si>
  <si>
    <t>décharge non réglementaire</t>
  </si>
  <si>
    <t>produit agrochimique</t>
  </si>
  <si>
    <t>décharge</t>
  </si>
  <si>
    <t>dune</t>
  </si>
  <si>
    <t>durée de l'ensoleillement</t>
  </si>
  <si>
    <t>poussière</t>
  </si>
  <si>
    <t>immission de poussière</t>
  </si>
  <si>
    <t>dépoussiérage</t>
  </si>
  <si>
    <t>obligation d'enregistrement</t>
  </si>
  <si>
    <t>habitation</t>
  </si>
  <si>
    <t>teinture</t>
  </si>
  <si>
    <t>agro-foresterie</t>
  </si>
  <si>
    <t>digue</t>
  </si>
  <si>
    <t>renforcement de digue</t>
  </si>
  <si>
    <t>système d'alerte rapide</t>
  </si>
  <si>
    <t>accès à la mer</t>
  </si>
  <si>
    <t>agroindustrie</t>
  </si>
  <si>
    <t>croûte terrestre</t>
  </si>
  <si>
    <t>séisme</t>
  </si>
  <si>
    <t>sciences de la terre</t>
  </si>
  <si>
    <t>relations Terre-Soleil</t>
  </si>
  <si>
    <t>lombric</t>
  </si>
  <si>
    <t>perce-oreille</t>
  </si>
  <si>
    <t>agro-météorologie</t>
  </si>
  <si>
    <t>Afrique de l'Est</t>
  </si>
  <si>
    <t>Asie orientale</t>
  </si>
  <si>
    <t>Europe de l'Est</t>
  </si>
  <si>
    <t>relations Est-Ouest</t>
  </si>
  <si>
    <t>commerce Est-Ouest</t>
  </si>
  <si>
    <t>Conseil des ministres de la CE</t>
  </si>
  <si>
    <t>directive de la CE</t>
  </si>
  <si>
    <t>directive CE relative aux biocides</t>
  </si>
  <si>
    <t>directive CE relative aux emballages</t>
  </si>
  <si>
    <t>directive CE relative à l'éliminiation des déchets</t>
  </si>
  <si>
    <t>directive CE relative à la protection de l'eau</t>
  </si>
  <si>
    <t>CE écolabel</t>
  </si>
  <si>
    <t>échinoderme</t>
  </si>
  <si>
    <t>SIDA</t>
  </si>
  <si>
    <t>ecodéveloppement</t>
  </si>
  <si>
    <t>écolabellisation</t>
  </si>
  <si>
    <t>population (spécifique)</t>
  </si>
  <si>
    <t>adaptation écologique</t>
  </si>
  <si>
    <t>évaluation écologique</t>
  </si>
  <si>
    <t>équilibre écologique</t>
  </si>
  <si>
    <t>comptabilité écologique</t>
  </si>
  <si>
    <t>facteur écologique</t>
  </si>
  <si>
    <t>niche écologique</t>
  </si>
  <si>
    <t>paramètre écologique</t>
  </si>
  <si>
    <t>zone sensible (écologie)</t>
  </si>
  <si>
    <t>inventaire écologique</t>
  </si>
  <si>
    <t>mouvement écologiste</t>
  </si>
  <si>
    <t>écologie</t>
  </si>
  <si>
    <t>écologie trophique</t>
  </si>
  <si>
    <t>activité économique</t>
  </si>
  <si>
    <t>efficience économique-écologique</t>
  </si>
  <si>
    <t>analyse économique</t>
  </si>
  <si>
    <t>développement économique</t>
  </si>
  <si>
    <t>croissance économique</t>
  </si>
  <si>
    <t>instrument économique</t>
  </si>
  <si>
    <t>instrument de gestion économique</t>
  </si>
  <si>
    <t>planification économique</t>
  </si>
  <si>
    <t>politique économique</t>
  </si>
  <si>
    <t>accident</t>
  </si>
  <si>
    <t>climatisation</t>
  </si>
  <si>
    <t>science économique</t>
  </si>
  <si>
    <t>situation économique</t>
  </si>
  <si>
    <t>système économique</t>
  </si>
  <si>
    <t>théorie économique</t>
  </si>
  <si>
    <t>conjoncture</t>
  </si>
  <si>
    <t>viabilité économique</t>
  </si>
  <si>
    <t>zonage économique</t>
  </si>
  <si>
    <t>écopédiatrie</t>
  </si>
  <si>
    <t>écophysiologie</t>
  </si>
  <si>
    <t>écosystème</t>
  </si>
  <si>
    <t>analyse de l'écosystème</t>
  </si>
  <si>
    <t>dégradation de l'écosystème</t>
  </si>
  <si>
    <t>recherche sur les écosystèmes</t>
  </si>
  <si>
    <t>type d'écosystème</t>
  </si>
  <si>
    <t>écotourisme</t>
  </si>
  <si>
    <t>écotoxicité</t>
  </si>
  <si>
    <t>évaluation écotoxicologique</t>
  </si>
  <si>
    <t>appareil volant</t>
  </si>
  <si>
    <t>écotoxicologie</t>
  </si>
  <si>
    <t>écotype</t>
  </si>
  <si>
    <t>politique communautaire</t>
  </si>
  <si>
    <t>règlement de la CE</t>
  </si>
  <si>
    <t>règlement (CEE) en matière de management environnemental et d'audit</t>
  </si>
  <si>
    <t>règlement (CEE) en matière de substances chimiques existantes</t>
  </si>
  <si>
    <t>édaphologie</t>
  </si>
  <si>
    <t>graisse alimentaire</t>
  </si>
  <si>
    <t>éducation</t>
  </si>
  <si>
    <t>émissions des moteurs d'avions</t>
  </si>
  <si>
    <t>établissement d'enseignement</t>
  </si>
  <si>
    <t>planification de l'enseignement</t>
  </si>
  <si>
    <t>politique en matière d'éducation</t>
  </si>
  <si>
    <t>système éducatif</t>
  </si>
  <si>
    <t>bruit d'aéronefs</t>
  </si>
  <si>
    <t>effet</t>
  </si>
  <si>
    <t>effet sur la santé</t>
  </si>
  <si>
    <t>effet sur l'homme</t>
  </si>
  <si>
    <t>effet sur l'environnement</t>
  </si>
  <si>
    <t>recherche des effets</t>
  </si>
  <si>
    <t>critère d'efficacité</t>
  </si>
  <si>
    <t>niveau d'efficacité</t>
  </si>
  <si>
    <t>effluent</t>
  </si>
  <si>
    <t>oeuf</t>
  </si>
  <si>
    <t>directive relative à l'EIE (Evaluation de l'impact sur l'environnement)</t>
  </si>
  <si>
    <t>loi sur l'EIE (Evaluation de l'impact sur l'environnement)</t>
  </si>
  <si>
    <t>EIE (Evaluation de l'impact sur l'environnement)</t>
  </si>
  <si>
    <t>élasticité</t>
  </si>
  <si>
    <t>personne agée</t>
  </si>
  <si>
    <t>génie électrique</t>
  </si>
  <si>
    <t>industrie électrique</t>
  </si>
  <si>
    <t>dispositif de stockage électrique</t>
  </si>
  <si>
    <t>électricité</t>
  </si>
  <si>
    <t>compagnie d'électricité</t>
  </si>
  <si>
    <t>consommation d'électricité</t>
  </si>
  <si>
    <t>production d'énergie électrique</t>
  </si>
  <si>
    <t>coût de la production électrique</t>
  </si>
  <si>
    <t>gestion de l'électricité</t>
  </si>
  <si>
    <t>ligne électrique</t>
  </si>
  <si>
    <t>énergie électrique</t>
  </si>
  <si>
    <t>centrale électrique</t>
  </si>
  <si>
    <t>approvisionnement en électricité</t>
  </si>
  <si>
    <t>véhicule électrique</t>
  </si>
  <si>
    <t>effets électrocinétiques</t>
  </si>
  <si>
    <t>électrolyse</t>
  </si>
  <si>
    <t>mouvement planétaire des masses d'air</t>
  </si>
  <si>
    <t>matériel électronique</t>
  </si>
  <si>
    <t>électronique</t>
  </si>
  <si>
    <t>ferraille électronique</t>
  </si>
  <si>
    <t>réglementation sur la ferraille électronique</t>
  </si>
  <si>
    <t>pollution électromagnétique</t>
  </si>
  <si>
    <t>polluant atmosphérique</t>
  </si>
  <si>
    <t>équipement électrotechnique</t>
  </si>
  <si>
    <t>industrie électrotechnique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</si>
  <si>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</si>
  <si>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</si>
  <si>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</si>
  <si>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</si>
  <si>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</si>
  <si>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</si>
  <si>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</si>
  <si>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</si>
  <si>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élément chimique</t>
  </si>
  <si>
    <t>pollution de l'air</t>
  </si>
  <si>
    <t>émancipation</t>
  </si>
  <si>
    <t>embryon</t>
  </si>
  <si>
    <t>embryogénèse</t>
  </si>
  <si>
    <t>Loi sur l'état d'urgence</t>
  </si>
  <si>
    <t>plan d'urgence</t>
  </si>
  <si>
    <t>secours d'urgence</t>
  </si>
  <si>
    <t>mesure de secours d'urgence</t>
  </si>
  <si>
    <t>abri d'urgence</t>
  </si>
  <si>
    <t>émission</t>
  </si>
  <si>
    <t>contrôle des émissions</t>
  </si>
  <si>
    <t>donnée sur les émissions</t>
  </si>
  <si>
    <t>facteur d'émission</t>
  </si>
  <si>
    <t>prévision d'émission</t>
  </si>
  <si>
    <t>aéroport</t>
  </si>
  <si>
    <t>réduction d'émission</t>
  </si>
  <si>
    <t>mise en réserve de crédits pour la réduction des émissions</t>
  </si>
  <si>
    <t>registre des émissions</t>
  </si>
  <si>
    <t>état des émissions</t>
  </si>
  <si>
    <t>source d'émission</t>
  </si>
  <si>
    <t>norme de rejet</t>
  </si>
  <si>
    <t>rejet dans l'eau</t>
  </si>
  <si>
    <t>emploi</t>
  </si>
  <si>
    <t>environnement et emploi</t>
  </si>
  <si>
    <t>effet sur le niveau de l'emploi</t>
  </si>
  <si>
    <t>émulsification</t>
  </si>
  <si>
    <t>émulsion</t>
  </si>
  <si>
    <t>encapsulation</t>
  </si>
  <si>
    <t>encyclopédie</t>
  </si>
  <si>
    <t>espèce animale menacée</t>
  </si>
  <si>
    <t>qualité de l'air</t>
  </si>
  <si>
    <t>espèce végétale menacée</t>
  </si>
  <si>
    <t>espèce menacée</t>
  </si>
  <si>
    <t>risque pour les eaux souterraines</t>
  </si>
  <si>
    <t>système endocrinien</t>
  </si>
  <si>
    <t>endocrinologie</t>
  </si>
  <si>
    <t>technologie &amp;quot;end-of-pipe&amp;quot;</t>
  </si>
  <si>
    <t>bilan énergetique</t>
  </si>
  <si>
    <t>économie d'énergie</t>
  </si>
  <si>
    <t>consommation d'énergie</t>
  </si>
  <si>
    <t>conversion de l'énergie</t>
  </si>
  <si>
    <t>besoin en énergie</t>
  </si>
  <si>
    <t>dissipation d'énergie</t>
  </si>
  <si>
    <t>système de distribution énergétique</t>
  </si>
  <si>
    <t>économie de l'énergie</t>
  </si>
  <si>
    <t>efficacité énergétique</t>
  </si>
  <si>
    <t>législation en matière d'énergie</t>
  </si>
  <si>
    <t>gestion de l'énergie</t>
  </si>
  <si>
    <t>marché de l'énergie</t>
  </si>
  <si>
    <t>politique énergétique</t>
  </si>
  <si>
    <t>processus énergétique</t>
  </si>
  <si>
    <t>production d'énergie</t>
  </si>
  <si>
    <t>valorisation énergétique</t>
  </si>
  <si>
    <t>ressource énergétique</t>
  </si>
  <si>
    <t>gestion de la qualité de l'air</t>
  </si>
  <si>
    <t>source d'énergie</t>
  </si>
  <si>
    <t>matières brutes énergétiques</t>
  </si>
  <si>
    <t>stockage d'énergie</t>
  </si>
  <si>
    <t>approvisionnement en énergie</t>
  </si>
  <si>
    <t>technologie énergétique</t>
  </si>
  <si>
    <t>type d'énergie</t>
  </si>
  <si>
    <t>utilisation de l'énergie</t>
  </si>
  <si>
    <t>mode d'utilisation de l'énergie</t>
  </si>
  <si>
    <t>application</t>
  </si>
  <si>
    <t>moteur</t>
  </si>
  <si>
    <t>politique d'élargissement</t>
  </si>
  <si>
    <t>programme d'élargissement</t>
  </si>
  <si>
    <t>uranium enrichi</t>
  </si>
  <si>
    <t>enrichissement</t>
  </si>
  <si>
    <t>approvisionnement alimentaire approprié</t>
  </si>
  <si>
    <t>accident écologique</t>
  </si>
  <si>
    <t>comptabilité de l'environnement</t>
  </si>
  <si>
    <t>conseil en matière de protection de l'environnement</t>
  </si>
  <si>
    <t>sécurité aérienne</t>
  </si>
  <si>
    <t>inquiétude environnementale</t>
  </si>
  <si>
    <t>architecture &amp;quot;durable&amp;quot;</t>
  </si>
  <si>
    <t>aspects écologiques des établissements humains</t>
  </si>
  <si>
    <t>évaluation environnementale</t>
  </si>
  <si>
    <t>critère d'évaluation environnementale</t>
  </si>
  <si>
    <t>audit d'environnement</t>
  </si>
  <si>
    <t>conscience environnementale</t>
  </si>
  <si>
    <t>changement écologique</t>
  </si>
  <si>
    <t>législation en matière des produits chimiques présents dans l'environnement</t>
  </si>
  <si>
    <t>chimie environnementale</t>
  </si>
  <si>
    <t>éco-compatibilité</t>
  </si>
  <si>
    <t>conséquence sur l'environnement</t>
  </si>
  <si>
    <t>organisation de l'espace aérien</t>
  </si>
  <si>
    <t>sauvegarde de l'environnement</t>
  </si>
  <si>
    <t>plan d'intervention en cas de catastrophe</t>
  </si>
  <si>
    <t>contrôle de l'environnement</t>
  </si>
  <si>
    <t>coût environnemental</t>
  </si>
  <si>
    <t>crime écologique</t>
  </si>
  <si>
    <t>droit pénal en matière d'environnement</t>
  </si>
  <si>
    <t>critères et données de surveillance</t>
  </si>
  <si>
    <t>rejet accidentel d'organismes</t>
  </si>
  <si>
    <t>culture environnementale</t>
  </si>
  <si>
    <t>donnée environnementale</t>
  </si>
  <si>
    <t>développement environnemental</t>
  </si>
  <si>
    <t>température de l'air</t>
  </si>
  <si>
    <t>enjeu économique de l'environnement</t>
  </si>
  <si>
    <t>économie de l'environnement</t>
  </si>
  <si>
    <t>éducation à l'environnement</t>
  </si>
  <si>
    <t>entreprise environnementale</t>
  </si>
  <si>
    <t>éthique de l'environnement</t>
  </si>
  <si>
    <t>trafic aérien</t>
  </si>
  <si>
    <t>fonds pour l'environnement</t>
  </si>
  <si>
    <t>danger environnemental</t>
  </si>
  <si>
    <t>hygiène de l'environnement</t>
  </si>
  <si>
    <t>risque écologique pour la santé</t>
  </si>
  <si>
    <t>évaluation de l'impact des conditions de vie sur la santé</t>
  </si>
  <si>
    <t>protection de l'hygiène du milieu</t>
  </si>
  <si>
    <t>histoire de l'écologie</t>
  </si>
  <si>
    <t>impact sur l'environnement</t>
  </si>
  <si>
    <t>évaluation de l'impact sur l'environnement</t>
  </si>
  <si>
    <t>impact de l'agriculture sur l'environnement</t>
  </si>
  <si>
    <t>impact de l'aquaculture sur l'environnement</t>
  </si>
  <si>
    <t>impact de l'énergie sur l'environnement</t>
  </si>
  <si>
    <t>mpact de la pêche sur l'environnement</t>
  </si>
  <si>
    <t>impact de la sylviculture sur l'environnement</t>
  </si>
  <si>
    <t>impact des ménages sur l'environnement</t>
  </si>
  <si>
    <t>impact de l'industrie sur l'environnement</t>
  </si>
  <si>
    <t>impact des loisirs sur l'environnement</t>
  </si>
  <si>
    <t>impact  du tourisme sur l'environnement</t>
  </si>
  <si>
    <t>impact des transports sur l'environnement</t>
  </si>
  <si>
    <t>déclaration sur l'impact écologique</t>
  </si>
  <si>
    <t>étude d'impact sur l'environnement</t>
  </si>
  <si>
    <t>Incitation financière à la protection de l'environnement</t>
  </si>
  <si>
    <t>indicateur environnemental</t>
  </si>
  <si>
    <t>index environnemental</t>
  </si>
  <si>
    <t>écoindustrie</t>
  </si>
  <si>
    <t>loi de navigation aérienne</t>
  </si>
  <si>
    <t>informatique environnementale</t>
  </si>
  <si>
    <t>information environnementale</t>
  </si>
  <si>
    <t>réseau d'information sur l'environnement</t>
  </si>
  <si>
    <t>système d'information sur l'environnement</t>
  </si>
  <si>
    <t>investissement environnemental</t>
  </si>
  <si>
    <t>écologisme</t>
  </si>
  <si>
    <t>droit de l'environnement</t>
  </si>
  <si>
    <t>réglementation du trafic aérien</t>
  </si>
  <si>
    <t>application du droit de l'environnement</t>
  </si>
  <si>
    <t>législation en matière d'environnement</t>
  </si>
  <si>
    <t>législation environnementale sur l'agriculture</t>
  </si>
  <si>
    <t>procédure législative en matière d'environnement</t>
  </si>
  <si>
    <t>responsabilité écologique</t>
  </si>
  <si>
    <t>permis applicable à l'environnement</t>
  </si>
  <si>
    <t>substance dangereuse pour l'environnement</t>
  </si>
  <si>
    <t>achat de produits et de services écologiques</t>
  </si>
  <si>
    <t>produit propre</t>
  </si>
  <si>
    <t>management environnemental</t>
  </si>
  <si>
    <t>maladie liée au milieu environnant</t>
  </si>
  <si>
    <t>comportement écologique</t>
  </si>
  <si>
    <t>entreprise non respectueuse de l'environnement</t>
  </si>
  <si>
    <t>médecine environnementale</t>
  </si>
  <si>
    <t>méfait écologique</t>
  </si>
  <si>
    <t>surveillance de l'environnement</t>
  </si>
  <si>
    <t>bruit ambiant</t>
  </si>
  <si>
    <t>perception de l'environnement</t>
  </si>
  <si>
    <t>performance environnementale</t>
  </si>
  <si>
    <t>planification écologique</t>
  </si>
  <si>
    <t>transport aérien</t>
  </si>
  <si>
    <t>plan écologique</t>
  </si>
  <si>
    <t>politique de l'environnement</t>
  </si>
  <si>
    <t>instrument de gestion de l'environnement</t>
  </si>
  <si>
    <t>pollution de l'environnement</t>
  </si>
  <si>
    <t>priorité environnementale</t>
  </si>
  <si>
    <t>programme environnemental</t>
  </si>
  <si>
    <t>interaction air/eau</t>
  </si>
  <si>
    <t>protection de l'environnement</t>
  </si>
  <si>
    <t>agence pour la protection de l'environnement</t>
  </si>
  <si>
    <t>association de défense de l'environnement</t>
  </si>
  <si>
    <t>coût de protection de l'environnement</t>
  </si>
  <si>
    <t>défense de l'environnement dans le cadre de l'entreprise</t>
  </si>
  <si>
    <t>décret sur la protection de l'environnement</t>
  </si>
  <si>
    <t>organisation de protection de l'environnement</t>
  </si>
  <si>
    <t>réglementation de la protection de l'environnement</t>
  </si>
  <si>
    <t>technologie de protection de l'environnement</t>
  </si>
  <si>
    <t>psychologie environnementale</t>
  </si>
  <si>
    <t>qualité de l'environnement</t>
  </si>
  <si>
    <t>critère de qualité de l'environnement</t>
  </si>
  <si>
    <t>objectif de qualité environnementale</t>
  </si>
  <si>
    <t>norme de qualité de l'environnement</t>
  </si>
  <si>
    <t>rapport sur l'environnement</t>
  </si>
  <si>
    <t>recherche sur l'environnement et développement</t>
  </si>
  <si>
    <t>évaluation des risques pour l'environnement</t>
  </si>
  <si>
    <t>risque pour l'environnement</t>
  </si>
  <si>
    <t>sciences de l'environnement</t>
  </si>
  <si>
    <t>sécurité écologique</t>
  </si>
  <si>
    <t>banque d'échantillons de l'environnement</t>
  </si>
  <si>
    <t>éco-audit</t>
  </si>
  <si>
    <t>statistiques de l'environnement</t>
  </si>
  <si>
    <t>bourse des valeurs environnementales</t>
  </si>
  <si>
    <t>encouragement et subventions écologiques</t>
  </si>
  <si>
    <t>objectif environnemental</t>
  </si>
  <si>
    <t>alarme</t>
  </si>
  <si>
    <t>enseignement de l'environnement</t>
  </si>
  <si>
    <t>technologie de l'environnement</t>
  </si>
  <si>
    <t>terminologie de l'environnement</t>
  </si>
  <si>
    <t>formation en matière d'environnement</t>
  </si>
  <si>
    <t>évaluation économique environnementale</t>
  </si>
  <si>
    <t>vandalisme environnemental</t>
  </si>
  <si>
    <t>guerre mésologique</t>
  </si>
  <si>
    <t>favorable à l'environnement</t>
  </si>
  <si>
    <t>environnement</t>
  </si>
  <si>
    <t>enzyme</t>
  </si>
  <si>
    <t>épidémie</t>
  </si>
  <si>
    <t>épidémiologie</t>
  </si>
  <si>
    <t>équidé</t>
  </si>
  <si>
    <t>équipement</t>
  </si>
  <si>
    <t>dose équivalente</t>
  </si>
  <si>
    <t>ergonomie</t>
  </si>
  <si>
    <t>érosion</t>
  </si>
  <si>
    <t>aménagement antiérosif</t>
  </si>
  <si>
    <t>biologie estuarienne</t>
  </si>
  <si>
    <t>zone préservée de l'estuaire</t>
  </si>
  <si>
    <t>écosystème estuarien</t>
  </si>
  <si>
    <t>océanographie estuarienne</t>
  </si>
  <si>
    <t>estuaire</t>
  </si>
  <si>
    <t>gravure</t>
  </si>
  <si>
    <t>substance corrosive</t>
  </si>
  <si>
    <t>éther</t>
  </si>
  <si>
    <t>alcool</t>
  </si>
  <si>
    <t>éthique</t>
  </si>
  <si>
    <t>ethnologie</t>
  </si>
  <si>
    <t>éthologie</t>
  </si>
  <si>
    <t>Conseil de l'Union Européenne</t>
  </si>
  <si>
    <t>Euratom</t>
  </si>
  <si>
    <t>Europe</t>
  </si>
  <si>
    <t>Commission Européenne</t>
  </si>
  <si>
    <t>Cour de Justice Européenne</t>
  </si>
  <si>
    <t>Agence européenne pour l'environnement</t>
  </si>
  <si>
    <t>Conseil européen de l'environnement</t>
  </si>
  <si>
    <t>source d'accident</t>
  </si>
  <si>
    <t>réserve naturelle européenne</t>
  </si>
  <si>
    <t>Parlement Européen</t>
  </si>
  <si>
    <t>Union européenne</t>
  </si>
  <si>
    <t>eutrophisation</t>
  </si>
  <si>
    <t>algue</t>
  </si>
  <si>
    <t>évaluation</t>
  </si>
  <si>
    <t>critère d'évaluation</t>
  </si>
  <si>
    <t>méthode d'évaluation</t>
  </si>
  <si>
    <t>évaluation de technologie</t>
  </si>
  <si>
    <t>évaporation</t>
  </si>
  <si>
    <t>évapotranspiration</t>
  </si>
  <si>
    <t>évolution</t>
  </si>
  <si>
    <t>science exacte</t>
  </si>
  <si>
    <t>cavité creusée</t>
  </si>
  <si>
    <t>creusement</t>
  </si>
  <si>
    <t>prolifération d'algues</t>
  </si>
  <si>
    <t>tas de déblai</t>
  </si>
  <si>
    <t>terrain de déblayement</t>
  </si>
  <si>
    <t>hauteur excessive des cheminées d'usine</t>
  </si>
  <si>
    <t>mandat exécutif</t>
  </si>
  <si>
    <t>dispositif d'évacuation</t>
  </si>
  <si>
    <t>gaz d'échappement</t>
  </si>
  <si>
    <t>produits chimiques existant</t>
  </si>
  <si>
    <t>espèce exotique</t>
  </si>
  <si>
    <t>dépense</t>
  </si>
  <si>
    <t>algicide</t>
  </si>
  <si>
    <t>expérience scientifique</t>
  </si>
  <si>
    <t>système expert</t>
  </si>
  <si>
    <t>exploration</t>
  </si>
  <si>
    <t>explosion</t>
  </si>
  <si>
    <t>explosif</t>
  </si>
  <si>
    <t>exportation</t>
  </si>
  <si>
    <t>permis d'exportation</t>
  </si>
  <si>
    <t>exportation de déchets dangereux</t>
  </si>
  <si>
    <t>exposition</t>
  </si>
  <si>
    <t>expropriation</t>
  </si>
  <si>
    <t>élevage extensif de bétail</t>
  </si>
  <si>
    <t>externalité économique</t>
  </si>
  <si>
    <t>composé alicyclic</t>
  </si>
  <si>
    <t>extinction</t>
  </si>
  <si>
    <t>espèce éteinte</t>
  </si>
  <si>
    <t>extraction</t>
  </si>
  <si>
    <t>hydrocarbures cycloaliphatiques</t>
  </si>
  <si>
    <t>industrie minière</t>
  </si>
  <si>
    <t>tissu</t>
  </si>
  <si>
    <t>marché des facteurs de production</t>
  </si>
  <si>
    <t>élevage industriel</t>
  </si>
  <si>
    <t>bactérie fécale</t>
  </si>
  <si>
    <t>composés aliphatiques</t>
  </si>
  <si>
    <t>retombée</t>
  </si>
  <si>
    <t>zone en friche</t>
  </si>
  <si>
    <t>friche agricole</t>
  </si>
  <si>
    <t>famille</t>
  </si>
  <si>
    <t>planning familial</t>
  </si>
  <si>
    <t>hydrocarbures aliphatiques</t>
  </si>
  <si>
    <t>famine</t>
  </si>
  <si>
    <t>animal d'élevage</t>
  </si>
  <si>
    <t>ferme (bâtiment)</t>
  </si>
  <si>
    <t>terre alcaline</t>
  </si>
  <si>
    <t>ferme (exploitation)</t>
  </si>
  <si>
    <t>trafic à grande vitesse</t>
  </si>
  <si>
    <t>faune</t>
  </si>
  <si>
    <t>autorité fédérale</t>
  </si>
  <si>
    <t>gouvernement fédéral</t>
  </si>
  <si>
    <t>loi fédérale (D)</t>
  </si>
  <si>
    <t>frais administratifs</t>
  </si>
  <si>
    <t>alimentation des animaux</t>
  </si>
  <si>
    <t>fagne</t>
  </si>
  <si>
    <t>fermentation</t>
  </si>
  <si>
    <t>fougère</t>
  </si>
  <si>
    <t>engrais</t>
  </si>
  <si>
    <t>loi sur les engrais</t>
  </si>
  <si>
    <t>fibre</t>
  </si>
  <si>
    <t>fibre de verre</t>
  </si>
  <si>
    <t>champ</t>
  </si>
  <si>
    <t>détérioration du terrain</t>
  </si>
  <si>
    <t>expérience de terrain</t>
  </si>
  <si>
    <t>étude de terrain</t>
  </si>
  <si>
    <t>matériau de remplissage</t>
  </si>
  <si>
    <t>station-service</t>
  </si>
  <si>
    <t>film</t>
  </si>
  <si>
    <t>filtre</t>
  </si>
  <si>
    <t>gâteau de filtration</t>
  </si>
  <si>
    <t>sol alcalin</t>
  </si>
  <si>
    <t>filtration</t>
  </si>
  <si>
    <t>stockage final</t>
  </si>
  <si>
    <t>finances</t>
  </si>
  <si>
    <t>aide au financement</t>
  </si>
  <si>
    <t>dédommagement financier</t>
  </si>
  <si>
    <t>contribution financière</t>
  </si>
  <si>
    <t>instrument financier</t>
  </si>
  <si>
    <t>loi de finances</t>
  </si>
  <si>
    <t>marché financier</t>
  </si>
  <si>
    <t>financement</t>
  </si>
  <si>
    <t>amende</t>
  </si>
  <si>
    <t>fine poussière</t>
  </si>
  <si>
    <t>incendie</t>
  </si>
  <si>
    <t>prévention des incendies</t>
  </si>
  <si>
    <t>agent d'ignifugation</t>
  </si>
  <si>
    <t>alcane</t>
  </si>
  <si>
    <t>protection contre le feu</t>
  </si>
  <si>
    <t>règles de prévention incendies</t>
  </si>
  <si>
    <t>service d'incendie</t>
  </si>
  <si>
    <t>cuisson</t>
  </si>
  <si>
    <t>firme</t>
  </si>
  <si>
    <t>maladie ichtyologique</t>
  </si>
  <si>
    <t>pêche (général)</t>
  </si>
  <si>
    <t>gestion de la pêche</t>
  </si>
  <si>
    <t>ressource halieutique</t>
  </si>
  <si>
    <t>économie de la pêche</t>
  </si>
  <si>
    <t>politique de la pêche</t>
  </si>
  <si>
    <t>poisson</t>
  </si>
  <si>
    <t>pisciculture</t>
  </si>
  <si>
    <t>pêche (action)</t>
  </si>
  <si>
    <t>composé alkylique</t>
  </si>
  <si>
    <t>industrie de la pêche</t>
  </si>
  <si>
    <t>loi sur la pêche</t>
  </si>
  <si>
    <t>réserve de pêche</t>
  </si>
  <si>
    <t>bateau de pêche</t>
  </si>
  <si>
    <t>destruction des poissons</t>
  </si>
  <si>
    <t>stock de poisson</t>
  </si>
  <si>
    <t>toxicité des poissons</t>
  </si>
  <si>
    <t>plomberie (bâtiment)</t>
  </si>
  <si>
    <t>plan d'échelonnement des coûts</t>
  </si>
  <si>
    <t>pavillon de complaisance</t>
  </si>
  <si>
    <t>brûlage à la torche</t>
  </si>
  <si>
    <t>test rapide</t>
  </si>
  <si>
    <t>arôme</t>
  </si>
  <si>
    <t>puce</t>
  </si>
  <si>
    <t>allergène</t>
  </si>
  <si>
    <t>réglementation souple de la protection de l'environnement</t>
  </si>
  <si>
    <t>floculant</t>
  </si>
  <si>
    <t>floculation</t>
  </si>
  <si>
    <t>crue</t>
  </si>
  <si>
    <t>lutte contre les inondations</t>
  </si>
  <si>
    <t>inondation</t>
  </si>
  <si>
    <t>flore</t>
  </si>
  <si>
    <t>restauration de la flore</t>
  </si>
  <si>
    <t>flottation</t>
  </si>
  <si>
    <t>débit</t>
  </si>
  <si>
    <t>fleur</t>
  </si>
  <si>
    <t>plante à fleur</t>
  </si>
  <si>
    <t>champ d'un écoulement</t>
  </si>
  <si>
    <t>eau courante</t>
  </si>
  <si>
    <t>gaz de carneau</t>
  </si>
  <si>
    <t>allergie</t>
  </si>
  <si>
    <t>fluidique</t>
  </si>
  <si>
    <t>fluidisation</t>
  </si>
  <si>
    <t>lit fluidisé</t>
  </si>
  <si>
    <t>fluoration</t>
  </si>
  <si>
    <t>fluor</t>
  </si>
  <si>
    <t>ressources fluviales</t>
  </si>
  <si>
    <t>transport fluvial</t>
  </si>
  <si>
    <t>cendre volante</t>
  </si>
  <si>
    <t>agent moussant</t>
  </si>
  <si>
    <t>fourrage</t>
  </si>
  <si>
    <t>brouillard</t>
  </si>
  <si>
    <t>brume</t>
  </si>
  <si>
    <t>affectation</t>
  </si>
  <si>
    <t>feuillage</t>
  </si>
  <si>
    <t>aliment</t>
  </si>
  <si>
    <t>additifs alimentaires et colorants</t>
  </si>
  <si>
    <t>chaîne alimentaire</t>
  </si>
  <si>
    <t>plan d'affectation</t>
  </si>
  <si>
    <t>colorant alimentaire</t>
  </si>
  <si>
    <t>commerce d'alimentation</t>
  </si>
  <si>
    <t>contamination des denrées alimentaires</t>
  </si>
  <si>
    <t>hygiène alimentaire</t>
  </si>
  <si>
    <t>industrie alimentaire</t>
  </si>
  <si>
    <t>irradiation des aliments</t>
  </si>
  <si>
    <t>contaminant alimentaire</t>
  </si>
  <si>
    <t>conservation des aliments</t>
  </si>
  <si>
    <t>production alimentaire (agriculture)</t>
  </si>
  <si>
    <t>qualité des denrées alimentaires</t>
  </si>
  <si>
    <t>besoins alimentaires</t>
  </si>
  <si>
    <t>science et technologie alimentaire</t>
  </si>
  <si>
    <t>stockage des aliments</t>
  </si>
  <si>
    <t>produit alimentaire</t>
  </si>
  <si>
    <t>technologie alimentaire</t>
  </si>
  <si>
    <t>transport alimentaire</t>
  </si>
  <si>
    <t>sentier pedestre</t>
  </si>
  <si>
    <t>contamination du fourrage</t>
  </si>
  <si>
    <t>loi sur l'alimentation des animaux d'élevage</t>
  </si>
  <si>
    <t>alliage</t>
  </si>
  <si>
    <t>prévision</t>
  </si>
  <si>
    <t>saisie</t>
  </si>
  <si>
    <t>relations économiques extérieures</t>
  </si>
  <si>
    <t>politique étrangère</t>
  </si>
  <si>
    <t>commerce extérieur</t>
  </si>
  <si>
    <t>forêt</t>
  </si>
  <si>
    <t>alluvion</t>
  </si>
  <si>
    <t>préservation des forêts</t>
  </si>
  <si>
    <t>réduction de la surface boisée</t>
  </si>
  <si>
    <t>dégâts forestiers</t>
  </si>
  <si>
    <t>ecosystème forestier</t>
  </si>
  <si>
    <t>incendie de forêt</t>
  </si>
  <si>
    <t>rayonnement alpha</t>
  </si>
  <si>
    <t>industrie forestière</t>
  </si>
  <si>
    <t>gestion forestière</t>
  </si>
  <si>
    <t>déprédateur des forêts</t>
  </si>
  <si>
    <t>politique forestière</t>
  </si>
  <si>
    <t>production forestière</t>
  </si>
  <si>
    <t>produit forestier</t>
  </si>
  <si>
    <t>réserve forestière</t>
  </si>
  <si>
    <t>évaluation des ressources forestières</t>
  </si>
  <si>
    <t>ressource forestière</t>
  </si>
  <si>
    <t>économie forestière</t>
  </si>
  <si>
    <t>droit forestier</t>
  </si>
  <si>
    <t>législation forestière</t>
  </si>
  <si>
    <t>pratique forestière</t>
  </si>
  <si>
    <t>forme de gouvernement</t>
  </si>
  <si>
    <t>fossile</t>
  </si>
  <si>
    <t>combustible fossile</t>
  </si>
  <si>
    <t>salissure</t>
  </si>
  <si>
    <t>moteur à quatre temps</t>
  </si>
  <si>
    <t>législation cadre</t>
  </si>
  <si>
    <t>accès à l'information</t>
  </si>
  <si>
    <t>transport de marchandises</t>
  </si>
  <si>
    <t>fréon</t>
  </si>
  <si>
    <t>eau douce</t>
  </si>
  <si>
    <t>biologie de l'eau douce</t>
  </si>
  <si>
    <t>dégradation des ressources en eau douce</t>
  </si>
  <si>
    <t>écosystème d'eau douce</t>
  </si>
  <si>
    <t>matériau alternatif</t>
  </si>
  <si>
    <t>contrôle de l' eau douce</t>
  </si>
  <si>
    <t>organisme d'eau douce</t>
  </si>
  <si>
    <t>pollution des eaux douces</t>
  </si>
  <si>
    <t>ressource en eau douce</t>
  </si>
  <si>
    <t>grenouille</t>
  </si>
  <si>
    <t>gel</t>
  </si>
  <si>
    <t>fruit</t>
  </si>
  <si>
    <t>culture fruitière</t>
  </si>
  <si>
    <t>arbre fruitier</t>
  </si>
  <si>
    <t>combustible</t>
  </si>
  <si>
    <t>additif pour carburants</t>
  </si>
  <si>
    <t>alcool-carburant</t>
  </si>
  <si>
    <t>composition des carburants</t>
  </si>
  <si>
    <t>technologie &amp;quot;propre&amp;quot;</t>
  </si>
  <si>
    <t>consommation de combustible</t>
  </si>
  <si>
    <t>fioul</t>
  </si>
  <si>
    <t>installation de réservoir à carburant</t>
  </si>
  <si>
    <t>bois à usage de combustible</t>
  </si>
  <si>
    <t>fumée</t>
  </si>
  <si>
    <t>alumine</t>
  </si>
  <si>
    <t>fumigation</t>
  </si>
  <si>
    <t>substance fonctionnelle</t>
  </si>
  <si>
    <t>fonction du sol</t>
  </si>
  <si>
    <t>mycète</t>
  </si>
  <si>
    <t>champignon (ordre végétal)</t>
  </si>
  <si>
    <t>aluminium</t>
  </si>
  <si>
    <t>fongicide</t>
  </si>
  <si>
    <t>fourrure</t>
  </si>
  <si>
    <t>animal à fourrure</t>
  </si>
  <si>
    <t>furanne</t>
  </si>
  <si>
    <t>four industriel</t>
  </si>
  <si>
    <t>meubles</t>
  </si>
  <si>
    <t>emballage en aluminium</t>
  </si>
  <si>
    <t>industrie de l'ameublement</t>
  </si>
  <si>
    <t>pelleterie</t>
  </si>
  <si>
    <t>gallinacé</t>
  </si>
  <si>
    <t>teneur en aluminium</t>
  </si>
  <si>
    <t>galvanisation</t>
  </si>
  <si>
    <t>gibier</t>
  </si>
  <si>
    <t>rayonnement gamma</t>
  </si>
  <si>
    <t>jardin</t>
  </si>
  <si>
    <t>industrie de l'aluminium</t>
  </si>
  <si>
    <t>déchet de jardin</t>
  </si>
  <si>
    <t>garrigue</t>
  </si>
  <si>
    <t>gaz</t>
  </si>
  <si>
    <t>chromatographie en phase gazeuse</t>
  </si>
  <si>
    <t>compagnie du gaz</t>
  </si>
  <si>
    <t>moteur à gaz</t>
  </si>
  <si>
    <t>polluant atmosphérique gazeux</t>
  </si>
  <si>
    <t>état gazeux</t>
  </si>
  <si>
    <t>traitement des gaz</t>
  </si>
  <si>
    <t>gazéification</t>
  </si>
  <si>
    <t>liquéfaction de gaz</t>
  </si>
  <si>
    <t>mélange gazeux</t>
  </si>
  <si>
    <t>réseau gazier</t>
  </si>
  <si>
    <t>gazohol</t>
  </si>
  <si>
    <t>moteur à essence</t>
  </si>
  <si>
    <t>gazoduc</t>
  </si>
  <si>
    <t>centrale à gaz</t>
  </si>
  <si>
    <t>épuration des gaz</t>
  </si>
  <si>
    <t>recirculation des gaz</t>
  </si>
  <si>
    <t>réservoir à gaz</t>
  </si>
  <si>
    <t>alimentation en gaz</t>
  </si>
  <si>
    <t>accumulation dans les tissues corporels</t>
  </si>
  <si>
    <t>alvéole</t>
  </si>
  <si>
    <t>gastéropode</t>
  </si>
  <si>
    <t>usine à gaz</t>
  </si>
  <si>
    <t>égalité des sexes</t>
  </si>
  <si>
    <t>banque de gênes</t>
  </si>
  <si>
    <t>instruction administrative générale</t>
  </si>
  <si>
    <t>chimie générale</t>
  </si>
  <si>
    <t>gène</t>
  </si>
  <si>
    <t>diversité génétique</t>
  </si>
  <si>
    <t>effet génétique</t>
  </si>
  <si>
    <t>génie génétique</t>
  </si>
  <si>
    <t>législation en matière de génie génétique</t>
  </si>
  <si>
    <t>information génétique</t>
  </si>
  <si>
    <t>amalgame</t>
  </si>
  <si>
    <t>modification génétique</t>
  </si>
  <si>
    <t>ressource génétique</t>
  </si>
  <si>
    <t>génétique</t>
  </si>
  <si>
    <t>variation génétique</t>
  </si>
  <si>
    <t>géodésie</t>
  </si>
  <si>
    <t>facteur géogénique</t>
  </si>
  <si>
    <t>système d'information géographique</t>
  </si>
  <si>
    <t>désastre géologique</t>
  </si>
  <si>
    <t>processus géologique</t>
  </si>
  <si>
    <t>géologie</t>
  </si>
  <si>
    <t>processus géomorphologique</t>
  </si>
  <si>
    <t>géomorphologie</t>
  </si>
  <si>
    <t>géophysique</t>
  </si>
  <si>
    <t>géotechnologie</t>
  </si>
  <si>
    <t>énergie géothermique</t>
  </si>
  <si>
    <t>germe</t>
  </si>
  <si>
    <t>germination</t>
  </si>
  <si>
    <t>protoplasme des germes</t>
  </si>
  <si>
    <t>Les Amériques</t>
  </si>
  <si>
    <t>glacier</t>
  </si>
  <si>
    <t>glaciologie</t>
  </si>
  <si>
    <t>verre</t>
  </si>
  <si>
    <t>industrie du verre</t>
  </si>
  <si>
    <t>aspect global</t>
  </si>
  <si>
    <t>convention internationale</t>
  </si>
  <si>
    <t>Fonds mondial pour la protection de l'environnement</t>
  </si>
  <si>
    <t>modèle global</t>
  </si>
  <si>
    <t>réchauffement mondial</t>
  </si>
  <si>
    <t>glossaire</t>
  </si>
  <si>
    <t>colle</t>
  </si>
  <si>
    <t>objectifs des entreprises</t>
  </si>
  <si>
    <t>test de Ames</t>
  </si>
  <si>
    <t>golf</t>
  </si>
  <si>
    <t>bonne gestion</t>
  </si>
  <si>
    <t>organe de conseil auprès du gouvernement</t>
  </si>
  <si>
    <t>édifice gouvernemental</t>
  </si>
  <si>
    <t>gouvernement</t>
  </si>
  <si>
    <t>dépense publique pour l'environnement</t>
  </si>
  <si>
    <t>responsabilité gouvernementale</t>
  </si>
  <si>
    <t>politique gouvernementale</t>
  </si>
  <si>
    <t>amine</t>
  </si>
  <si>
    <t>céréale</t>
  </si>
  <si>
    <t>herbe</t>
  </si>
  <si>
    <t>acide aminé</t>
  </si>
  <si>
    <t>feu de prairie</t>
  </si>
  <si>
    <t>sauterelle</t>
  </si>
  <si>
    <t>prairie</t>
  </si>
  <si>
    <t>écosystème prairie</t>
  </si>
  <si>
    <t>gravier</t>
  </si>
  <si>
    <t>extraction de gravier</t>
  </si>
  <si>
    <t>gravière</t>
  </si>
  <si>
    <t>pâturage</t>
  </si>
  <si>
    <t>ammoniac</t>
  </si>
  <si>
    <t>ceinture verte</t>
  </si>
  <si>
    <t>construction &amp;quot;verte&amp;quot;</t>
  </si>
  <si>
    <t>coulée verte</t>
  </si>
  <si>
    <t>écotaxe</t>
  </si>
  <si>
    <t>horticulture en serre</t>
  </si>
  <si>
    <t>effet de serre</t>
  </si>
  <si>
    <t>gaz à effet de serre</t>
  </si>
  <si>
    <t>engrais vert</t>
  </si>
  <si>
    <t>révolution verte</t>
  </si>
  <si>
    <t>espace vert</t>
  </si>
  <si>
    <t>légume vert</t>
  </si>
  <si>
    <t>broyage</t>
  </si>
  <si>
    <t>produit national brut</t>
  </si>
  <si>
    <t>ammonisation</t>
  </si>
  <si>
    <t>eaux souterraines</t>
  </si>
  <si>
    <t>puisage des eaux souterraines</t>
  </si>
  <si>
    <t>pollution des eaux souterraines</t>
  </si>
  <si>
    <t>protection des réserves d'eau souterraines</t>
  </si>
  <si>
    <t>comportement collectif</t>
  </si>
  <si>
    <t>ammonium</t>
  </si>
  <si>
    <t>accumulateur</t>
  </si>
  <si>
    <t>golfe</t>
  </si>
  <si>
    <t>gymnosperme</t>
  </si>
  <si>
    <t>gypse</t>
  </si>
  <si>
    <t>habitat</t>
  </si>
  <si>
    <t>hématologie</t>
  </si>
  <si>
    <t>grêle</t>
  </si>
  <si>
    <t>demi-vie</t>
  </si>
  <si>
    <t>haloforme</t>
  </si>
  <si>
    <t>biphényles halogénés</t>
  </si>
  <si>
    <t>hydrocarbure halogéné</t>
  </si>
  <si>
    <t>phenol halogéné</t>
  </si>
  <si>
    <t>polluant halogéné</t>
  </si>
  <si>
    <t>terphenyl halogéné</t>
  </si>
  <si>
    <t>entreprise artisanale</t>
  </si>
  <si>
    <t>artisanat d'art</t>
  </si>
  <si>
    <t>port</t>
  </si>
  <si>
    <t>dureté</t>
  </si>
  <si>
    <t>pollution des eaux usées</t>
  </si>
  <si>
    <t>harmonisation des lois</t>
  </si>
  <si>
    <t>récolte</t>
  </si>
  <si>
    <t>danger</t>
  </si>
  <si>
    <t>risque dû aux polluants</t>
  </si>
  <si>
    <t>matière dangereuse</t>
  </si>
  <si>
    <t>législation des matières dangereuses</t>
  </si>
  <si>
    <t>décharge de déchets dangereux</t>
  </si>
  <si>
    <t>déchets dangereux</t>
  </si>
  <si>
    <t>substance dangereuse à manipuler</t>
  </si>
  <si>
    <t>fourrière (culture des champs)</t>
  </si>
  <si>
    <t>santé</t>
  </si>
  <si>
    <t>soins de santé</t>
  </si>
  <si>
    <t>relation santé-environnement</t>
  </si>
  <si>
    <t>batracien</t>
  </si>
  <si>
    <t>institution sanitaire</t>
  </si>
  <si>
    <t>risque pour la santé</t>
  </si>
  <si>
    <t>législation sanitaire</t>
  </si>
  <si>
    <t>protection de la santé</t>
  </si>
  <si>
    <t>réglementation sanitaire</t>
  </si>
  <si>
    <t>parc de loisirs</t>
  </si>
  <si>
    <t>biotechnologie à but médical</t>
  </si>
  <si>
    <t>service de santé</t>
  </si>
  <si>
    <t>trouble de l'audition</t>
  </si>
  <si>
    <t>procédure d'audition</t>
  </si>
  <si>
    <t>protection de l'ouïe</t>
  </si>
  <si>
    <t>audition (sens)</t>
  </si>
  <si>
    <t>chaleur</t>
  </si>
  <si>
    <t>centrale à co-génération</t>
  </si>
  <si>
    <t>appareil de chauffage</t>
  </si>
  <si>
    <t>lande</t>
  </si>
  <si>
    <t>chauffage</t>
  </si>
  <si>
    <t>centrale de chauffage</t>
  </si>
  <si>
    <t>pompe à chaleur</t>
  </si>
  <si>
    <t>stockage de chaleur</t>
  </si>
  <si>
    <t>fourniture de chaleur</t>
  </si>
  <si>
    <t>anaerobiose</t>
  </si>
  <si>
    <t>transport de marchandises lourdes</t>
  </si>
  <si>
    <t>charge en métaux lourds</t>
  </si>
  <si>
    <t>métal lourd</t>
  </si>
  <si>
    <t>haie</t>
  </si>
  <si>
    <t>herbicide</t>
  </si>
  <si>
    <t>herbivore</t>
  </si>
  <si>
    <t>hétérocycle</t>
  </si>
  <si>
    <t>pocessus anaérobie</t>
  </si>
  <si>
    <t>enseignement supérieur</t>
  </si>
  <si>
    <t>écosystème de  montagne</t>
  </si>
  <si>
    <t>haute montagne</t>
  </si>
  <si>
    <t>alimentation riche en protéines</t>
  </si>
  <si>
    <t>immeuble de grande hauteur</t>
  </si>
  <si>
    <t>voie ferrée à grande vitesse</t>
  </si>
  <si>
    <t>train à grande vitesse</t>
  </si>
  <si>
    <t>marée haute</t>
  </si>
  <si>
    <t>ligne à haute tension</t>
  </si>
  <si>
    <t>route</t>
  </si>
  <si>
    <t>colline</t>
  </si>
  <si>
    <t>évolution historique</t>
  </si>
  <si>
    <t>monument historique</t>
  </si>
  <si>
    <t>recherche historique</t>
  </si>
  <si>
    <t>site historique</t>
  </si>
  <si>
    <t>programme d'analyse</t>
  </si>
  <si>
    <t>histoire</t>
  </si>
  <si>
    <t>camp de vacances</t>
  </si>
  <si>
    <t>vacances</t>
  </si>
  <si>
    <t>chimie analytique</t>
  </si>
  <si>
    <t>cheval</t>
  </si>
  <si>
    <t>horticulture</t>
  </si>
  <si>
    <t>hôpital</t>
  </si>
  <si>
    <t>déchet hospitalier</t>
  </si>
  <si>
    <t>industrie hôtelière</t>
  </si>
  <si>
    <t>eau chaude</t>
  </si>
  <si>
    <t>appareil d'analyse</t>
  </si>
  <si>
    <t>ménage</t>
  </si>
  <si>
    <t>produit chimique ménager</t>
  </si>
  <si>
    <t>produits ménagers</t>
  </si>
  <si>
    <t>méthode analytique</t>
  </si>
  <si>
    <t>logement</t>
  </si>
  <si>
    <t>densité de l'habitat</t>
  </si>
  <si>
    <t>financement  immobilier</t>
  </si>
  <si>
    <t>amélioration des logements</t>
  </si>
  <si>
    <t>législation immobilière</t>
  </si>
  <si>
    <t>besoin de logement</t>
  </si>
  <si>
    <t>programme immobilier</t>
  </si>
  <si>
    <t>norme de qualité des logements</t>
  </si>
  <si>
    <t>anatidé</t>
  </si>
  <si>
    <t>réhabilitation du logement</t>
  </si>
  <si>
    <t>biologie humaine</t>
  </si>
  <si>
    <t>maladie humaine</t>
  </si>
  <si>
    <t>écologie humaine</t>
  </si>
  <si>
    <t>exposition des personnes aux polluants</t>
  </si>
  <si>
    <t>catastrophe anthropogénique</t>
  </si>
  <si>
    <t>pathologie humaine</t>
  </si>
  <si>
    <t>physiologie humaine</t>
  </si>
  <si>
    <t>population</t>
  </si>
  <si>
    <t>anatomie</t>
  </si>
  <si>
    <t>droits de l'homme</t>
  </si>
  <si>
    <t>établissement humain</t>
  </si>
  <si>
    <t>gestion des établissements humains</t>
  </si>
  <si>
    <t>humus</t>
  </si>
  <si>
    <t>chasse</t>
  </si>
  <si>
    <t>réserve de chasse</t>
  </si>
  <si>
    <t>hybridation</t>
  </si>
  <si>
    <t>construction hydraulique</t>
  </si>
  <si>
    <t>génie hydraulique</t>
  </si>
  <si>
    <t>hydraulique</t>
  </si>
  <si>
    <t>hydrobiologie</t>
  </si>
  <si>
    <t>hydrocarbure</t>
  </si>
  <si>
    <t>acide chlorhydrique</t>
  </si>
  <si>
    <t>culture hors sol</t>
  </si>
  <si>
    <t>centrale hydroélectrique</t>
  </si>
  <si>
    <t>hydrogène</t>
  </si>
  <si>
    <t>sulfure d'hydrogène</t>
  </si>
  <si>
    <t>hydrogéologie</t>
  </si>
  <si>
    <t>hydrographie</t>
  </si>
  <si>
    <t>angiospermes</t>
  </si>
  <si>
    <t>catastrophe hydrologique</t>
  </si>
  <si>
    <t>bilan hydrologique</t>
  </si>
  <si>
    <t>cycle de l'eau</t>
  </si>
  <si>
    <t>hydrologie</t>
  </si>
  <si>
    <t>hydrolyse</t>
  </si>
  <si>
    <t>pêche à la ligne</t>
  </si>
  <si>
    <t>hydrométéorologie</t>
  </si>
  <si>
    <t>énergie hydraulique</t>
  </si>
  <si>
    <t>hydrosphère</t>
  </si>
  <si>
    <t>hygiène</t>
  </si>
  <si>
    <t>hymenoptère</t>
  </si>
  <si>
    <t>glace</t>
  </si>
  <si>
    <t>iceberg</t>
  </si>
  <si>
    <t>banquise</t>
  </si>
  <si>
    <t>identification des polluants</t>
  </si>
  <si>
    <t>idéologie</t>
  </si>
  <si>
    <t>traitement de l'image</t>
  </si>
  <si>
    <t>codification OMCI</t>
  </si>
  <si>
    <t>introduction d'espèces animales étrangères</t>
  </si>
  <si>
    <t>introduction d'espèces végétales étrangères</t>
  </si>
  <si>
    <t>immission</t>
  </si>
  <si>
    <t>contrôle des immisions</t>
  </si>
  <si>
    <t>loi de contrôle des immissions</t>
  </si>
  <si>
    <t>dégât d'immission</t>
  </si>
  <si>
    <t>comportement animal</t>
  </si>
  <si>
    <t>prévisions des immissions</t>
  </si>
  <si>
    <t>limitation des immissions</t>
  </si>
  <si>
    <t>charge d'immission</t>
  </si>
  <si>
    <t>système immunitaire</t>
  </si>
  <si>
    <t>immunité</t>
  </si>
  <si>
    <t>test immunologique</t>
  </si>
  <si>
    <t>maladie immunologique</t>
  </si>
  <si>
    <t>immunologie</t>
  </si>
  <si>
    <t>évaluation de l'impact</t>
  </si>
  <si>
    <t>minimisation de l'impact</t>
  </si>
  <si>
    <t>impacteur</t>
  </si>
  <si>
    <t>prévention de l'impact</t>
  </si>
  <si>
    <t>sources d'immission</t>
  </si>
  <si>
    <t>loi de mise en oeuvre</t>
  </si>
  <si>
    <t>importation</t>
  </si>
  <si>
    <t>permis d'importation</t>
  </si>
  <si>
    <t>maladie animale</t>
  </si>
  <si>
    <t>appauvrissement</t>
  </si>
  <si>
    <t>agent d'imprégnation</t>
  </si>
  <si>
    <t>imprégnation</t>
  </si>
  <si>
    <t>amélioration de l'efficacité</t>
  </si>
  <si>
    <t>charge impulsionnelle</t>
  </si>
  <si>
    <t>bruit impulsif</t>
  </si>
  <si>
    <t>incinération</t>
  </si>
  <si>
    <t>incinération des déchets</t>
  </si>
  <si>
    <t>incinérateur</t>
  </si>
  <si>
    <t>pente</t>
  </si>
  <si>
    <t>revenu</t>
  </si>
  <si>
    <t>incorporation</t>
  </si>
  <si>
    <t>utilisation du fumier (séché) comme carburant</t>
  </si>
  <si>
    <t>indemnisation</t>
  </si>
  <si>
    <t>Océan indien</t>
  </si>
  <si>
    <t>indicateur</t>
  </si>
  <si>
    <t>retombée acide</t>
  </si>
  <si>
    <t>écologie animale</t>
  </si>
  <si>
    <t>indicateur du management environnemental</t>
  </si>
  <si>
    <t>indicateur de la qualité environnementale</t>
  </si>
  <si>
    <t>forêt primaire</t>
  </si>
  <si>
    <t>technologie indigène</t>
  </si>
  <si>
    <t>inducer indirect</t>
  </si>
  <si>
    <t>pollution atmosphérique intérieure</t>
  </si>
  <si>
    <t>expérimentation animale</t>
  </si>
  <si>
    <t>environnement intérieur</t>
  </si>
  <si>
    <t>zone industrielle</t>
  </si>
  <si>
    <t>association industrielle</t>
  </si>
  <si>
    <t>bâtiment industriel</t>
  </si>
  <si>
    <t>développement industriel</t>
  </si>
  <si>
    <t>décharge industrielle</t>
  </si>
  <si>
    <t>économie industrielle</t>
  </si>
  <si>
    <t>effluent industriel</t>
  </si>
  <si>
    <t>aliment pour animaux</t>
  </si>
  <si>
    <t>émissions industrielles</t>
  </si>
  <si>
    <t>politique environnementale industrielle</t>
  </si>
  <si>
    <t>équipement industriel</t>
  </si>
  <si>
    <t>fumée industrielle</t>
  </si>
  <si>
    <t>installation industrielle</t>
  </si>
  <si>
    <t>industrialisation</t>
  </si>
  <si>
    <t>législation industrielle</t>
  </si>
  <si>
    <t>matériau industriel</t>
  </si>
  <si>
    <t>génétique animale</t>
  </si>
  <si>
    <t>médecine du travail en industrie</t>
  </si>
  <si>
    <t>bruit industriel</t>
  </si>
  <si>
    <t>planning industriel</t>
  </si>
  <si>
    <t>établissement industriel (bâtiment)</t>
  </si>
  <si>
    <t>politique industrielle</t>
  </si>
  <si>
    <t>pollution industrielle</t>
  </si>
  <si>
    <t>processus industriel</t>
  </si>
  <si>
    <t>production industrielle</t>
  </si>
  <si>
    <t>statistiques de la production industrielle</t>
  </si>
  <si>
    <t>produit industriel</t>
  </si>
  <si>
    <t>droit de propriété industrielle</t>
  </si>
  <si>
    <t>site industriel</t>
  </si>
  <si>
    <t>boue industrielle</t>
  </si>
  <si>
    <t>société industrielle</t>
  </si>
  <si>
    <t>déchet industriel</t>
  </si>
  <si>
    <t>effluent gazeux industriel</t>
  </si>
  <si>
    <t>eau usée industrielle</t>
  </si>
  <si>
    <t>zonage industriel</t>
  </si>
  <si>
    <t>logement pour animaux</t>
  </si>
  <si>
    <t>inertage</t>
  </si>
  <si>
    <t>déchet inerte</t>
  </si>
  <si>
    <t>mortalité infantile</t>
  </si>
  <si>
    <t>infection</t>
  </si>
  <si>
    <t>maladie infectieuse</t>
  </si>
  <si>
    <t>infestation des cultures</t>
  </si>
  <si>
    <t>infestation des aliments</t>
  </si>
  <si>
    <t>infiltration</t>
  </si>
  <si>
    <t>substance inflammable</t>
  </si>
  <si>
    <t>affluent</t>
  </si>
  <si>
    <t>négociation informelle</t>
  </si>
  <si>
    <t>informatique</t>
  </si>
  <si>
    <t>traitement de l'information</t>
  </si>
  <si>
    <t>service d'information</t>
  </si>
  <si>
    <t>source d'information</t>
  </si>
  <si>
    <t>système d'information</t>
  </si>
  <si>
    <t>technologie de l'information</t>
  </si>
  <si>
    <t>infraction</t>
  </si>
  <si>
    <t>rayonnement infrarouge</t>
  </si>
  <si>
    <t>fumier</t>
  </si>
  <si>
    <t>infrason</t>
  </si>
  <si>
    <t>infrastructure</t>
  </si>
  <si>
    <t>habitant</t>
  </si>
  <si>
    <t>blessure</t>
  </si>
  <si>
    <t>encre</t>
  </si>
  <si>
    <t>pêche en eau douce</t>
  </si>
  <si>
    <t>navigation fluviale</t>
  </si>
  <si>
    <t>eaux intérieures</t>
  </si>
  <si>
    <t>bruit dû aux animaux</t>
  </si>
  <si>
    <t>innovation</t>
  </si>
  <si>
    <t>chimie minérale</t>
  </si>
  <si>
    <t>engrais inorganique</t>
  </si>
  <si>
    <t>polluant inorganique</t>
  </si>
  <si>
    <t>nutrition animale</t>
  </si>
  <si>
    <t>substance inorganique</t>
  </si>
  <si>
    <t>insecticide</t>
  </si>
  <si>
    <t>insectivores</t>
  </si>
  <si>
    <t>insecte</t>
  </si>
  <si>
    <t>in situ</t>
  </si>
  <si>
    <t>inspection</t>
  </si>
  <si>
    <t>inspection des registres</t>
  </si>
  <si>
    <t>service d'inspection</t>
  </si>
  <si>
    <t>installation nécessitant une habilitation</t>
  </si>
  <si>
    <t>institutionnalisation</t>
  </si>
  <si>
    <t>industrie d'appareillage</t>
  </si>
  <si>
    <t>physiologie animale</t>
  </si>
  <si>
    <t>assurance</t>
  </si>
  <si>
    <t>compagnie d'assurance</t>
  </si>
  <si>
    <t>couverture d'assurance</t>
  </si>
  <si>
    <t>réserve naturelle intégrale</t>
  </si>
  <si>
    <t>technologie de protection environnementale intégrée</t>
  </si>
  <si>
    <t>lutte intégrée contre les nuisibles</t>
  </si>
  <si>
    <t>contrôle intégré de la pollution</t>
  </si>
  <si>
    <t>élevage intensif</t>
  </si>
  <si>
    <t>agriculture intensive</t>
  </si>
  <si>
    <t>interaction des pesticides</t>
  </si>
  <si>
    <t>échange de données informatisées</t>
  </si>
  <si>
    <t>acidification</t>
  </si>
  <si>
    <t>recherche interdisciplinaire</t>
  </si>
  <si>
    <t>intérêts</t>
  </si>
  <si>
    <t>groupe d'intérêt</t>
  </si>
  <si>
    <t>décision provisoire</t>
  </si>
  <si>
    <t>comparaison interlaboratoire</t>
  </si>
  <si>
    <t>production animale</t>
  </si>
  <si>
    <t>produits intermédiaires</t>
  </si>
  <si>
    <t>bruit intermittent</t>
  </si>
  <si>
    <t>marché intérieur européen</t>
  </si>
  <si>
    <t>internalisation des coûts environnementaux</t>
  </si>
  <si>
    <t>accord international</t>
  </si>
  <si>
    <t>compétitivité internationale</t>
  </si>
  <si>
    <t>produit animal</t>
  </si>
  <si>
    <t>coopération internationale</t>
  </si>
  <si>
    <t>Cour internationale de justice</t>
  </si>
  <si>
    <t>distribution internationale</t>
  </si>
  <si>
    <t>division internationale du travail</t>
  </si>
  <si>
    <t>relations internationales pour l'environnement</t>
  </si>
  <si>
    <t>harmonisation internationale</t>
  </si>
  <si>
    <t>droit international</t>
  </si>
  <si>
    <t>écosystème d'importance internationale</t>
  </si>
  <si>
    <t>organisation internationale</t>
  </si>
  <si>
    <t>politique internationale</t>
  </si>
  <si>
    <t>relation internationale</t>
  </si>
  <si>
    <t>bassin fluvial international</t>
  </si>
  <si>
    <t>sécurité internationale</t>
  </si>
  <si>
    <t>normalisation internationale</t>
  </si>
  <si>
    <t>commerce international</t>
  </si>
  <si>
    <t>cours d'eau international</t>
  </si>
  <si>
    <t>ressource animale</t>
  </si>
  <si>
    <t>méthode d'interprétation</t>
  </si>
  <si>
    <t>zone intertidale</t>
  </si>
  <si>
    <t>intervention au niveau de la nature et des paysages</t>
  </si>
  <si>
    <t>inventaire (environnement)</t>
  </si>
  <si>
    <t>inventaire des dégâts forestiers</t>
  </si>
  <si>
    <t>inversion</t>
  </si>
  <si>
    <t>couche d'inversion</t>
  </si>
  <si>
    <t>invertébré</t>
  </si>
  <si>
    <t>investissement</t>
  </si>
  <si>
    <t>animal destiné à l'abattage</t>
  </si>
  <si>
    <t>test in vitro</t>
  </si>
  <si>
    <t>test in vivo</t>
  </si>
  <si>
    <t>iode</t>
  </si>
  <si>
    <t>échange d'ions</t>
  </si>
  <si>
    <t>échangeur d'ions</t>
  </si>
  <si>
    <t>abri pour animaux</t>
  </si>
  <si>
    <t>rayonnement ionisant</t>
  </si>
  <si>
    <t>ionosphère</t>
  </si>
  <si>
    <t>ion</t>
  </si>
  <si>
    <t>fer</t>
  </si>
  <si>
    <t>animal</t>
  </si>
  <si>
    <t>irradiation</t>
  </si>
  <si>
    <t>irrigation</t>
  </si>
  <si>
    <t>canal d'irrigation</t>
  </si>
  <si>
    <t>culture irriguée</t>
  </si>
  <si>
    <t>fibre textile d'origine animale</t>
  </si>
  <si>
    <t>île</t>
  </si>
  <si>
    <t>écosystème insulaire</t>
  </si>
  <si>
    <t>isolation (procédé)</t>
  </si>
  <si>
    <t>isomère</t>
  </si>
  <si>
    <t>commerce des animaux</t>
  </si>
  <si>
    <t>isotope</t>
  </si>
  <si>
    <t>ivoire</t>
  </si>
  <si>
    <t>déchet animal</t>
  </si>
  <si>
    <t>débiteur commun</t>
  </si>
  <si>
    <t>mise en application commune (Conférence de Rio)</t>
  </si>
  <si>
    <t>entraide judiciaire</t>
  </si>
  <si>
    <t>organe judiciaire</t>
  </si>
  <si>
    <t>règlement judiciaire</t>
  </si>
  <si>
    <t>anion</t>
  </si>
  <si>
    <t>juridiction</t>
  </si>
  <si>
    <t>jurisprudence</t>
  </si>
  <si>
    <t>karst</t>
  </si>
  <si>
    <t>garder en stock</t>
  </si>
  <si>
    <t>kérosène</t>
  </si>
  <si>
    <t>annélides</t>
  </si>
  <si>
    <t>étiquetage</t>
  </si>
  <si>
    <t>laboratoire</t>
  </si>
  <si>
    <t>expérience de laboratoire</t>
  </si>
  <si>
    <t>recherche en laboratoire</t>
  </si>
  <si>
    <t>technique de laboratoire</t>
  </si>
  <si>
    <t>déchet de laboratoire</t>
  </si>
  <si>
    <t>travail</t>
  </si>
  <si>
    <t>antagonisme</t>
  </si>
  <si>
    <t>droit du travail</t>
  </si>
  <si>
    <t>marché du travail</t>
  </si>
  <si>
    <t>fonctionnement du  monde du travail</t>
  </si>
  <si>
    <t>laque</t>
  </si>
  <si>
    <t>lagune</t>
  </si>
  <si>
    <t>bassin lacustre</t>
  </si>
  <si>
    <t>pollution de lac</t>
  </si>
  <si>
    <t>lac</t>
  </si>
  <si>
    <t>lampe</t>
  </si>
  <si>
    <t>pays</t>
  </si>
  <si>
    <t>effet antagoniste des substances toxiques</t>
  </si>
  <si>
    <t>accès à la terre</t>
  </si>
  <si>
    <t>allocation de terrain pour cultivation</t>
  </si>
  <si>
    <t>cadastre</t>
  </si>
  <si>
    <t>capacité de charge</t>
  </si>
  <si>
    <t>défrichement</t>
  </si>
  <si>
    <t>Antarctique</t>
  </si>
  <si>
    <t>protection des terres</t>
  </si>
  <si>
    <t>remembrement</t>
  </si>
  <si>
    <t>couverture spatiale (SIG)</t>
  </si>
  <si>
    <t>développement du territoire</t>
  </si>
  <si>
    <t>écologie des terres</t>
  </si>
  <si>
    <t>couche de couverture (décharge)</t>
  </si>
  <si>
    <t>dégazage de décharge</t>
  </si>
  <si>
    <t>gaz de décharge</t>
  </si>
  <si>
    <t>lixiviat de décharge</t>
  </si>
  <si>
    <t>remodelage de terrain</t>
  </si>
  <si>
    <t>écosystème de l'Antarctique</t>
  </si>
  <si>
    <t>mammifère terrestre</t>
  </si>
  <si>
    <t>occupation du sol</t>
  </si>
  <si>
    <t>pollution du sol</t>
  </si>
  <si>
    <t>océan antarctique</t>
  </si>
  <si>
    <t>mise en valeur des terres</t>
  </si>
  <si>
    <t>restauration de terrain</t>
  </si>
  <si>
    <t>paysage</t>
  </si>
  <si>
    <t>paysage minier</t>
  </si>
  <si>
    <t>région antarctique</t>
  </si>
  <si>
    <t>modification du paysage</t>
  </si>
  <si>
    <t>aménagement du paysage</t>
  </si>
  <si>
    <t>élément du paysage</t>
  </si>
  <si>
    <t>protection du paysage</t>
  </si>
  <si>
    <t>politique de préservation des paysages</t>
  </si>
  <si>
    <t>écologie du paysage</t>
  </si>
  <si>
    <t>gestion du paysage</t>
  </si>
  <si>
    <t>zone de protection du paysage</t>
  </si>
  <si>
    <t>consommation du paysage</t>
  </si>
  <si>
    <t>utilisation du paysage</t>
  </si>
  <si>
    <t>éboulement</t>
  </si>
  <si>
    <t>transport terrestre</t>
  </si>
  <si>
    <t>affectation des sols</t>
  </si>
  <si>
    <t>action anthropique</t>
  </si>
  <si>
    <t>classification de l'usage des sols</t>
  </si>
  <si>
    <t>systématisation de l'affectation des sols</t>
  </si>
  <si>
    <t>valeur de la terre</t>
  </si>
  <si>
    <t>grande installation de combustion</t>
  </si>
  <si>
    <t>laser</t>
  </si>
  <si>
    <t>acidité</t>
  </si>
  <si>
    <t>facteur anthropique</t>
  </si>
  <si>
    <t>blanchissage</t>
  </si>
  <si>
    <t>loi</t>
  </si>
  <si>
    <t>amendement de loi</t>
  </si>
  <si>
    <t>réserve anthropologique</t>
  </si>
  <si>
    <t>application de loi</t>
  </si>
  <si>
    <t>loi sur le voisinage</t>
  </si>
  <si>
    <t>droit (science)</t>
  </si>
  <si>
    <t>lixiviation</t>
  </si>
  <si>
    <t>plomb</t>
  </si>
  <si>
    <t>composé de plomb</t>
  </si>
  <si>
    <t>contamination par le plomb</t>
  </si>
  <si>
    <t>loi sur l'essence chargée en plomb</t>
  </si>
  <si>
    <t>taux de plomb dans le sang</t>
  </si>
  <si>
    <t>antibiotique</t>
  </si>
  <si>
    <t>feuille</t>
  </si>
  <si>
    <t>fuite</t>
  </si>
  <si>
    <t>cuir</t>
  </si>
  <si>
    <t>industrie du cuir</t>
  </si>
  <si>
    <t>base légale</t>
  </si>
  <si>
    <t>anticorps</t>
  </si>
  <si>
    <t>droit légal</t>
  </si>
  <si>
    <t>réglementation juridique</t>
  </si>
  <si>
    <t>recours judiciaire</t>
  </si>
  <si>
    <t>texte juridique</t>
  </si>
  <si>
    <t>anticipation d'un danger</t>
  </si>
  <si>
    <t>législation en matière de pollution</t>
  </si>
  <si>
    <t>législation en matière de ressources en eau</t>
  </si>
  <si>
    <t>autorité législative</t>
  </si>
  <si>
    <t>compétence législative</t>
  </si>
  <si>
    <t>information législative</t>
  </si>
  <si>
    <t>corps législatif</t>
  </si>
  <si>
    <t>loisirs</t>
  </si>
  <si>
    <t>temps libre</t>
  </si>
  <si>
    <t>lépidoptère</t>
  </si>
  <si>
    <t>produit antivégétal</t>
  </si>
  <si>
    <t>leucémie</t>
  </si>
  <si>
    <t>impôt</t>
  </si>
  <si>
    <t>lexique</t>
  </si>
  <si>
    <t>responsabilité</t>
  </si>
  <si>
    <t>responsabilité pour les accidents en mer</t>
  </si>
  <si>
    <t>responsabilité pour les dommages nucléaires</t>
  </si>
  <si>
    <t>législation en matière de responsabilité</t>
  </si>
  <si>
    <t>bibliothèque</t>
  </si>
  <si>
    <t>délivrance de permis</t>
  </si>
  <si>
    <t>procédure pour l'obtention d'un permis</t>
  </si>
  <si>
    <t>soumission à autorisation</t>
  </si>
  <si>
    <t>lichen</t>
  </si>
  <si>
    <t>degré d'acidité</t>
  </si>
  <si>
    <t>cycle de la vie</t>
  </si>
  <si>
    <t>sciences de la vie</t>
  </si>
  <si>
    <t>mode de vie</t>
  </si>
  <si>
    <t>lumière</t>
  </si>
  <si>
    <t>éclairage</t>
  </si>
  <si>
    <t>séparateur pour liquides légers</t>
  </si>
  <si>
    <t>lignite</t>
  </si>
  <si>
    <t>mine de lignite</t>
  </si>
  <si>
    <t>chaux</t>
  </si>
  <si>
    <t>calcaire</t>
  </si>
  <si>
    <t>valeur limite</t>
  </si>
  <si>
    <t>incitation à la lutte contre la pollution</t>
  </si>
  <si>
    <t>limnologie</t>
  </si>
  <si>
    <t>source linéaire de son</t>
  </si>
  <si>
    <t>revêtement d'étanchéité</t>
  </si>
  <si>
    <t>source linéaire (de pollution)</t>
  </si>
  <si>
    <t>lipide</t>
  </si>
  <si>
    <t>substance lipophile</t>
  </si>
  <si>
    <t>gaz liquéfié</t>
  </si>
  <si>
    <t>purin</t>
  </si>
  <si>
    <t>état liquide</t>
  </si>
  <si>
    <t>déchet liquide</t>
  </si>
  <si>
    <t>littérature</t>
  </si>
  <si>
    <t>banque de données bibliographiques</t>
  </si>
  <si>
    <t>critique littéraire</t>
  </si>
  <si>
    <t>recherche bibliographique</t>
  </si>
  <si>
    <t>lithosphère</t>
  </si>
  <si>
    <t>ordures</t>
  </si>
  <si>
    <t>littoral</t>
  </si>
  <si>
    <t>valeur des composés organo-halogénés adsorbables</t>
  </si>
  <si>
    <t>cheptel sur pied</t>
  </si>
  <si>
    <t>élevage de bétail</t>
  </si>
  <si>
    <t>condition de vie</t>
  </si>
  <si>
    <t>ressources marines biologiques</t>
  </si>
  <si>
    <t>espace vital</t>
  </si>
  <si>
    <t>lézard</t>
  </si>
  <si>
    <t>tolérance de charge (eau)</t>
  </si>
  <si>
    <t>municipalité</t>
  </si>
  <si>
    <t>immeuble en copropriété</t>
  </si>
  <si>
    <t>finances locales</t>
  </si>
  <si>
    <t>politique des administrations locales</t>
  </si>
  <si>
    <t>chauffage à distance</t>
  </si>
  <si>
    <t>matériau de construction local</t>
  </si>
  <si>
    <t>trafic voyageurs à courte distance</t>
  </si>
  <si>
    <t>trafic local</t>
  </si>
  <si>
    <t>locomotive</t>
  </si>
  <si>
    <t>apiculture</t>
  </si>
  <si>
    <t>trafic à grande distance</t>
  </si>
  <si>
    <t>transport long courrier</t>
  </si>
  <si>
    <t>effet à long terme</t>
  </si>
  <si>
    <t>effet polluant à long terme</t>
  </si>
  <si>
    <t>expérience sur le long terme</t>
  </si>
  <si>
    <t>prévision à long terme</t>
  </si>
  <si>
    <t>tendance à long terme</t>
  </si>
  <si>
    <t>camion</t>
  </si>
  <si>
    <t>perte</t>
  </si>
  <si>
    <t>perte de biotope</t>
  </si>
  <si>
    <t>sonorité</t>
  </si>
  <si>
    <t>habitation à loyer modéré (HLM)</t>
  </si>
  <si>
    <t>appel</t>
  </si>
  <si>
    <t>Chambre des Députés</t>
  </si>
  <si>
    <t>espèces à faible risque</t>
  </si>
  <si>
    <t>étiage</t>
  </si>
  <si>
    <t>vol à basse altitude</t>
  </si>
  <si>
    <t>procédure d'appel</t>
  </si>
  <si>
    <t>technologie de base</t>
  </si>
  <si>
    <t>lubrifiant</t>
  </si>
  <si>
    <t>luminosité</t>
  </si>
  <si>
    <t>écologie appliquée</t>
  </si>
  <si>
    <t>lessive</t>
  </si>
  <si>
    <t>système lymphatique</t>
  </si>
  <si>
    <t>lysimétrie</t>
  </si>
  <si>
    <t>nutrition appliquée</t>
  </si>
  <si>
    <t>objectif macroéconomique</t>
  </si>
  <si>
    <t>macro-économie</t>
  </si>
  <si>
    <t>science appliquée</t>
  </si>
  <si>
    <t>bande magnétique</t>
  </si>
  <si>
    <t>magnétisme</t>
  </si>
  <si>
    <t>liste de diffusion</t>
  </si>
  <si>
    <t>maintenance de l'environnement</t>
  </si>
  <si>
    <t>accident majeur</t>
  </si>
  <si>
    <t>paludisme</t>
  </si>
  <si>
    <t>malformation</t>
  </si>
  <si>
    <t>malnutrition</t>
  </si>
  <si>
    <t>technologie appropriée</t>
  </si>
  <si>
    <t>mammifère</t>
  </si>
  <si>
    <t>homme</t>
  </si>
  <si>
    <t>gestion</t>
  </si>
  <si>
    <t>contrat de gestion</t>
  </si>
  <si>
    <t>gestion des ressources naturelles</t>
  </si>
  <si>
    <t>plan de gestion</t>
  </si>
  <si>
    <t>mandat</t>
  </si>
  <si>
    <t>mangrove</t>
  </si>
  <si>
    <t>marais de mangrove</t>
  </si>
  <si>
    <t>homologation d'installations</t>
  </si>
  <si>
    <t>changement climatique induit  par l'action humaine</t>
  </si>
  <si>
    <t>relations homme-nature</t>
  </si>
  <si>
    <t>activité de production</t>
  </si>
  <si>
    <t>secteur des produits manufacturés</t>
  </si>
  <si>
    <t>production de purin</t>
  </si>
  <si>
    <t>aquaculture</t>
  </si>
  <si>
    <t>carte</t>
  </si>
  <si>
    <t>cartographie (cartes)</t>
  </si>
  <si>
    <t>cartographie de lichens</t>
  </si>
  <si>
    <t>marbre</t>
  </si>
  <si>
    <t>terres marginales</t>
  </si>
  <si>
    <t>mariculture</t>
  </si>
  <si>
    <t>port de plaisance</t>
  </si>
  <si>
    <t>biologie marine</t>
  </si>
  <si>
    <t>zone de protection marine</t>
  </si>
  <si>
    <t>animal aquatique</t>
  </si>
  <si>
    <t>écologie marine</t>
  </si>
  <si>
    <t>écosystème marin</t>
  </si>
  <si>
    <t>génie marin</t>
  </si>
  <si>
    <t>milieu marin</t>
  </si>
  <si>
    <t>faune marine</t>
  </si>
  <si>
    <t>pêche maritime</t>
  </si>
  <si>
    <t>géologie marine</t>
  </si>
  <si>
    <t>hydro-écologie</t>
  </si>
  <si>
    <t>surveillance du milieu marin</t>
  </si>
  <si>
    <t>organisme marin</t>
  </si>
  <si>
    <t>pollution de la mer</t>
  </si>
  <si>
    <t>réserve marine</t>
  </si>
  <si>
    <t>préservation des ressources marines</t>
  </si>
  <si>
    <t>sédiment marin</t>
  </si>
  <si>
    <t>écosystème aquatique</t>
  </si>
  <si>
    <t>droit maritime</t>
  </si>
  <si>
    <t>navigation maritime</t>
  </si>
  <si>
    <t>transport maritime</t>
  </si>
  <si>
    <t>marqueur</t>
  </si>
  <si>
    <t>traceur</t>
  </si>
  <si>
    <t>marché</t>
  </si>
  <si>
    <t>économie de marché</t>
  </si>
  <si>
    <t>forme de marché</t>
  </si>
  <si>
    <t>marketing</t>
  </si>
  <si>
    <t>marsupiaux</t>
  </si>
  <si>
    <t>mass media</t>
  </si>
  <si>
    <t>mammifère aquatique</t>
  </si>
  <si>
    <t>loisir de masse</t>
  </si>
  <si>
    <t>séparation des masses (physique)</t>
  </si>
  <si>
    <t>transport de masse</t>
  </si>
  <si>
    <t>matériau</t>
  </si>
  <si>
    <t>bilan matière</t>
  </si>
  <si>
    <t>cycle de vie des matériaux</t>
  </si>
  <si>
    <t>sciences des matériaux</t>
  </si>
  <si>
    <t>contrôle des matériaux</t>
  </si>
  <si>
    <t>analyse mathématique</t>
  </si>
  <si>
    <t>méthode mathématique</t>
  </si>
  <si>
    <t>pluie acide</t>
  </si>
  <si>
    <t>micro-organisme aquatique</t>
  </si>
  <si>
    <t>concentration maximale admissible</t>
  </si>
  <si>
    <t>concentration maximale d'immission</t>
  </si>
  <si>
    <t>organisme aquatique</t>
  </si>
  <si>
    <t>pré</t>
  </si>
  <si>
    <t>moyen de transport</t>
  </si>
  <si>
    <t>mesure (méthode analytique)</t>
  </si>
  <si>
    <t>méthode de mesure</t>
  </si>
  <si>
    <t>programme de mesure</t>
  </si>
  <si>
    <t>viande</t>
  </si>
  <si>
    <t>génie mécanique</t>
  </si>
  <si>
    <t>science médicale</t>
  </si>
  <si>
    <t>médicament éliminé</t>
  </si>
  <si>
    <t>plante médicinale</t>
  </si>
  <si>
    <t>plante aquatique</t>
  </si>
  <si>
    <t>médecine</t>
  </si>
  <si>
    <t>zone méditerranéenne</t>
  </si>
  <si>
    <t>bois méditerranéen</t>
  </si>
  <si>
    <t>fusion</t>
  </si>
  <si>
    <t>membrane</t>
  </si>
  <si>
    <t>effet mental</t>
  </si>
  <si>
    <t>mercure</t>
  </si>
  <si>
    <t>contamination par le mercure</t>
  </si>
  <si>
    <t>infrastructure de loisirs aquatiques</t>
  </si>
  <si>
    <t>métabolisme</t>
  </si>
  <si>
    <t>métabolisme des pesticides</t>
  </si>
  <si>
    <t>métabolite</t>
  </si>
  <si>
    <t>méta-informations</t>
  </si>
  <si>
    <t>traitement de surface</t>
  </si>
  <si>
    <t>aqueduc</t>
  </si>
  <si>
    <t>mineral métallique</t>
  </si>
  <si>
    <t>industrie métallurgique</t>
  </si>
  <si>
    <t>oxyde métallique</t>
  </si>
  <si>
    <t>revêtement métallique</t>
  </si>
  <si>
    <t>aquifère</t>
  </si>
  <si>
    <t>produit métallique</t>
  </si>
  <si>
    <t>industrie des produits métalliques</t>
  </si>
  <si>
    <t>métal</t>
  </si>
  <si>
    <t>fusion du métal</t>
  </si>
  <si>
    <t>travail du métal</t>
  </si>
  <si>
    <t>catastrophe météorologique</t>
  </si>
  <si>
    <t>prévision météorologique</t>
  </si>
  <si>
    <t>paramètre météorologique</t>
  </si>
  <si>
    <t>phénomène météorologique</t>
  </si>
  <si>
    <t>météorologie</t>
  </si>
  <si>
    <t>méthane</t>
  </si>
  <si>
    <t>acide</t>
  </si>
  <si>
    <t>méthodologie</t>
  </si>
  <si>
    <t>culture de champ</t>
  </si>
  <si>
    <t>métropole</t>
  </si>
  <si>
    <t>ressource microbienne</t>
  </si>
  <si>
    <t>analyse microbiologique</t>
  </si>
  <si>
    <t>microbiologie</t>
  </si>
  <si>
    <t>microclimat</t>
  </si>
  <si>
    <t>effet de microclimat</t>
  </si>
  <si>
    <t>microclimatologie</t>
  </si>
  <si>
    <t>micro-ordinateur</t>
  </si>
  <si>
    <t>microécosystème</t>
  </si>
  <si>
    <t>microélectronique</t>
  </si>
  <si>
    <t>microfiltration</t>
  </si>
  <si>
    <t>micro-organisme</t>
  </si>
  <si>
    <t>micropolluant</t>
  </si>
  <si>
    <t>microscopie</t>
  </si>
  <si>
    <t>onde à hyperfréquences</t>
  </si>
  <si>
    <t>migration des travailleurs</t>
  </si>
  <si>
    <t>migration humaine</t>
  </si>
  <si>
    <t>migration animale</t>
  </si>
  <si>
    <t>oiseau migrateur</t>
  </si>
  <si>
    <t>espèce migratrice</t>
  </si>
  <si>
    <t>aspect militaire</t>
  </si>
  <si>
    <t>activité militaire</t>
  </si>
  <si>
    <t>trafic aérien militaire</t>
  </si>
  <si>
    <t>zone militaire</t>
  </si>
  <si>
    <t>lait</t>
  </si>
  <si>
    <t>moulin</t>
  </si>
  <si>
    <t>mine</t>
  </si>
  <si>
    <t>remblayage de mines</t>
  </si>
  <si>
    <t>gisement</t>
  </si>
  <si>
    <t>extraction de mineraux</t>
  </si>
  <si>
    <t>fibre minérale</t>
  </si>
  <si>
    <t>industrie minérale</t>
  </si>
  <si>
    <t>minéralisation</t>
  </si>
  <si>
    <t>arboriculture</t>
  </si>
  <si>
    <t>minéralogie</t>
  </si>
  <si>
    <t>ressource minérale</t>
  </si>
  <si>
    <t>minéral</t>
  </si>
  <si>
    <t>eau minérale</t>
  </si>
  <si>
    <t>stratégie de minimisation des coûts</t>
  </si>
  <si>
    <t>minimisation des dommages</t>
  </si>
  <si>
    <t>arrondissement minier</t>
  </si>
  <si>
    <t>ingéniérie minière</t>
  </si>
  <si>
    <t>géologie minière</t>
  </si>
  <si>
    <t>site archéologique</t>
  </si>
  <si>
    <t>droit minier</t>
  </si>
  <si>
    <t>règlement sur les mines</t>
  </si>
  <si>
    <t>remise en état de sites miniers</t>
  </si>
  <si>
    <t>déchets des industries minières</t>
  </si>
  <si>
    <t>décret ministériel</t>
  </si>
  <si>
    <t>ministère</t>
  </si>
  <si>
    <t>archéologie</t>
  </si>
  <si>
    <t>minorité</t>
  </si>
  <si>
    <t>produits divers</t>
  </si>
  <si>
    <t>miscibilité</t>
  </si>
  <si>
    <t>archipel</t>
  </si>
  <si>
    <t>acarien</t>
  </si>
  <si>
    <t>mesure d'atténuation</t>
  </si>
  <si>
    <t>exploitation mixte</t>
  </si>
  <si>
    <t>zone d'aménagement mixte</t>
  </si>
  <si>
    <t>mélanger</t>
  </si>
  <si>
    <t>auto caravane</t>
  </si>
  <si>
    <t>modèle</t>
  </si>
  <si>
    <t>modélisation</t>
  </si>
  <si>
    <t>humidité</t>
  </si>
  <si>
    <t>biologie moléculaire</t>
  </si>
  <si>
    <t>mollusque</t>
  </si>
  <si>
    <t>évaluation monétaire</t>
  </si>
  <si>
    <t>surveillance</t>
  </si>
  <si>
    <t>critère de surveillance</t>
  </si>
  <si>
    <t>données de mesure de surveillance</t>
  </si>
  <si>
    <t>appareil de surveillance</t>
  </si>
  <si>
    <t>réseau de mesure</t>
  </si>
  <si>
    <t>station de surveillance</t>
  </si>
  <si>
    <t>système de surveillance</t>
  </si>
  <si>
    <t>technique de surveillance</t>
  </si>
  <si>
    <t>monopole</t>
  </si>
  <si>
    <t>monument</t>
  </si>
  <si>
    <t>persuasion morale</t>
  </si>
  <si>
    <t>morphologie</t>
  </si>
  <si>
    <t>mortalité</t>
  </si>
  <si>
    <t>mousse végétale</t>
  </si>
  <si>
    <t>architecture</t>
  </si>
  <si>
    <t>vélomoteur</t>
  </si>
  <si>
    <t>carburant</t>
  </si>
  <si>
    <t>véhicule à moteur</t>
  </si>
  <si>
    <t>émissions des véhicules à moteur</t>
  </si>
  <si>
    <t>gaz d'échappement automobile</t>
  </si>
  <si>
    <t>industrie de véhicules à moteur</t>
  </si>
  <si>
    <t>autoroute</t>
  </si>
  <si>
    <t>filtre acoustique</t>
  </si>
  <si>
    <t>montagne</t>
  </si>
  <si>
    <t>écosystème montagnard</t>
  </si>
  <si>
    <t>escalade</t>
  </si>
  <si>
    <t>zone de montagne</t>
  </si>
  <si>
    <t>massif montagneux</t>
  </si>
  <si>
    <t>écosystème arctique</t>
  </si>
  <si>
    <t>fauchage</t>
  </si>
  <si>
    <t>vasière</t>
  </si>
  <si>
    <t>vase</t>
  </si>
  <si>
    <t>mulch</t>
  </si>
  <si>
    <t>accord multilatéral</t>
  </si>
  <si>
    <t>océan arctique</t>
  </si>
  <si>
    <t>firme multinationale</t>
  </si>
  <si>
    <t>zone d'aménagement concerté</t>
  </si>
  <si>
    <t>nettoyage municipal</t>
  </si>
  <si>
    <t>service municipal de nettoyage</t>
  </si>
  <si>
    <t>région arctique</t>
  </si>
  <si>
    <t>politique municipale de l'environnement</t>
  </si>
  <si>
    <t>commune</t>
  </si>
  <si>
    <t>règlement municipal</t>
  </si>
  <si>
    <t>niveau municipal</t>
  </si>
  <si>
    <t>déchet urbain</t>
  </si>
  <si>
    <t>système municipal de distribution de l'eau</t>
  </si>
  <si>
    <t>zone</t>
  </si>
  <si>
    <t>gestion des eaux urbaines</t>
  </si>
  <si>
    <t>système musculaire</t>
  </si>
  <si>
    <t>musée</t>
  </si>
  <si>
    <t>champignon (comestible)</t>
  </si>
  <si>
    <t>musique</t>
  </si>
  <si>
    <t>mytiliculture</t>
  </si>
  <si>
    <t>mustélidés</t>
  </si>
  <si>
    <t>mutagénicité</t>
  </si>
  <si>
    <t>test de mutagénicité</t>
  </si>
  <si>
    <t>substances mutagènes</t>
  </si>
  <si>
    <t>mutant</t>
  </si>
  <si>
    <t>dissémination de micro-organismes mutés</t>
  </si>
  <si>
    <t>mutation</t>
  </si>
  <si>
    <t>mycologie</t>
  </si>
  <si>
    <t>mycorhize</t>
  </si>
  <si>
    <t>zone de pollution potentielle</t>
  </si>
  <si>
    <t>programme national de protection de l'environnement</t>
  </si>
  <si>
    <t>comptabilité environnementale nationale</t>
  </si>
  <si>
    <t>bien culturel</t>
  </si>
  <si>
    <t>nationalisation</t>
  </si>
  <si>
    <t>législation nationale</t>
  </si>
  <si>
    <t>parc national</t>
  </si>
  <si>
    <t>planification nationale</t>
  </si>
  <si>
    <t>réserve naturelle nationale</t>
  </si>
  <si>
    <t>espace naturel</t>
  </si>
  <si>
    <t>catastrophe naturelle</t>
  </si>
  <si>
    <t>système naturel de drainage</t>
  </si>
  <si>
    <t>milieu naturel</t>
  </si>
  <si>
    <t>isolation acoustique</t>
  </si>
  <si>
    <t>composts et engrais naturels</t>
  </si>
  <si>
    <t>fibre naturelle</t>
  </si>
  <si>
    <t>forêt naturelle</t>
  </si>
  <si>
    <t>gaz naturel</t>
  </si>
  <si>
    <t>exploration des ressources de gaz naturel</t>
  </si>
  <si>
    <t>extraction de gaz naturel</t>
  </si>
  <si>
    <t>patrimoine naturel</t>
  </si>
  <si>
    <t>loi sur la nature</t>
  </si>
  <si>
    <t>écosystème des terres arides</t>
  </si>
  <si>
    <t>matériaux naturels</t>
  </si>
  <si>
    <t>monument naturel</t>
  </si>
  <si>
    <t>parc naturel</t>
  </si>
  <si>
    <t>radioactivité naturelle</t>
  </si>
  <si>
    <t>terre aride</t>
  </si>
  <si>
    <t>conservation des ressources naturelles</t>
  </si>
  <si>
    <t>ressource naturelle</t>
  </si>
  <si>
    <t>site naturel</t>
  </si>
  <si>
    <t>sciences naturelles</t>
  </si>
  <si>
    <t>pierre naturelle</t>
  </si>
  <si>
    <t>richesse naturelle</t>
  </si>
  <si>
    <t>organisation de protection de la nature</t>
  </si>
  <si>
    <t>préservation de la nature</t>
  </si>
  <si>
    <t>législation en matière de préservation de la nature</t>
  </si>
  <si>
    <t>programme de protection de la nature</t>
  </si>
  <si>
    <t>protection de la nature</t>
  </si>
  <si>
    <t>réserve naturelle</t>
  </si>
  <si>
    <t>nausée</t>
  </si>
  <si>
    <t>dangers de navigation</t>
  </si>
  <si>
    <t>nécrose</t>
  </si>
  <si>
    <t>besoin</t>
  </si>
  <si>
    <t>plan d'amélioration du voisinage</t>
  </si>
  <si>
    <t>armement</t>
  </si>
  <si>
    <t>nématodes</t>
  </si>
  <si>
    <t>système nerveux</t>
  </si>
  <si>
    <t>conversion de l'armement</t>
  </si>
  <si>
    <t>appauvrissement direct des ressources</t>
  </si>
  <si>
    <t>règle de compensation àl'intérieur d'un groupe (permis d'émissions)</t>
  </si>
  <si>
    <t>neurotoxicité</t>
  </si>
  <si>
    <t>neutralisation</t>
  </si>
  <si>
    <t>forces armées</t>
  </si>
  <si>
    <t>nouvelle communauté</t>
  </si>
  <si>
    <t>nouvelle installation</t>
  </si>
  <si>
    <t>matériau nouveau</t>
  </si>
  <si>
    <t>nouvelle technologie</t>
  </si>
  <si>
    <t>nickel</t>
  </si>
  <si>
    <t>nitrate</t>
  </si>
  <si>
    <t>nitrification</t>
  </si>
  <si>
    <t>composé aromatique</t>
  </si>
  <si>
    <t>nitrite</t>
  </si>
  <si>
    <t>composé nitré</t>
  </si>
  <si>
    <t>azote</t>
  </si>
  <si>
    <t>cycle de l'azote</t>
  </si>
  <si>
    <t>dioxyde d'azote</t>
  </si>
  <si>
    <t>fixation de l'azote</t>
  </si>
  <si>
    <t>monoxyde d'azote</t>
  </si>
  <si>
    <t>oxydes d'azote</t>
  </si>
  <si>
    <t>nitrosamine</t>
  </si>
  <si>
    <t>hydrocarbure aromatique</t>
  </si>
  <si>
    <t>dose maximale admissible</t>
  </si>
  <si>
    <t>bruit</t>
  </si>
  <si>
    <t>diminution du bruit</t>
  </si>
  <si>
    <t>analyse de bruit</t>
  </si>
  <si>
    <t>écran antibruit</t>
  </si>
  <si>
    <t>lutte contre le bruit</t>
  </si>
  <si>
    <t>nuisance sonore</t>
  </si>
  <si>
    <t>émission du bruit</t>
  </si>
  <si>
    <t>taxe sur le bruit</t>
  </si>
  <si>
    <t>technologie silencieuse</t>
  </si>
  <si>
    <t>substance aromatique</t>
  </si>
  <si>
    <t>impact du bruit</t>
  </si>
  <si>
    <t>législation en matière de bruit</t>
  </si>
  <si>
    <t>niveau sonore</t>
  </si>
  <si>
    <t>mesure du bruit</t>
  </si>
  <si>
    <t>suveillance du bruit</t>
  </si>
  <si>
    <t>polluant sonore</t>
  </si>
  <si>
    <t>pollution sonore de l'environnement</t>
  </si>
  <si>
    <t>protection contre le bruit</t>
  </si>
  <si>
    <t>réduction du bruit</t>
  </si>
  <si>
    <t>type de bruit</t>
  </si>
  <si>
    <t>mesure en faveur d'une consigne sur les emballages</t>
  </si>
  <si>
    <t>nomade</t>
  </si>
  <si>
    <t>nomenclature</t>
  </si>
  <si>
    <t>polluant non biodégradable</t>
  </si>
  <si>
    <t>zone peu construite</t>
  </si>
  <si>
    <t>énergie non-conventionnelle</t>
  </si>
  <si>
    <t>industrie des métaux non ferreux</t>
  </si>
  <si>
    <t>arsenic</t>
  </si>
  <si>
    <t>métal non ferreux</t>
  </si>
  <si>
    <t>organisation non gouvernementale</t>
  </si>
  <si>
    <t>rayonnement non-ionisant</t>
  </si>
  <si>
    <t>minéral non métallique</t>
  </si>
  <si>
    <t>métalloïde</t>
  </si>
  <si>
    <t>source d'énergie non polluante</t>
  </si>
  <si>
    <t>carburant non polluant</t>
  </si>
  <si>
    <t>art</t>
  </si>
  <si>
    <t>source d'énergie non renouvelable</t>
  </si>
  <si>
    <t>ressource non renouvelable</t>
  </si>
  <si>
    <t>bâtiment non résidentiel</t>
  </si>
  <si>
    <t>récipient à usage unique</t>
  </si>
  <si>
    <t>organisme non cible</t>
  </si>
  <si>
    <t>norme</t>
  </si>
  <si>
    <t>normalisation</t>
  </si>
  <si>
    <t>Afrique du Nord</t>
  </si>
  <si>
    <t>Amérique du Nord</t>
  </si>
  <si>
    <t>océan atlantique nord</t>
  </si>
  <si>
    <t>océan pacifique nord</t>
  </si>
  <si>
    <t>niveau acoustique</t>
  </si>
  <si>
    <t>aliment nouveau</t>
  </si>
  <si>
    <t>accident nucléaire</t>
  </si>
  <si>
    <t>arthropodes</t>
  </si>
  <si>
    <t>énergie nucléaire</t>
  </si>
  <si>
    <t>législation en matière d'énergie nucléaire</t>
  </si>
  <si>
    <t>usage de l'énergie nucléaire</t>
  </si>
  <si>
    <t>explosion nucléaire (accident)</t>
  </si>
  <si>
    <t>articulata</t>
  </si>
  <si>
    <t>installation nucléaire</t>
  </si>
  <si>
    <t>fission nucléaire</t>
  </si>
  <si>
    <t>combustible nucléaire</t>
  </si>
  <si>
    <t>élément de combustible nucléaire</t>
  </si>
  <si>
    <t>fusion nucléaire</t>
  </si>
  <si>
    <t>physique nucléaire</t>
  </si>
  <si>
    <t>débat sur le nucléaire</t>
  </si>
  <si>
    <t>centrale nucléaire</t>
  </si>
  <si>
    <t>démantèlement de centrale nucléaire</t>
  </si>
  <si>
    <t>réaction nucléaire</t>
  </si>
  <si>
    <t>réacteur nucléaire</t>
  </si>
  <si>
    <t>centre de recherche nucléaire</t>
  </si>
  <si>
    <t>sécurité nucléaire</t>
  </si>
  <si>
    <t>essai nucléaire</t>
  </si>
  <si>
    <t>arme nucléaire</t>
  </si>
  <si>
    <t>acide nucléïque</t>
  </si>
  <si>
    <t>nuisance</t>
  </si>
  <si>
    <t>milieu de culture (microbiologie)</t>
  </si>
  <si>
    <t>bilan nutritif</t>
  </si>
  <si>
    <t>teneur en nutriments</t>
  </si>
  <si>
    <t>cycle des substances nutritives</t>
  </si>
  <si>
    <t>extraction des nutriments</t>
  </si>
  <si>
    <t>nutriment</t>
  </si>
  <si>
    <t>nutrition</t>
  </si>
  <si>
    <t>valeur nutritive</t>
  </si>
  <si>
    <t>chêne</t>
  </si>
  <si>
    <t>objection</t>
  </si>
  <si>
    <t>obligation d'information</t>
  </si>
  <si>
    <t>obligation d'étiquetage</t>
  </si>
  <si>
    <t>maladie professionnelle</t>
  </si>
  <si>
    <t>association professionnelle</t>
  </si>
  <si>
    <t>hygiène du travail</t>
  </si>
  <si>
    <t>service de médecine du travail</t>
  </si>
  <si>
    <t>médecine du travail</t>
  </si>
  <si>
    <t>sécurité du travail</t>
  </si>
  <si>
    <t>réglementation de sécurité au travail</t>
  </si>
  <si>
    <t>océan</t>
  </si>
  <si>
    <t>lac artificiel</t>
  </si>
  <si>
    <t>circulation océanique</t>
  </si>
  <si>
    <t>courant océanique</t>
  </si>
  <si>
    <t>rejet en mer</t>
  </si>
  <si>
    <t>Océanie</t>
  </si>
  <si>
    <t>océanographie</t>
  </si>
  <si>
    <t>température de l'océan</t>
  </si>
  <si>
    <t>odonates</t>
  </si>
  <si>
    <t>odeur</t>
  </si>
  <si>
    <t>puanteur</t>
  </si>
  <si>
    <t>délits à l'encontre de l'environnement</t>
  </si>
  <si>
    <t>bureau</t>
  </si>
  <si>
    <t>devoir officiel</t>
  </si>
  <si>
    <t>audience officielle</t>
  </si>
  <si>
    <t>transport quotidien en heures creuses</t>
  </si>
  <si>
    <t>voyage en période creuse</t>
  </si>
  <si>
    <t>travail en heure creuse</t>
  </si>
  <si>
    <t>politique de compensation (commerce des permis d'émissions)</t>
  </si>
  <si>
    <t>extraction en mer</t>
  </si>
  <si>
    <t>extraction pétrolière en mer</t>
  </si>
  <si>
    <t>hors site</t>
  </si>
  <si>
    <t>agglutinant du pétrole</t>
  </si>
  <si>
    <t>énergie à base de pétrole</t>
  </si>
  <si>
    <t>barrière de confinement</t>
  </si>
  <si>
    <t>désastre pétrolier</t>
  </si>
  <si>
    <t>exploration des ressources pétrolières</t>
  </si>
  <si>
    <t>extraction de pétrole</t>
  </si>
  <si>
    <t>industrie des huiles et graisses</t>
  </si>
  <si>
    <t>oléoduc</t>
  </si>
  <si>
    <t>marée noire</t>
  </si>
  <si>
    <t>réduction de la pollution par le pétrole</t>
  </si>
  <si>
    <t>navire dépollueur</t>
  </si>
  <si>
    <t>raffinerie de pétrole</t>
  </si>
  <si>
    <t>raffinage de pétrole</t>
  </si>
  <si>
    <t>récupération des résidus de pétrole</t>
  </si>
  <si>
    <t>schiste bitumineux</t>
  </si>
  <si>
    <t>nappe de pétrole</t>
  </si>
  <si>
    <t>déversement de pétrole</t>
  </si>
  <si>
    <t>pétrolier</t>
  </si>
  <si>
    <t>dépôt ancien</t>
  </si>
  <si>
    <t>site pollué</t>
  </si>
  <si>
    <t>installation ancienne</t>
  </si>
  <si>
    <t>pollution olfactive</t>
  </si>
  <si>
    <t>olfactométrie</t>
  </si>
  <si>
    <t>onchocercose</t>
  </si>
  <si>
    <t>satellite</t>
  </si>
  <si>
    <t>oncologie</t>
  </si>
  <si>
    <t>exploitation à ciel ouvert</t>
  </si>
  <si>
    <t>données d'exploitation</t>
  </si>
  <si>
    <t>opinion</t>
  </si>
  <si>
    <t>optimisation des installations</t>
  </si>
  <si>
    <t>minerai</t>
  </si>
  <si>
    <t>organe</t>
  </si>
  <si>
    <t>carbone organique</t>
  </si>
  <si>
    <t>chimie organique</t>
  </si>
  <si>
    <t>agriculture biologique</t>
  </si>
  <si>
    <t>propriété acoustique</t>
  </si>
  <si>
    <t>polluant organique</t>
  </si>
  <si>
    <t>amiante</t>
  </si>
  <si>
    <t>solvant organique</t>
  </si>
  <si>
    <t>substance organique</t>
  </si>
  <si>
    <t>déchet organique</t>
  </si>
  <si>
    <t>organisme</t>
  </si>
  <si>
    <t>composé organochloré</t>
  </si>
  <si>
    <t>composé organohalogèné</t>
  </si>
  <si>
    <t>composé organométallique</t>
  </si>
  <si>
    <t>composé organique azoté</t>
  </si>
  <si>
    <t>composé organique oxygéné</t>
  </si>
  <si>
    <t>composé organophosphoré</t>
  </si>
  <si>
    <t>composé organosilicié</t>
  </si>
  <si>
    <t>composé organosulfuré</t>
  </si>
  <si>
    <t>composé organostannique</t>
  </si>
  <si>
    <t>ciment amianté</t>
  </si>
  <si>
    <t>ornithologie</t>
  </si>
  <si>
    <t>orographie</t>
  </si>
  <si>
    <t>orthoptère</t>
  </si>
  <si>
    <t>osmose</t>
  </si>
  <si>
    <t>ANASE</t>
  </si>
  <si>
    <t>loisirs locaux</t>
  </si>
  <si>
    <t>surcharge</t>
  </si>
  <si>
    <t>entassement</t>
  </si>
  <si>
    <t>surexploitation</t>
  </si>
  <si>
    <t>surfertilisation</t>
  </si>
  <si>
    <t>cendre</t>
  </si>
  <si>
    <t>surpêche</t>
  </si>
  <si>
    <t>surpâturage</t>
  </si>
  <si>
    <t>ligne électrique aérienne</t>
  </si>
  <si>
    <t>surpopulation</t>
  </si>
  <si>
    <t>brassage convectif</t>
  </si>
  <si>
    <t>hivernage</t>
  </si>
  <si>
    <t>propriété</t>
  </si>
  <si>
    <t>oxydation</t>
  </si>
  <si>
    <t>oxydoréduction</t>
  </si>
  <si>
    <t>oxyde</t>
  </si>
  <si>
    <t>Asie</t>
  </si>
  <si>
    <t>agent oxydant</t>
  </si>
  <si>
    <t>oxygène</t>
  </si>
  <si>
    <t>oxygénation</t>
  </si>
  <si>
    <t>teneur en oxygène</t>
  </si>
  <si>
    <t>déficit en oxygène</t>
  </si>
  <si>
    <t>ozone</t>
  </si>
  <si>
    <t>potentiel d'appauvrissement de l'ozone</t>
  </si>
  <si>
    <t>couche d'ozone</t>
  </si>
  <si>
    <t>appauvrissement de la couche d'ozone</t>
  </si>
  <si>
    <t>ozonation</t>
  </si>
  <si>
    <t>emballage</t>
  </si>
  <si>
    <t>acoustique</t>
  </si>
  <si>
    <t>déchet d'emballage</t>
  </si>
  <si>
    <t>peinture</t>
  </si>
  <si>
    <t>entreprise de peinture</t>
  </si>
  <si>
    <t>magasin de peinture</t>
  </si>
  <si>
    <t>paléontologie</t>
  </si>
  <si>
    <t>papier</t>
  </si>
  <si>
    <t>industrie papetière</t>
  </si>
  <si>
    <t>paramètre</t>
  </si>
  <si>
    <t>parasite</t>
  </si>
  <si>
    <t>parasitologie</t>
  </si>
  <si>
    <t>parc de stationnement</t>
  </si>
  <si>
    <t>place de stationnement</t>
  </si>
  <si>
    <t>Parlement</t>
  </si>
  <si>
    <t>assimilation</t>
  </si>
  <si>
    <t>participation</t>
  </si>
  <si>
    <t>particule</t>
  </si>
  <si>
    <t>séparateur de particules</t>
  </si>
  <si>
    <t>transport de voyageurs</t>
  </si>
  <si>
    <t>déchet pâteux</t>
  </si>
  <si>
    <t>agent pathogène</t>
  </si>
  <si>
    <t>organisme pathogène</t>
  </si>
  <si>
    <t>effet pathologique</t>
  </si>
  <si>
    <t>pathologie</t>
  </si>
  <si>
    <t>schéma d'urbanisation</t>
  </si>
  <si>
    <t>association</t>
  </si>
  <si>
    <t>tourbe</t>
  </si>
  <si>
    <t>extraction de tourbe</t>
  </si>
  <si>
    <t>zone piétonnière</t>
  </si>
  <si>
    <t>pédosphère</t>
  </si>
  <si>
    <t>sanctions pour atteinte à l'environnement</t>
  </si>
  <si>
    <t>pénalité</t>
  </si>
  <si>
    <t>pentachlorophénol</t>
  </si>
  <si>
    <t>données par individu</t>
  </si>
  <si>
    <t>perchloroéthylène</t>
  </si>
  <si>
    <t>astronautique (science)</t>
  </si>
  <si>
    <t>eau d'infiltration</t>
  </si>
  <si>
    <t>périphyton</t>
  </si>
  <si>
    <t>écosystème du pergélisol</t>
  </si>
  <si>
    <t>astronomie</t>
  </si>
  <si>
    <t>perméabilité</t>
  </si>
  <si>
    <t>limite acceptable d'exposition</t>
  </si>
  <si>
    <t>autorisation</t>
  </si>
  <si>
    <t>nitrate de peroxyacétyle</t>
  </si>
  <si>
    <t>persistance</t>
  </si>
  <si>
    <t>persistance des pesticides</t>
  </si>
  <si>
    <t>responsabilité personnelle</t>
  </si>
  <si>
    <t>déprédateur</t>
  </si>
  <si>
    <t>lutte antiparasitaire</t>
  </si>
  <si>
    <t>pesticide</t>
  </si>
  <si>
    <t>norme de contrôle des pesticides</t>
  </si>
  <si>
    <t>cheminement des pesticides</t>
  </si>
  <si>
    <t>résidu de pesticide</t>
  </si>
  <si>
    <t>infestation parasitaire</t>
  </si>
  <si>
    <t>animal domestique (tenu en appartement)</t>
  </si>
  <si>
    <t>industrie pétrochimique</t>
  </si>
  <si>
    <t>essence</t>
  </si>
  <si>
    <t>atlas</t>
  </si>
  <si>
    <t>pétrole</t>
  </si>
  <si>
    <t>consommation de pétrole</t>
  </si>
  <si>
    <t>géologie des ressources pétrolières</t>
  </si>
  <si>
    <t>industrie pétrolière</t>
  </si>
  <si>
    <t>préservation des ressources pétrolières</t>
  </si>
  <si>
    <t>atmosphère</t>
  </si>
  <si>
    <t>phanérogame</t>
  </si>
  <si>
    <t>industrie pharmaceutique</t>
  </si>
  <si>
    <t>déchet pharmaceutique</t>
  </si>
  <si>
    <t>pharmacocinétique</t>
  </si>
  <si>
    <t>pharmacologie</t>
  </si>
  <si>
    <t>phénol</t>
  </si>
  <si>
    <t>phérormone</t>
  </si>
  <si>
    <t>philosophie</t>
  </si>
  <si>
    <t>phosphate</t>
  </si>
  <si>
    <t>déphosphatation</t>
  </si>
  <si>
    <t>substitut du phosphate</t>
  </si>
  <si>
    <t>phosphore</t>
  </si>
  <si>
    <t>réactif photochimique</t>
  </si>
  <si>
    <t>effet photochimique</t>
  </si>
  <si>
    <t>oxydant photochimique</t>
  </si>
  <si>
    <t>produit photochimique</t>
  </si>
  <si>
    <t>réaction photochimique</t>
  </si>
  <si>
    <t>smog photochimique</t>
  </si>
  <si>
    <t>photogrammétrie</t>
  </si>
  <si>
    <t>photo</t>
  </si>
  <si>
    <t>chimie de l'atmosphère</t>
  </si>
  <si>
    <t>photosynthèse</t>
  </si>
  <si>
    <t>circulation atmosphérique</t>
  </si>
  <si>
    <t>condition physique</t>
  </si>
  <si>
    <t>géographie physique</t>
  </si>
  <si>
    <t>océanographie physique</t>
  </si>
  <si>
    <t>planification de l'espace physique</t>
  </si>
  <si>
    <t>polluant physique</t>
  </si>
  <si>
    <t>pollution physique</t>
  </si>
  <si>
    <t>processus physique</t>
  </si>
  <si>
    <t>propriété physique</t>
  </si>
  <si>
    <t>composant atmosphérique</t>
  </si>
  <si>
    <t>science physique</t>
  </si>
  <si>
    <t>processus physico-chimique</t>
  </si>
  <si>
    <t>épuration physicochimique</t>
  </si>
  <si>
    <t>composition de l'atmosphère</t>
  </si>
  <si>
    <t>physiologie</t>
  </si>
  <si>
    <t>phytomasse</t>
  </si>
  <si>
    <t>phytopathologie</t>
  </si>
  <si>
    <t>phytoplancton</t>
  </si>
  <si>
    <t>phytosociologie</t>
  </si>
  <si>
    <t>émission atmosphérique</t>
  </si>
  <si>
    <t>phytotoxicité</t>
  </si>
  <si>
    <t>atelier de décapage</t>
  </si>
  <si>
    <t>image satellite</t>
  </si>
  <si>
    <t>humidité de l'air</t>
  </si>
  <si>
    <t>pilotage</t>
  </si>
  <si>
    <t>installation pilote</t>
  </si>
  <si>
    <t>projet pilote</t>
  </si>
  <si>
    <t>pinnipèdes</t>
  </si>
  <si>
    <t>stratification atmosphérique</t>
  </si>
  <si>
    <t>pipeline</t>
  </si>
  <si>
    <t>tuyau</t>
  </si>
  <si>
    <t>plaine</t>
  </si>
  <si>
    <t>plan</t>
  </si>
  <si>
    <t>source plane (d'émissions)</t>
  </si>
  <si>
    <t>plancton</t>
  </si>
  <si>
    <t>plan de développement urbain</t>
  </si>
  <si>
    <t>planification</t>
  </si>
  <si>
    <t>modèle atmosphérique</t>
  </si>
  <si>
    <t>législation sur la planification</t>
  </si>
  <si>
    <t>mesure d'aménagement du territoire</t>
  </si>
  <si>
    <t>permis d'aménagement</t>
  </si>
  <si>
    <t>rationalisation des choix budgétaires</t>
  </si>
  <si>
    <t>sélection des plantes</t>
  </si>
  <si>
    <t>communauté végétale</t>
  </si>
  <si>
    <t>partie de la plante</t>
  </si>
  <si>
    <t>pathologie végétale</t>
  </si>
  <si>
    <t>équipement d'usine</t>
  </si>
  <si>
    <t>génétique végétale</t>
  </si>
  <si>
    <t>phytosanitaire</t>
  </si>
  <si>
    <t>surveillance de l'atmosphère</t>
  </si>
  <si>
    <t>produit phytosanitaire</t>
  </si>
  <si>
    <t>plantigrades</t>
  </si>
  <si>
    <t>plantation (d'arbres)</t>
  </si>
  <si>
    <t>physiologie des plantes</t>
  </si>
  <si>
    <t>protection des plantes</t>
  </si>
  <si>
    <t>essai de produits phytosanitaires</t>
  </si>
  <si>
    <t>ozone atmosphérique</t>
  </si>
  <si>
    <t>plante</t>
  </si>
  <si>
    <t>fibre textile végétale</t>
  </si>
  <si>
    <t>commerce des plantes</t>
  </si>
  <si>
    <t>technologie du plasma</t>
  </si>
  <si>
    <t>plastique</t>
  </si>
  <si>
    <t>particule atmosphérique</t>
  </si>
  <si>
    <t>déchets plastiques</t>
  </si>
  <si>
    <t>platine</t>
  </si>
  <si>
    <t>terrain de jeu</t>
  </si>
  <si>
    <t>physique atmosphérique</t>
  </si>
  <si>
    <t>plutonium</t>
  </si>
  <si>
    <t>braconnage</t>
  </si>
  <si>
    <t>source (d'émissions) ponctuelle</t>
  </si>
  <si>
    <t>poison</t>
  </si>
  <si>
    <t>empoisonnement</t>
  </si>
  <si>
    <t>pollution atmosphérique</t>
  </si>
  <si>
    <t>écosystème polaire</t>
  </si>
  <si>
    <t>région polaire</t>
  </si>
  <si>
    <t>polder</t>
  </si>
  <si>
    <t>police</t>
  </si>
  <si>
    <t>loi de police</t>
  </si>
  <si>
    <t>précipitation atmosphérique</t>
  </si>
  <si>
    <t>politique</t>
  </si>
  <si>
    <t>règle politique</t>
  </si>
  <si>
    <t>instrument politique</t>
  </si>
  <si>
    <t>intégration stratégique</t>
  </si>
  <si>
    <t>politique de conservation de la nature</t>
  </si>
  <si>
    <t>planification politique</t>
  </si>
  <si>
    <t>activité de conseil dans le domaine politique</t>
  </si>
  <si>
    <t>doctrine politique</t>
  </si>
  <si>
    <t>écologie politique</t>
  </si>
  <si>
    <t>géographie politique</t>
  </si>
  <si>
    <t>organisation politique</t>
  </si>
  <si>
    <t>parti politique</t>
  </si>
  <si>
    <t>pouvoir politique</t>
  </si>
  <si>
    <t>phénomène atmosphérique</t>
  </si>
  <si>
    <t>pollen</t>
  </si>
  <si>
    <t>polluant</t>
  </si>
  <si>
    <t>absorption de polluant</t>
  </si>
  <si>
    <t>accumulation de polluant</t>
  </si>
  <si>
    <t>analyse de polluant</t>
  </si>
  <si>
    <t>science de l'atmosphère</t>
  </si>
  <si>
    <t>évaluation des polluants</t>
  </si>
  <si>
    <t>comportement des polluants</t>
  </si>
  <si>
    <t>concentration de polluant</t>
  </si>
  <si>
    <t>dégradation des polluants</t>
  </si>
  <si>
    <t>retombée des polluants</t>
  </si>
  <si>
    <t>diffusion de polluant</t>
  </si>
  <si>
    <t>distribution des polluants</t>
  </si>
  <si>
    <t>structure atmosphérique</t>
  </si>
  <si>
    <t>élimination de polluant</t>
  </si>
  <si>
    <t>émission de polluant</t>
  </si>
  <si>
    <t>exposition aux polluants</t>
  </si>
  <si>
    <t>formation des polluants</t>
  </si>
  <si>
    <t>immission des polluants</t>
  </si>
  <si>
    <t>immobilisation des polluants</t>
  </si>
  <si>
    <t>niveau de présence d'un polluant</t>
  </si>
  <si>
    <t>charge de polluant</t>
  </si>
  <si>
    <t>mobilisation des polluants</t>
  </si>
  <si>
    <t>surveillance des polluants</t>
  </si>
  <si>
    <t>cheminement des polluants</t>
  </si>
  <si>
    <t>diminution de la quantité de polluants</t>
  </si>
  <si>
    <t>remise en mouvement des polluants</t>
  </si>
  <si>
    <t>identification de la source de pollution</t>
  </si>
  <si>
    <t>matière polluée</t>
  </si>
  <si>
    <t>principe pollueur payeur</t>
  </si>
  <si>
    <t>réduction de la pollution</t>
  </si>
  <si>
    <t>moyens de réduction de la pollution</t>
  </si>
  <si>
    <t>lutte contre la pollution</t>
  </si>
  <si>
    <t>équipement de lutte contre la pollution</t>
  </si>
  <si>
    <t>réglementation de lutte contre la pollution</t>
  </si>
  <si>
    <t>technologie de  lutte contre la pollution</t>
  </si>
  <si>
    <t>critère de pollution</t>
  </si>
  <si>
    <t>effet de pollution</t>
  </si>
  <si>
    <t>indicateur de pollution</t>
  </si>
  <si>
    <t>responsabilité de la pollution</t>
  </si>
  <si>
    <t>charge polluante</t>
  </si>
  <si>
    <t>mesure de pollution</t>
  </si>
  <si>
    <t>surveillance de la pollution</t>
  </si>
  <si>
    <t>norme de pollution</t>
  </si>
  <si>
    <t>risque de pollution</t>
  </si>
  <si>
    <t>puits de pollution</t>
  </si>
  <si>
    <t>source de pollution</t>
  </si>
  <si>
    <t>polybromobiphényle</t>
  </si>
  <si>
    <t>polychlorobiphényle</t>
  </si>
  <si>
    <t>dioxine-p de dibenzofuranne polychloré</t>
  </si>
  <si>
    <t>polychlorodibenzofurane</t>
  </si>
  <si>
    <t>polychloroterphényle</t>
  </si>
  <si>
    <t>hydrocarbure aromatique polycyclique</t>
  </si>
  <si>
    <t>hydrocarbure polycyclique</t>
  </si>
  <si>
    <t>polyéthylène téréphtalate</t>
  </si>
  <si>
    <t>polymérisation</t>
  </si>
  <si>
    <t>polymère</t>
  </si>
  <si>
    <t>polychlorure de vinyle</t>
  </si>
  <si>
    <t>étang</t>
  </si>
  <si>
    <t>bassin de décantation des résidus</t>
  </si>
  <si>
    <t>mare</t>
  </si>
  <si>
    <t>distribution démographique</t>
  </si>
  <si>
    <t>dynamique de population</t>
  </si>
  <si>
    <t>population (écologique)</t>
  </si>
  <si>
    <t>écologie des populations</t>
  </si>
  <si>
    <t>accroissement de la population</t>
  </si>
  <si>
    <t>mouvement de population</t>
  </si>
  <si>
    <t>structure de la population</t>
  </si>
  <si>
    <t>post-traitement</t>
  </si>
  <si>
    <t>attribution</t>
  </si>
  <si>
    <t>potasse</t>
  </si>
  <si>
    <t>exploitation minière de potasse et de sel gemme</t>
  </si>
  <si>
    <t>volaille</t>
  </si>
  <si>
    <t>ferme avicole</t>
  </si>
  <si>
    <t>pauvreté</t>
  </si>
  <si>
    <t>ratio chaleur/ énergie fournie</t>
  </si>
  <si>
    <t>précipitation (chimique)</t>
  </si>
  <si>
    <t>intensification des précipitations</t>
  </si>
  <si>
    <t>prédateur</t>
  </si>
  <si>
    <t>bâtiment préfabriqué</t>
  </si>
  <si>
    <t>audiovisuel</t>
  </si>
  <si>
    <t>procédure préliminaire</t>
  </si>
  <si>
    <t>prime</t>
  </si>
  <si>
    <t>conservation de la preuve</t>
  </si>
  <si>
    <t>agent conservateur</t>
  </si>
  <si>
    <t>conserve</t>
  </si>
  <si>
    <t>presse écrite</t>
  </si>
  <si>
    <t>pressage</t>
  </si>
  <si>
    <t>pression</t>
  </si>
  <si>
    <t>groupe de pression</t>
  </si>
  <si>
    <t>actinide</t>
  </si>
  <si>
    <t>mesure préventive en matière de santé</t>
  </si>
  <si>
    <t>prix</t>
  </si>
  <si>
    <t>politique de prix des ressources</t>
  </si>
  <si>
    <t>corps exécutif</t>
  </si>
  <si>
    <t>enseignement primaire</t>
  </si>
  <si>
    <t>consommation d'énergie primaire</t>
  </si>
  <si>
    <t>secteur primaire</t>
  </si>
  <si>
    <t>primates</t>
  </si>
  <si>
    <t>principe de durabilité</t>
  </si>
  <si>
    <t>secteur de l'imprimerie</t>
  </si>
  <si>
    <t>imprimerie</t>
  </si>
  <si>
    <t>consentement suite à information</t>
  </si>
  <si>
    <t>autorisation préalable au transport de déchets  dangereux</t>
  </si>
  <si>
    <t>véhicule personnel</t>
  </si>
  <si>
    <t>ménage particulier</t>
  </si>
  <si>
    <t>droit privé</t>
  </si>
  <si>
    <t>autoécologie</t>
  </si>
  <si>
    <t>secteur privé</t>
  </si>
  <si>
    <t>transport privé</t>
  </si>
  <si>
    <t>privatisation</t>
  </si>
  <si>
    <t>proboscidiens</t>
  </si>
  <si>
    <t>procaryotes</t>
  </si>
  <si>
    <t>droit procédural</t>
  </si>
  <si>
    <t>détection automatique</t>
  </si>
  <si>
    <t>traitement</t>
  </si>
  <si>
    <t>technologie des processus</t>
  </si>
  <si>
    <t>eau de traitement</t>
  </si>
  <si>
    <t>responsabilité du producteur</t>
  </si>
  <si>
    <t>produit</t>
  </si>
  <si>
    <t>comparaison de produits</t>
  </si>
  <si>
    <t>évaluation de produits</t>
  </si>
  <si>
    <t>identification de produits</t>
  </si>
  <si>
    <t>information sur les produits</t>
  </si>
  <si>
    <t>productivité</t>
  </si>
  <si>
    <t>évolution de la productivité</t>
  </si>
  <si>
    <t>garantie produits</t>
  </si>
  <si>
    <t>norme de produit</t>
  </si>
  <si>
    <t>bénéfice</t>
  </si>
  <si>
    <t>industrie automobile</t>
  </si>
  <si>
    <t>prognostique</t>
  </si>
  <si>
    <t>programme</t>
  </si>
  <si>
    <t>courbe de progression</t>
  </si>
  <si>
    <t>interdiction</t>
  </si>
  <si>
    <t>projet</t>
  </si>
  <si>
    <t>processus de propagation</t>
  </si>
  <si>
    <t>gaz propulseur</t>
  </si>
  <si>
    <t>caractéristiques des matériaux</t>
  </si>
  <si>
    <t>protection de la propriété</t>
  </si>
  <si>
    <t>technique de propulsion</t>
  </si>
  <si>
    <t>poursuite</t>
  </si>
  <si>
    <t>prospérité</t>
  </si>
  <si>
    <t>espace protégé</t>
  </si>
  <si>
    <t>site naturel protégé</t>
  </si>
  <si>
    <t>espèce protégée</t>
  </si>
  <si>
    <t>zone protégée de captage d'eau</t>
  </si>
  <si>
    <t>protection contre les voisins</t>
  </si>
  <si>
    <t>protection des oiseaux</t>
  </si>
  <si>
    <t>protection des espèces</t>
  </si>
  <si>
    <t>système de protection</t>
  </si>
  <si>
    <t>protéine</t>
  </si>
  <si>
    <t>protozoaire</t>
  </si>
  <si>
    <t>province</t>
  </si>
  <si>
    <t>effet psychique</t>
  </si>
  <si>
    <t>effet psychologique</t>
  </si>
  <si>
    <t>stress psychologique</t>
  </si>
  <si>
    <t>psychologie</t>
  </si>
  <si>
    <t>effet psychosomatique</t>
  </si>
  <si>
    <t>maladie psychosomatique</t>
  </si>
  <si>
    <t>avalanche</t>
  </si>
  <si>
    <t>accès public aux terres</t>
  </si>
  <si>
    <t>action publique</t>
  </si>
  <si>
    <t>bains publics</t>
  </si>
  <si>
    <t>bâtiment public</t>
  </si>
  <si>
    <t>domaine public</t>
  </si>
  <si>
    <t>seuil de mesures d'urgence</t>
  </si>
  <si>
    <t>finances publiques</t>
  </si>
  <si>
    <t>financement public</t>
  </si>
  <si>
    <t>santé publique</t>
  </si>
  <si>
    <t>audition publique</t>
  </si>
  <si>
    <t>actinium</t>
  </si>
  <si>
    <t>prévention des avalanches</t>
  </si>
  <si>
    <t>information du public</t>
  </si>
  <si>
    <t>droit public</t>
  </si>
  <si>
    <t>opinion publique</t>
  </si>
  <si>
    <t>parcs et jardins publics</t>
  </si>
  <si>
    <t>participation publique</t>
  </si>
  <si>
    <t>partenariat public / privé</t>
  </si>
  <si>
    <t>secteur des marchés publics</t>
  </si>
  <si>
    <t>parquet</t>
  </si>
  <si>
    <t>construction d'axes de circulation</t>
  </si>
  <si>
    <t>secteur public</t>
  </si>
  <si>
    <t>service public</t>
  </si>
  <si>
    <t>transport en commun</t>
  </si>
  <si>
    <t>véhicule de transport en commun</t>
  </si>
  <si>
    <t>entreprise de service public</t>
  </si>
  <si>
    <t>travaux publics</t>
  </si>
  <si>
    <t>maladie pulmonaire</t>
  </si>
  <si>
    <t>pâte à papier</t>
  </si>
  <si>
    <t>pompe</t>
  </si>
  <si>
    <t>pompage</t>
  </si>
  <si>
    <t>achat</t>
  </si>
  <si>
    <t>épuration</t>
  </si>
  <si>
    <t>dispositif d'épuration</t>
  </si>
  <si>
    <t>station d'épuration</t>
  </si>
  <si>
    <t>purine</t>
  </si>
  <si>
    <t>loi fédérale de l'aviation</t>
  </si>
  <si>
    <t>pyrolyse</t>
  </si>
  <si>
    <t>assurance de qualité</t>
  </si>
  <si>
    <t>avifaune</t>
  </si>
  <si>
    <t>contrôle qualité</t>
  </si>
  <si>
    <t>qualité de vie</t>
  </si>
  <si>
    <t>carrière</t>
  </si>
  <si>
    <t>exploitation de carrière</t>
  </si>
  <si>
    <t>relation interraciale</t>
  </si>
  <si>
    <t>radar</t>
  </si>
  <si>
    <t>rayonnement</t>
  </si>
  <si>
    <t>dommage dû au rayonnement</t>
  </si>
  <si>
    <t>dose de radiations</t>
  </si>
  <si>
    <t>effet des radiations</t>
  </si>
  <si>
    <t>exposition aux rayonnements</t>
  </si>
  <si>
    <t>surveillance des radiations</t>
  </si>
  <si>
    <t>physique des rayonnements</t>
  </si>
  <si>
    <t>radioprotection</t>
  </si>
  <si>
    <t>loi relative à la protection contre le rayonnement</t>
  </si>
  <si>
    <t>maladie due aux radiations</t>
  </si>
  <si>
    <t>radio</t>
  </si>
  <si>
    <t>contamination radioactive</t>
  </si>
  <si>
    <t>décontamination radioactive</t>
  </si>
  <si>
    <t>décharge de déchêts radioactifs</t>
  </si>
  <si>
    <t>émission radioactive</t>
  </si>
  <si>
    <t>retombée radioactive</t>
  </si>
  <si>
    <t>polluant radioactif</t>
  </si>
  <si>
    <t>substance radioactive</t>
  </si>
  <si>
    <t>traceur radioactif</t>
  </si>
  <si>
    <t>technique du traceur radioactif</t>
  </si>
  <si>
    <t>déchet radioactif</t>
  </si>
  <si>
    <t>gestion des déchets radioactifs</t>
  </si>
  <si>
    <t>radioactivité</t>
  </si>
  <si>
    <t>radionucléide</t>
  </si>
  <si>
    <t>pollution naturelle de fond</t>
  </si>
  <si>
    <t>radon</t>
  </si>
  <si>
    <t>chiffon</t>
  </si>
  <si>
    <t>véhicule ferroviaire</t>
  </si>
  <si>
    <t>trafic ferroviaire</t>
  </si>
  <si>
    <t>transport ferroviaire</t>
  </si>
  <si>
    <t>voie ferrée</t>
  </si>
  <si>
    <t>pluie</t>
  </si>
  <si>
    <t>forêt pluviale</t>
  </si>
  <si>
    <t>rayonnement ambiant</t>
  </si>
  <si>
    <t>piégeage de particules par des gouttes</t>
  </si>
  <si>
    <t>eau pluviale</t>
  </si>
  <si>
    <t>surélever un site</t>
  </si>
  <si>
    <t>test aléatoire</t>
  </si>
  <si>
    <t>colza</t>
  </si>
  <si>
    <t>train interurbain rapide</t>
  </si>
  <si>
    <t>espèce rare</t>
  </si>
  <si>
    <t>matière première</t>
  </si>
  <si>
    <t>consommation de matières premières</t>
  </si>
  <si>
    <t>protection des matières premières</t>
  </si>
  <si>
    <t>cinétique des réactions</t>
  </si>
  <si>
    <t>réacteur</t>
  </si>
  <si>
    <t>sûreté des réacteurs</t>
  </si>
  <si>
    <t>bactérie</t>
  </si>
  <si>
    <t>acceptabilité (par le voisinage)</t>
  </si>
  <si>
    <t>technologie de l'ADN recombinant</t>
  </si>
  <si>
    <t>recommandation</t>
  </si>
  <si>
    <t>lit bactérien</t>
  </si>
  <si>
    <t>répertorier les substances</t>
  </si>
  <si>
    <t>rétablissement du paysage</t>
  </si>
  <si>
    <t>restauration de la vie sauvage</t>
  </si>
  <si>
    <t>site abandonné</t>
  </si>
  <si>
    <t>bactéricide</t>
  </si>
  <si>
    <t>stratégie de recyclage</t>
  </si>
  <si>
    <t>récréation</t>
  </si>
  <si>
    <t>espace de loisirs</t>
  </si>
  <si>
    <t>recyclabilité</t>
  </si>
  <si>
    <t>plastique recyclable</t>
  </si>
  <si>
    <t>matière recyclée</t>
  </si>
  <si>
    <t>papier recyclé</t>
  </si>
  <si>
    <t>recyclage</t>
  </si>
  <si>
    <t>gestion du recyclage</t>
  </si>
  <si>
    <t>loi sur la gestion du recyclage et les déchets</t>
  </si>
  <si>
    <t>bactériologie</t>
  </si>
  <si>
    <t>potentiel de recyclage</t>
  </si>
  <si>
    <t>rapport de recyclage</t>
  </si>
  <si>
    <t>recours</t>
  </si>
  <si>
    <t>marée rouge</t>
  </si>
  <si>
    <t>réduction (chimie)</t>
  </si>
  <si>
    <t>roseau</t>
  </si>
  <si>
    <t>récif</t>
  </si>
  <si>
    <t>raffinerie</t>
  </si>
  <si>
    <t>raffinage</t>
  </si>
  <si>
    <t>réflexion</t>
  </si>
  <si>
    <t>étude de la lumière réfléchie</t>
  </si>
  <si>
    <t>réfrigérant</t>
  </si>
  <si>
    <t>industrie du froid</t>
  </si>
  <si>
    <t>réfrigération</t>
  </si>
  <si>
    <t>réfrigérateur</t>
  </si>
  <si>
    <t>zone de refuge</t>
  </si>
  <si>
    <t>réfugié</t>
  </si>
  <si>
    <t>véhicule de collecte des ordures</t>
  </si>
  <si>
    <t>déchet combustible</t>
  </si>
  <si>
    <t>compost de boues résiduaires</t>
  </si>
  <si>
    <t>régénération</t>
  </si>
  <si>
    <t>remise en état d'anciennes installations industrielles</t>
  </si>
  <si>
    <t>région</t>
  </si>
  <si>
    <t>convention régionale</t>
  </si>
  <si>
    <t>développement régional</t>
  </si>
  <si>
    <t>loi régionale</t>
  </si>
  <si>
    <t>schéma régional</t>
  </si>
  <si>
    <t>planification régionale</t>
  </si>
  <si>
    <t>règlement régional</t>
  </si>
  <si>
    <t>statistiques régionales</t>
  </si>
  <si>
    <t>structure régionale</t>
  </si>
  <si>
    <t>enregistrement</t>
  </si>
  <si>
    <t>procédure d'enregistrement</t>
  </si>
  <si>
    <t>matière première renouvelable</t>
  </si>
  <si>
    <t>règlement sur les valeurs maximales admissibles</t>
  </si>
  <si>
    <t>ordonnance</t>
  </si>
  <si>
    <t>loi normative</t>
  </si>
  <si>
    <t>bilan</t>
  </si>
  <si>
    <t>contrôle réglementaire</t>
  </si>
  <si>
    <t>réhabilitation</t>
  </si>
  <si>
    <t>relogement</t>
  </si>
  <si>
    <t>réintroduction</t>
  </si>
  <si>
    <t>relation de cause à effet</t>
  </si>
  <si>
    <t>dissémination d'organismes</t>
  </si>
  <si>
    <t>religion</t>
  </si>
  <si>
    <t>groupe d'action</t>
  </si>
  <si>
    <t>équilibrage des intérêts</t>
  </si>
  <si>
    <t>télédétection</t>
  </si>
  <si>
    <t>élimination</t>
  </si>
  <si>
    <t>rétablissement de l'état naturel</t>
  </si>
  <si>
    <t>source d'énergie renouvelable</t>
  </si>
  <si>
    <t>ressource renouvelable</t>
  </si>
  <si>
    <t>logement locatif</t>
  </si>
  <si>
    <t>entreprise de réparation</t>
  </si>
  <si>
    <t>substitution</t>
  </si>
  <si>
    <t>frais de remplacement</t>
  </si>
  <si>
    <t>processus de suivi</t>
  </si>
  <si>
    <t>représentation</t>
  </si>
  <si>
    <t>retraitement du combustible irradié</t>
  </si>
  <si>
    <t>reproduction</t>
  </si>
  <si>
    <t>manipulation génétique</t>
  </si>
  <si>
    <t>reptile</t>
  </si>
  <si>
    <t>service de secours</t>
  </si>
  <si>
    <t>centre de recherche</t>
  </si>
  <si>
    <t>projet de recherche</t>
  </si>
  <si>
    <t>réserve biologique</t>
  </si>
  <si>
    <t>bassin de retenue</t>
  </si>
  <si>
    <t>zone résidentielle</t>
  </si>
  <si>
    <t>bâtiment d'habitation</t>
  </si>
  <si>
    <t>mesures de réduction de vitesse en zone résidentielle</t>
  </si>
  <si>
    <t>quantité résiduelle d'eau</t>
  </si>
  <si>
    <t>risque résiduel</t>
  </si>
  <si>
    <t>déchêt résiduel</t>
  </si>
  <si>
    <t>analyse des résidus</t>
  </si>
  <si>
    <t>activité bancaire</t>
  </si>
  <si>
    <t>recyclage des résidus</t>
  </si>
  <si>
    <t>résine</t>
  </si>
  <si>
    <t>résistance (biologique)</t>
  </si>
  <si>
    <t>résolution</t>
  </si>
  <si>
    <t>résorption</t>
  </si>
  <si>
    <t>évaluation des ressources</t>
  </si>
  <si>
    <t>conservation des ressources</t>
  </si>
  <si>
    <t>exploitation des ressources</t>
  </si>
  <si>
    <t>réserve de ressources</t>
  </si>
  <si>
    <t>gestion des ressources</t>
  </si>
  <si>
    <t>respiration</t>
  </si>
  <si>
    <t>air respiratoire</t>
  </si>
  <si>
    <t>maladie respiratoire</t>
  </si>
  <si>
    <t>interdiction d'épandre les eaux usées</t>
  </si>
  <si>
    <t>appareil de protection respiratoire</t>
  </si>
  <si>
    <t>système respiratoire</t>
  </si>
  <si>
    <t>voie respiratoire</t>
  </si>
  <si>
    <t>inversion de l'impact</t>
  </si>
  <si>
    <t>état d'hibernation</t>
  </si>
  <si>
    <t>restauration</t>
  </si>
  <si>
    <t>mesure de restauration</t>
  </si>
  <si>
    <t>baryum</t>
  </si>
  <si>
    <t>limitation de production</t>
  </si>
  <si>
    <t>restriction concernant l'utilisation</t>
  </si>
  <si>
    <t>commerce de détail</t>
  </si>
  <si>
    <t>bassin de rétention des crues</t>
  </si>
  <si>
    <t>traitement 'end of pipe'</t>
  </si>
  <si>
    <t>retour à la nature</t>
  </si>
  <si>
    <t>conteneur réutilisable</t>
  </si>
  <si>
    <t>charbon actif</t>
  </si>
  <si>
    <t>réemploi de matériaux</t>
  </si>
  <si>
    <t>végétalisation</t>
  </si>
  <si>
    <t>osmose inverse</t>
  </si>
  <si>
    <t>riz</t>
  </si>
  <si>
    <t>droit de pétition</t>
  </si>
  <si>
    <t>droit de propriété</t>
  </si>
  <si>
    <t>droit de compensation</t>
  </si>
  <si>
    <t>droit à l'information</t>
  </si>
  <si>
    <t>baguage</t>
  </si>
  <si>
    <t>zone riveraine</t>
  </si>
  <si>
    <t>montée (géologique)</t>
  </si>
  <si>
    <t>élévation du niveau de la mer</t>
  </si>
  <si>
    <t>risque</t>
  </si>
  <si>
    <t>analyse du risque</t>
  </si>
  <si>
    <t>évaluation du risque</t>
  </si>
  <si>
    <t>analyse risques avantages</t>
  </si>
  <si>
    <t>communication en matière de risques</t>
  </si>
  <si>
    <t>perception du risque</t>
  </si>
  <si>
    <t>réduction des risques</t>
  </si>
  <si>
    <t>fleuve</t>
  </si>
  <si>
    <t>développement de bassin fluvial</t>
  </si>
  <si>
    <t>canalisation de fleuves ou de rivières</t>
  </si>
  <si>
    <t>station de référence de surveillance</t>
  </si>
  <si>
    <t>pollution de cours d'eau</t>
  </si>
  <si>
    <t>eau fluviale</t>
  </si>
  <si>
    <t>construction routière</t>
  </si>
  <si>
    <t>entretien routier</t>
  </si>
  <si>
    <t>base (chimie)</t>
  </si>
  <si>
    <t>sécurité routière</t>
  </si>
  <si>
    <t>sel d'épandage</t>
  </si>
  <si>
    <t>trafic routier</t>
  </si>
  <si>
    <t>génie de la circulation routière</t>
  </si>
  <si>
    <t>transport routier</t>
  </si>
  <si>
    <t>roche</t>
  </si>
  <si>
    <t>boue activée</t>
  </si>
  <si>
    <t>besoins alimentaires de base</t>
  </si>
  <si>
    <t>laine de roche</t>
  </si>
  <si>
    <t>rongeur</t>
  </si>
  <si>
    <t>basicité</t>
  </si>
  <si>
    <t>racine</t>
  </si>
  <si>
    <t>four tournant</t>
  </si>
  <si>
    <t>itinéraire</t>
  </si>
  <si>
    <t>planification de l'itinéraire</t>
  </si>
  <si>
    <t>caoutchouc</t>
  </si>
  <si>
    <t>traitement du caoutchouc</t>
  </si>
  <si>
    <t>industrie du caoutchouc</t>
  </si>
  <si>
    <t>déchet de caoutchouc</t>
  </si>
  <si>
    <t>basidiomycète</t>
  </si>
  <si>
    <t>ruissellement</t>
  </si>
  <si>
    <t>espace rural</t>
  </si>
  <si>
    <t>milieu rural</t>
  </si>
  <si>
    <t>population rurale</t>
  </si>
  <si>
    <t>établissement rural</t>
  </si>
  <si>
    <t>tourisme rural</t>
  </si>
  <si>
    <t>approvisionnement en eau des zones rurales</t>
  </si>
  <si>
    <t>procédé discontinu</t>
  </si>
  <si>
    <t>sécurité</t>
  </si>
  <si>
    <t>analyse de sécurité</t>
  </si>
  <si>
    <t>mesure de sécurité</t>
  </si>
  <si>
    <t>règle de sécurité</t>
  </si>
  <si>
    <t>norme de sécurité</t>
  </si>
  <si>
    <t>norme de sécurité des bâtiments</t>
  </si>
  <si>
    <t>étude de sûreté</t>
  </si>
  <si>
    <t>salamandre</t>
  </si>
  <si>
    <t>ensalement</t>
  </si>
  <si>
    <t>salmonelle</t>
  </si>
  <si>
    <t>teneur en sels</t>
  </si>
  <si>
    <t>charge en sel</t>
  </si>
  <si>
    <t>schorre</t>
  </si>
  <si>
    <t>pré salé</t>
  </si>
  <si>
    <t>eau de baignade</t>
  </si>
  <si>
    <t>dôme de sel</t>
  </si>
  <si>
    <t>sels</t>
  </si>
  <si>
    <t>eau salée</t>
  </si>
  <si>
    <t>valorisation de terres</t>
  </si>
  <si>
    <t>échantillonnage</t>
  </si>
  <si>
    <t>technique d'échantillonnage</t>
  </si>
  <si>
    <t>sanction</t>
  </si>
  <si>
    <t>sable</t>
  </si>
  <si>
    <t>fixation des dunes de sable</t>
  </si>
  <si>
    <t>dune de sable</t>
  </si>
  <si>
    <t>extraction de sable</t>
  </si>
  <si>
    <t>sablière</t>
  </si>
  <si>
    <t>équipement sanitaire</t>
  </si>
  <si>
    <t>décharge contrôlée</t>
  </si>
  <si>
    <t>santé publique et assainissement</t>
  </si>
  <si>
    <t>plan d'assainissement</t>
  </si>
  <si>
    <t>index saprobie</t>
  </si>
  <si>
    <t>batterie</t>
  </si>
  <si>
    <t>saprobie</t>
  </si>
  <si>
    <t>épargne</t>
  </si>
  <si>
    <t>sciure</t>
  </si>
  <si>
    <t>élimination des batteries</t>
  </si>
  <si>
    <t>schistosomiase</t>
  </si>
  <si>
    <t>établissement scolaire</t>
  </si>
  <si>
    <t>enseignement scolaire</t>
  </si>
  <si>
    <t>science</t>
  </si>
  <si>
    <t>information scientifique et technique</t>
  </si>
  <si>
    <t>coopération scientifique</t>
  </si>
  <si>
    <t>politique scientifique</t>
  </si>
  <si>
    <t>procédure de définition</t>
  </si>
  <si>
    <t>matériau de rebut</t>
  </si>
  <si>
    <t>marché des matériaux de rebut</t>
  </si>
  <si>
    <t>prix des matériaux de rebut</t>
  </si>
  <si>
    <t>carcasse de véhicule</t>
  </si>
  <si>
    <t>baie</t>
  </si>
  <si>
    <t>mise sous écran protecteur</t>
  </si>
  <si>
    <t>mer</t>
  </si>
  <si>
    <t>fond marin</t>
  </si>
  <si>
    <t>exploitation des fonds marins</t>
  </si>
  <si>
    <t>extraction minière sur le fonds marin</t>
  </si>
  <si>
    <t>circulation maritime</t>
  </si>
  <si>
    <t>plage</t>
  </si>
  <si>
    <t>niveau de la mer</t>
  </si>
  <si>
    <t>elevation du niveau de la mer</t>
  </si>
  <si>
    <t>étanchéification</t>
  </si>
  <si>
    <t>appareil pour sceller</t>
  </si>
  <si>
    <t>embouchure</t>
  </si>
  <si>
    <t>ressource marine</t>
  </si>
  <si>
    <t>littoral maritime</t>
  </si>
  <si>
    <t>saison</t>
  </si>
  <si>
    <t>migration saisonnière</t>
  </si>
  <si>
    <t>eau de mer</t>
  </si>
  <si>
    <t>dessalement de l'eau de mer</t>
  </si>
  <si>
    <t>protection de l'eau de mer</t>
  </si>
  <si>
    <t>biotope secondaire</t>
  </si>
  <si>
    <t>enseignement secondaire</t>
  </si>
  <si>
    <t>secteur secondaire</t>
  </si>
  <si>
    <t>échouage</t>
  </si>
  <si>
    <t>marchandise d'occasion</t>
  </si>
  <si>
    <t>secteur économique</t>
  </si>
  <si>
    <t>sécurité des installations</t>
  </si>
  <si>
    <t>bassin de sédimentation</t>
  </si>
  <si>
    <t>sédimentation (décantation)</t>
  </si>
  <si>
    <t>sédimentation</t>
  </si>
  <si>
    <t>sédiment</t>
  </si>
  <si>
    <t>transport de solides</t>
  </si>
  <si>
    <t>graine</t>
  </si>
  <si>
    <t>désinfection des semences</t>
  </si>
  <si>
    <t>percolation</t>
  </si>
  <si>
    <t>percolat</t>
  </si>
  <si>
    <t>activité sismique</t>
  </si>
  <si>
    <t>surveillance des activités sismiques</t>
  </si>
  <si>
    <t>raz de marée</t>
  </si>
  <si>
    <t>saisie (droit)</t>
  </si>
  <si>
    <t>saisie des bénéfices</t>
  </si>
  <si>
    <t>sélection de technologie</t>
  </si>
  <si>
    <t>élevage de races animalières sélectionnées</t>
  </si>
  <si>
    <t>croisement génétique des plantes</t>
  </si>
  <si>
    <t>sélénium</t>
  </si>
  <si>
    <t>programme d'auto-aide</t>
  </si>
  <si>
    <t>auto-surveillance</t>
  </si>
  <si>
    <t>autoépuration</t>
  </si>
  <si>
    <t>écosystème des terres semi-arides</t>
  </si>
  <si>
    <t>semi-conducteur</t>
  </si>
  <si>
    <t>produit semi-manufacturé</t>
  </si>
  <si>
    <t>protection des abeilles</t>
  </si>
  <si>
    <t>semi-métal</t>
  </si>
  <si>
    <t>zone sensible</t>
  </si>
  <si>
    <t>calcul de sensibilité</t>
  </si>
  <si>
    <t>collecte sélective des déchets</t>
  </si>
  <si>
    <t>bétail de boucherie</t>
  </si>
  <si>
    <t>tri à la source</t>
  </si>
  <si>
    <t>séparateur</t>
  </si>
  <si>
    <t>fosse septique</t>
  </si>
  <si>
    <t>mise sous sequestre</t>
  </si>
  <si>
    <t>serpent</t>
  </si>
  <si>
    <t>zone de service</t>
  </si>
  <si>
    <t>abeille</t>
  </si>
  <si>
    <t>secteur des services</t>
  </si>
  <si>
    <t>concentration de peuplement</t>
  </si>
  <si>
    <t>expansion urbaine anarchique</t>
  </si>
  <si>
    <t>décanteur</t>
  </si>
  <si>
    <t>déversement des eaux usées</t>
  </si>
  <si>
    <t>champ d'épandage</t>
  </si>
  <si>
    <t>boue d'égout</t>
  </si>
  <si>
    <t>système d'épuration des eaux usées</t>
  </si>
  <si>
    <t>coléoptère</t>
  </si>
  <si>
    <t>réseau d'égouts</t>
  </si>
  <si>
    <t>coquillage</t>
  </si>
  <si>
    <t>comportement</t>
  </si>
  <si>
    <t>appareil de protection</t>
  </si>
  <si>
    <t>culture itinérante</t>
  </si>
  <si>
    <t>bateau</t>
  </si>
  <si>
    <t>construction navale</t>
  </si>
  <si>
    <t>accident de navigation</t>
  </si>
  <si>
    <t>activité des substances</t>
  </si>
  <si>
    <t>ordures des navires</t>
  </si>
  <si>
    <t>élimination des déchets des navires</t>
  </si>
  <si>
    <t>stand de tir</t>
  </si>
  <si>
    <t>magasin</t>
  </si>
  <si>
    <t>modèle de comportement</t>
  </si>
  <si>
    <t>centre commercial</t>
  </si>
  <si>
    <t>spectacle</t>
  </si>
  <si>
    <t>organisme utile</t>
  </si>
  <si>
    <t>broyeur</t>
  </si>
  <si>
    <t>détritus de déchiquetage</t>
  </si>
  <si>
    <t>arbuste</t>
  </si>
  <si>
    <t>gare de triage</t>
  </si>
  <si>
    <t>syndrome de l'immeuble insalubre</t>
  </si>
  <si>
    <t>effet secondaire</t>
  </si>
  <si>
    <t>effet secondaire des médicaments</t>
  </si>
  <si>
    <t>tamisage</t>
  </si>
  <si>
    <t>silencieux</t>
  </si>
  <si>
    <t>silicium</t>
  </si>
  <si>
    <t>silo</t>
  </si>
  <si>
    <t>limon</t>
  </si>
  <si>
    <t>argent</t>
  </si>
  <si>
    <t>participation active</t>
  </si>
  <si>
    <t>simulation</t>
  </si>
  <si>
    <t>frittage</t>
  </si>
  <si>
    <t>choix du site</t>
  </si>
  <si>
    <t>calibrage</t>
  </si>
  <si>
    <t>skier</t>
  </si>
  <si>
    <t>peau</t>
  </si>
  <si>
    <t>dégradation du paysage</t>
  </si>
  <si>
    <t>domaine benthique</t>
  </si>
  <si>
    <t>scorie</t>
  </si>
  <si>
    <t>abattoir</t>
  </si>
  <si>
    <t>déchets d'abattoirs</t>
  </si>
  <si>
    <t>abattage des animaux</t>
  </si>
  <si>
    <t>sommeil</t>
  </si>
  <si>
    <t>écosystème benthique</t>
  </si>
  <si>
    <t>trouble du sommeil</t>
  </si>
  <si>
    <t>talus</t>
  </si>
  <si>
    <t>boue</t>
  </si>
  <si>
    <t>digestion des boues</t>
  </si>
  <si>
    <t>incinération des boues</t>
  </si>
  <si>
    <t>bassin d'évacuation des boues de décantation</t>
  </si>
  <si>
    <t>traitement des boues</t>
  </si>
  <si>
    <t>petites et moyennes industries</t>
  </si>
  <si>
    <t>benthos</t>
  </si>
  <si>
    <t>petites îles</t>
  </si>
  <si>
    <t>chambre de combustion à petite échelle</t>
  </si>
  <si>
    <t>inducteur de petite taille</t>
  </si>
  <si>
    <t>smog</t>
  </si>
  <si>
    <t>benzène</t>
  </si>
  <si>
    <t>alerte au brouillard de fumée</t>
  </si>
  <si>
    <t>prévention des émanations de fumée</t>
  </si>
  <si>
    <t>tabagisme</t>
  </si>
  <si>
    <t>colubridés</t>
  </si>
  <si>
    <t>neige</t>
  </si>
  <si>
    <t>benzopyrène</t>
  </si>
  <si>
    <t>trempage</t>
  </si>
  <si>
    <t>savon</t>
  </si>
  <si>
    <t>comportement social</t>
  </si>
  <si>
    <t>condition sociale</t>
  </si>
  <si>
    <t>coût social</t>
  </si>
  <si>
    <t>internalisation des coûts externes</t>
  </si>
  <si>
    <t>développement social</t>
  </si>
  <si>
    <t>différenciation sociale</t>
  </si>
  <si>
    <t>dynamique sociale</t>
  </si>
  <si>
    <t>dispositif social</t>
  </si>
  <si>
    <t>groupe social</t>
  </si>
  <si>
    <t>indicateur social</t>
  </si>
  <si>
    <t>intervention sur les terres</t>
  </si>
  <si>
    <t>médecine sociale</t>
  </si>
  <si>
    <t>conduite sociale</t>
  </si>
  <si>
    <t>mouvement social</t>
  </si>
  <si>
    <t>participation sociale</t>
  </si>
  <si>
    <t>politique sociale</t>
  </si>
  <si>
    <t>béryllium</t>
  </si>
  <si>
    <t>problème social</t>
  </si>
  <si>
    <t>processus sociaux</t>
  </si>
  <si>
    <t>aide sociale</t>
  </si>
  <si>
    <t>sécurité sociale</t>
  </si>
  <si>
    <t>service social</t>
  </si>
  <si>
    <t>structure sociale</t>
  </si>
  <si>
    <t>enquête sociale</t>
  </si>
  <si>
    <t>système social</t>
  </si>
  <si>
    <t>rayonnement beta</t>
  </si>
  <si>
    <t>valeur sociale</t>
  </si>
  <si>
    <t>bien-être social</t>
  </si>
  <si>
    <t>société (humaine)</t>
  </si>
  <si>
    <t>aspects socio-économiques des établissements humains</t>
  </si>
  <si>
    <t>facteur socio-économique</t>
  </si>
  <si>
    <t>impact socio-économique des biotechnologies</t>
  </si>
  <si>
    <t>industrie des boissons</t>
  </si>
  <si>
    <t>étude sociologique</t>
  </si>
  <si>
    <t>sociologie</t>
  </si>
  <si>
    <t>aspect socio-politique</t>
  </si>
  <si>
    <t>adoucissement</t>
  </si>
  <si>
    <t>boisson</t>
  </si>
  <si>
    <t>adoucisseur</t>
  </si>
  <si>
    <t>logiciel</t>
  </si>
  <si>
    <t>acidification des sols</t>
  </si>
  <si>
    <t>atmosphere du sol</t>
  </si>
  <si>
    <t>analyse des sols</t>
  </si>
  <si>
    <t>biologie du sol</t>
  </si>
  <si>
    <t>capacité du sol</t>
  </si>
  <si>
    <t>chimie des sols</t>
  </si>
  <si>
    <t>compactage du sol</t>
  </si>
  <si>
    <t>état pédologique</t>
  </si>
  <si>
    <t>conservation du sol</t>
  </si>
  <si>
    <t>législation en matière de protection du sol</t>
  </si>
  <si>
    <t>déterioration du sol</t>
  </si>
  <si>
    <t>décontamination des sols</t>
  </si>
  <si>
    <t>dégradation du sol</t>
  </si>
  <si>
    <t>érosion du sol</t>
  </si>
  <si>
    <t>bibliographie</t>
  </si>
  <si>
    <t>fertilité du sol</t>
  </si>
  <si>
    <t>fertilisation</t>
  </si>
  <si>
    <t>formation du sol</t>
  </si>
  <si>
    <t>amendement du sol</t>
  </si>
  <si>
    <t>couches de sol</t>
  </si>
  <si>
    <t>capacité de charge du sol</t>
  </si>
  <si>
    <t>carte pédologique</t>
  </si>
  <si>
    <t>mécanique des sols</t>
  </si>
  <si>
    <t>minéralogie du sol</t>
  </si>
  <si>
    <t>humidité du sol</t>
  </si>
  <si>
    <t>régime d'humidité du sol</t>
  </si>
  <si>
    <t>organisme du sol</t>
  </si>
  <si>
    <t>polluant des sols</t>
  </si>
  <si>
    <t>bicyclette</t>
  </si>
  <si>
    <t>processus du sol</t>
  </si>
  <si>
    <t>profil du sol</t>
  </si>
  <si>
    <t>qualité du sol</t>
  </si>
  <si>
    <t>ressources du sol</t>
  </si>
  <si>
    <t>salinisation du sol</t>
  </si>
  <si>
    <t>sciences du sol</t>
  </si>
  <si>
    <t>tassement</t>
  </si>
  <si>
    <t>stabilisation du sol</t>
  </si>
  <si>
    <t>structure du sol</t>
  </si>
  <si>
    <t>affaissement du sol</t>
  </si>
  <si>
    <t>étanchéité de la surface du sol</t>
  </si>
  <si>
    <t>texture du sol</t>
  </si>
  <si>
    <t>type de sol</t>
  </si>
  <si>
    <t>acte législatif</t>
  </si>
  <si>
    <t>utilisation du sol</t>
  </si>
  <si>
    <t>eau du sol</t>
  </si>
  <si>
    <t>cellule solaire</t>
  </si>
  <si>
    <t>capteur solaire</t>
  </si>
  <si>
    <t>énergie solaire</t>
  </si>
  <si>
    <t>technologie de l'énergie solaire</t>
  </si>
  <si>
    <t>chauffage solaire</t>
  </si>
  <si>
    <t>centrale solaire</t>
  </si>
  <si>
    <t>rayonnement solaire</t>
  </si>
  <si>
    <t>matière solide</t>
  </si>
  <si>
    <t>état solide</t>
  </si>
  <si>
    <t>convention bilaterale</t>
  </si>
  <si>
    <t>déchet solide</t>
  </si>
  <si>
    <t>mise en décharge de déchets solides</t>
  </si>
  <si>
    <t>solubilité</t>
  </si>
  <si>
    <t>solvant</t>
  </si>
  <si>
    <t>récupération du solvant</t>
  </si>
  <si>
    <t>passereaux (passeriformes)</t>
  </si>
  <si>
    <t>bang supersonique</t>
  </si>
  <si>
    <t>suie</t>
  </si>
  <si>
    <t>sorption</t>
  </si>
  <si>
    <t>son</t>
  </si>
  <si>
    <t>émission acoustique</t>
  </si>
  <si>
    <t>mesure du niveau sonore</t>
  </si>
  <si>
    <t>huile de fond de cale</t>
  </si>
  <si>
    <t>insonorisation</t>
  </si>
  <si>
    <t>propagation du son</t>
  </si>
  <si>
    <t>transmission du son</t>
  </si>
  <si>
    <t>Amérique du Sud</t>
  </si>
  <si>
    <t>Océan atlantique Sud</t>
  </si>
  <si>
    <t>Asie du Sud-Est</t>
  </si>
  <si>
    <t>eau de fond de cale</t>
  </si>
  <si>
    <t>Afrique du Sud</t>
  </si>
  <si>
    <t>Asie du Sud</t>
  </si>
  <si>
    <t>Océan pacifique Sud</t>
  </si>
  <si>
    <t>espace (interplanétaire)</t>
  </si>
  <si>
    <t>transport spatial</t>
  </si>
  <si>
    <t>astronautique (vols spatiaux)</t>
  </si>
  <si>
    <t>déchets de l'espace (issus de l'activité spatiale)</t>
  </si>
  <si>
    <t>croup spasmodique</t>
  </si>
  <si>
    <t>mobilité spatiale</t>
  </si>
  <si>
    <t>autorisation spéciale</t>
  </si>
  <si>
    <t>spécialisation (biologique)</t>
  </si>
  <si>
    <t>loi spéciale</t>
  </si>
  <si>
    <t>bioaccumulation</t>
  </si>
  <si>
    <t>déchet spécial</t>
  </si>
  <si>
    <t>espèce</t>
  </si>
  <si>
    <t>conservation des espèces</t>
  </si>
  <si>
    <t>programme de conservation des espèces</t>
  </si>
  <si>
    <t>appauvrissement des espèces</t>
  </si>
  <si>
    <t>réintroduction des espèces</t>
  </si>
  <si>
    <t>spectroscopie</t>
  </si>
  <si>
    <t>vitesse</t>
  </si>
  <si>
    <t>limitation de vitesse</t>
  </si>
  <si>
    <t>araignée</t>
  </si>
  <si>
    <t>véhicule abandonné</t>
  </si>
  <si>
    <t>polluant bioaccumulatif</t>
  </si>
  <si>
    <t>fuite et écoulement accidentels</t>
  </si>
  <si>
    <t>rejets humides (industrie minière)</t>
  </si>
  <si>
    <t>éponge</t>
  </si>
  <si>
    <t>sport</t>
  </si>
  <si>
    <t>infrastructure sportive</t>
  </si>
  <si>
    <t>bombe aérosol</t>
  </si>
  <si>
    <t>biodisponibilité</t>
  </si>
  <si>
    <t>poussière d'amiante</t>
  </si>
  <si>
    <t>source</t>
  </si>
  <si>
    <t>eau de source</t>
  </si>
  <si>
    <t>arrosage par aspersion</t>
  </si>
  <si>
    <t>carré</t>
  </si>
  <si>
    <t>occupation sauvage de logement</t>
  </si>
  <si>
    <t>étang de stabilisation</t>
  </si>
  <si>
    <t>étable</t>
  </si>
  <si>
    <t>cheminées, conduites et gaines d'évacuation</t>
  </si>
  <si>
    <t>normes et règles de l'industrie du bâtiment</t>
  </si>
  <si>
    <t>aliments de base</t>
  </si>
  <si>
    <t>amidon</t>
  </si>
  <si>
    <t>état</t>
  </si>
  <si>
    <t>état de l'art</t>
  </si>
  <si>
    <t>données sur l'état de l'environnement</t>
  </si>
  <si>
    <t>rapport sur l'état de l'environnement</t>
  </si>
  <si>
    <t>méthode biochimique</t>
  </si>
  <si>
    <t>état de déchet</t>
  </si>
  <si>
    <t>état de la matière</t>
  </si>
  <si>
    <t>gare</t>
  </si>
  <si>
    <t>analyse statistique</t>
  </si>
  <si>
    <t>données statistiques</t>
  </si>
  <si>
    <t>statistiques</t>
  </si>
  <si>
    <t>statistiques portant sur les déchets</t>
  </si>
  <si>
    <t>niveau de développement</t>
  </si>
  <si>
    <t>restriction statutaire des prescriptions</t>
  </si>
  <si>
    <t>entreprise publique</t>
  </si>
  <si>
    <t>bruit continu</t>
  </si>
  <si>
    <t>générateur de vapeur</t>
  </si>
  <si>
    <t>acier</t>
  </si>
  <si>
    <t>industrie de l'acier</t>
  </si>
  <si>
    <t>stérilisation (processus)</t>
  </si>
  <si>
    <t>stéroïde</t>
  </si>
  <si>
    <t>budget d'encouragement</t>
  </si>
  <si>
    <t>peuplement (biologique)</t>
  </si>
  <si>
    <t>espèce capable de s'adapter</t>
  </si>
  <si>
    <t>gestion des stocks</t>
  </si>
  <si>
    <t>inventaire (du stock)</t>
  </si>
  <si>
    <t>pierre</t>
  </si>
  <si>
    <t>barrage de retenue</t>
  </si>
  <si>
    <t>tempête</t>
  </si>
  <si>
    <t>dégât des tempêtes</t>
  </si>
  <si>
    <t>processus biochimique</t>
  </si>
  <si>
    <t>étuve</t>
  </si>
  <si>
    <t>stratification</t>
  </si>
  <si>
    <t>stratosphère</t>
  </si>
  <si>
    <t>appauvrissement de l'ozone stratosphérique</t>
  </si>
  <si>
    <t>substance biochimique</t>
  </si>
  <si>
    <t>mesure du courant (dans un cours d'eau)</t>
  </si>
  <si>
    <t>nettoyage des rues</t>
  </si>
  <si>
    <t>résistance des matériaux</t>
  </si>
  <si>
    <t>stress</t>
  </si>
  <si>
    <t>exploitation minière par couches à ciel ouvert</t>
  </si>
  <si>
    <t>strontium</t>
  </si>
  <si>
    <t>programme d'ajustement structurel</t>
  </si>
  <si>
    <t>relation structure activité</t>
  </si>
  <si>
    <t>bruit de structure</t>
  </si>
  <si>
    <t>biochimie</t>
  </si>
  <si>
    <t>schéma directeur d'aménagement</t>
  </si>
  <si>
    <t>morphologie sous-marine</t>
  </si>
  <si>
    <t>sous-marin</t>
  </si>
  <si>
    <t>biocide</t>
  </si>
  <si>
    <t>commande ultérieure</t>
  </si>
  <si>
    <t>affaissement</t>
  </si>
  <si>
    <t>subvention</t>
  </si>
  <si>
    <t>sous-sol</t>
  </si>
  <si>
    <t>drainage du sous-sol</t>
  </si>
  <si>
    <t>substituabilité</t>
  </si>
  <si>
    <t>substitution de composés halogénés</t>
  </si>
  <si>
    <t>substitution des phosphates</t>
  </si>
  <si>
    <t>culture sur substrat</t>
  </si>
  <si>
    <t>écosystème subtropical</t>
  </si>
  <si>
    <t>bioclimatologie</t>
  </si>
  <si>
    <t>banlieue</t>
  </si>
  <si>
    <t>sucre</t>
  </si>
  <si>
    <t>industrie du sucre</t>
  </si>
  <si>
    <t>biocénose</t>
  </si>
  <si>
    <t>sulphate</t>
  </si>
  <si>
    <t>sulfure</t>
  </si>
  <si>
    <t>soufre</t>
  </si>
  <si>
    <t>facteur de bioconcentration</t>
  </si>
  <si>
    <t>concentration en soufre</t>
  </si>
  <si>
    <t>dioxyde de soufre</t>
  </si>
  <si>
    <t>acide sulfurique</t>
  </si>
  <si>
    <t>oxyde de soufre</t>
  </si>
  <si>
    <t>biodégradabilité</t>
  </si>
  <si>
    <t>supervision de travaux de construction</t>
  </si>
  <si>
    <t>surveillance d'installations</t>
  </si>
  <si>
    <t>corps de tutelle</t>
  </si>
  <si>
    <t>offre</t>
  </si>
  <si>
    <t>agent tensio-actif</t>
  </si>
  <si>
    <t>ruissellement de surface</t>
  </si>
  <si>
    <t>tension superficielle</t>
  </si>
  <si>
    <t>eau de surface</t>
  </si>
  <si>
    <t>polluant biodégradable</t>
  </si>
  <si>
    <t>déchet anatomique</t>
  </si>
  <si>
    <t>surplus</t>
  </si>
  <si>
    <t>enquête</t>
  </si>
  <si>
    <t>développement durable</t>
  </si>
  <si>
    <t>indicateur de développement durable</t>
  </si>
  <si>
    <t>utilisation durable</t>
  </si>
  <si>
    <t>édulcorant</t>
  </si>
  <si>
    <t>symbiose</t>
  </si>
  <si>
    <t>biodégradation</t>
  </si>
  <si>
    <t>synécologie</t>
  </si>
  <si>
    <t>synergie</t>
  </si>
  <si>
    <t>effet synergique des produits toxiques</t>
  </si>
  <si>
    <t>détergent synthétique</t>
  </si>
  <si>
    <t>industrie des fibres synthétiques</t>
  </si>
  <si>
    <t>diversité biologique</t>
  </si>
  <si>
    <t>matière synthétique</t>
  </si>
  <si>
    <t>industrie de transformation des matières synthétiques</t>
  </si>
  <si>
    <t>fibre textile synthétique</t>
  </si>
  <si>
    <t>analyse de système</t>
  </si>
  <si>
    <t>comparaison de systèmes</t>
  </si>
  <si>
    <t>théorie des systèmes</t>
  </si>
  <si>
    <t>instruction (droit)</t>
  </si>
  <si>
    <t>camion citerne</t>
  </si>
  <si>
    <t>navire-citerne</t>
  </si>
  <si>
    <t>parc de stockage</t>
  </si>
  <si>
    <t>tannin</t>
  </si>
  <si>
    <t>goudron</t>
  </si>
  <si>
    <t>groupe-cible</t>
  </si>
  <si>
    <t>période d'adaptation</t>
  </si>
  <si>
    <t>bioéthique</t>
  </si>
  <si>
    <t>tarif</t>
  </si>
  <si>
    <t>production de goudron</t>
  </si>
  <si>
    <t>sable asphaltique</t>
  </si>
  <si>
    <t>emploi du goudron</t>
  </si>
  <si>
    <t>taxe</t>
  </si>
  <si>
    <t>taxation</t>
  </si>
  <si>
    <t>différenciation fiscale</t>
  </si>
  <si>
    <t>loi fiscale</t>
  </si>
  <si>
    <t>taxonomie</t>
  </si>
  <si>
    <t>enseignement</t>
  </si>
  <si>
    <t>biogaz</t>
  </si>
  <si>
    <t>méthode d'enseignement</t>
  </si>
  <si>
    <t>TRGS</t>
  </si>
  <si>
    <t>cycle biogéochimique</t>
  </si>
  <si>
    <t>changement technologique</t>
  </si>
  <si>
    <t>développement technologique</t>
  </si>
  <si>
    <t>risque technologique</t>
  </si>
  <si>
    <t>procédé technologique</t>
  </si>
  <si>
    <t>technologie</t>
  </si>
  <si>
    <t>biogéochimie</t>
  </si>
  <si>
    <t>acceptation des technologies</t>
  </si>
  <si>
    <t>évaluation des technologies</t>
  </si>
  <si>
    <t>transfert de technologie</t>
  </si>
  <si>
    <t>tectonique</t>
  </si>
  <si>
    <t>télécommunication</t>
  </si>
  <si>
    <t>régions biogéographiques</t>
  </si>
  <si>
    <t>télématique</t>
  </si>
  <si>
    <t>télémétrie</t>
  </si>
  <si>
    <t>télévision</t>
  </si>
  <si>
    <t>biogéographie</t>
  </si>
  <si>
    <t>écosystème des zones tempérées</t>
  </si>
  <si>
    <t>forêt des zones tempérées</t>
  </si>
  <si>
    <t>région à forêt tempérée</t>
  </si>
  <si>
    <t>température</t>
  </si>
  <si>
    <t>logement provisoire</t>
  </si>
  <si>
    <t>abri provisoire</t>
  </si>
  <si>
    <t>stockage temporaire</t>
  </si>
  <si>
    <t>tératogenèse</t>
  </si>
  <si>
    <t>dépistage de la tératogénèse</t>
  </si>
  <si>
    <t>teratogénicité</t>
  </si>
  <si>
    <t>agent tératogène</t>
  </si>
  <si>
    <t>terminologie</t>
  </si>
  <si>
    <t>termites</t>
  </si>
  <si>
    <t>zone terrestre</t>
  </si>
  <si>
    <t>ressources biologiques de la terre</t>
  </si>
  <si>
    <t>écosystème terrestre</t>
  </si>
  <si>
    <t>activité biologique</t>
  </si>
  <si>
    <t>politique territoriale</t>
  </si>
  <si>
    <t>addition chimique</t>
  </si>
  <si>
    <t>territoire</t>
  </si>
  <si>
    <t>secteur tertiaire</t>
  </si>
  <si>
    <t>test</t>
  </si>
  <si>
    <t>animal de laboratoire</t>
  </si>
  <si>
    <t>analyse biologique</t>
  </si>
  <si>
    <t>procédure de test recommandée</t>
  </si>
  <si>
    <t>méthode de test</t>
  </si>
  <si>
    <t>organisme de test</t>
  </si>
  <si>
    <t>attribut biologique</t>
  </si>
  <si>
    <t>industrie textile</t>
  </si>
  <si>
    <t>textile</t>
  </si>
  <si>
    <t>thallium</t>
  </si>
  <si>
    <t>théorie monétaire</t>
  </si>
  <si>
    <t>théorie de l'Etat providence</t>
  </si>
  <si>
    <t>thérapie</t>
  </si>
  <si>
    <t>isolation thermique</t>
  </si>
  <si>
    <t>pollution thermique</t>
  </si>
  <si>
    <t>centrale thermique</t>
  </si>
  <si>
    <t>énergie thalassothermique</t>
  </si>
  <si>
    <t>traitement thermique</t>
  </si>
  <si>
    <t>eau thermale</t>
  </si>
  <si>
    <t>thermodynamique</t>
  </si>
  <si>
    <t>procédé &amp;quot;Thermosélect&amp;quot;</t>
  </si>
  <si>
    <t>thésaurus</t>
  </si>
  <si>
    <t>développement biologique</t>
  </si>
  <si>
    <t>seuil (valeur)</t>
  </si>
  <si>
    <t>énergie marémotrice</t>
  </si>
  <si>
    <t>eau de marée</t>
  </si>
  <si>
    <t>marée</t>
  </si>
  <si>
    <t>industrie du bois</t>
  </si>
  <si>
    <t>temps (durée)</t>
  </si>
  <si>
    <t>effet biologique</t>
  </si>
  <si>
    <t>étain</t>
  </si>
  <si>
    <t>tissu (corporel)</t>
  </si>
  <si>
    <t>titane</t>
  </si>
  <si>
    <t>dioxyde de titane</t>
  </si>
  <si>
    <t>crapaud</t>
  </si>
  <si>
    <t>tabac</t>
  </si>
  <si>
    <t>fumée de tabac</t>
  </si>
  <si>
    <t>génie biologique</t>
  </si>
  <si>
    <t>tornade</t>
  </si>
  <si>
    <t>tortue terrestre</t>
  </si>
  <si>
    <t>paramètre total</t>
  </si>
  <si>
    <t>équipement touristique</t>
  </si>
  <si>
    <t>zone touristique</t>
  </si>
  <si>
    <t>effet toxique</t>
  </si>
  <si>
    <t>toxicité</t>
  </si>
  <si>
    <t>toxicité des pesticides</t>
  </si>
  <si>
    <t>métal toxique</t>
  </si>
  <si>
    <t>évaluation toxicologique</t>
  </si>
  <si>
    <t>test toxicologique</t>
  </si>
  <si>
    <t>toxicologie</t>
  </si>
  <si>
    <t>produit toxique</t>
  </si>
  <si>
    <t>substance toxique</t>
  </si>
  <si>
    <t>déchet toxique</t>
  </si>
  <si>
    <t>toxine</t>
  </si>
  <si>
    <t>élément trace</t>
  </si>
  <si>
    <t>substances-traces et résidus</t>
  </si>
  <si>
    <t>trachéophyte</t>
  </si>
  <si>
    <t>indicateur biologique</t>
  </si>
  <si>
    <t>programme de suivi</t>
  </si>
  <si>
    <t>commerce</t>
  </si>
  <si>
    <t>permis négociable</t>
  </si>
  <si>
    <t>commerce et consommation</t>
  </si>
  <si>
    <t>barrière commerciale</t>
  </si>
  <si>
    <t>commerce (économique)</t>
  </si>
  <si>
    <t>influence du commerce sur l'environnement</t>
  </si>
  <si>
    <t>politique commerciale</t>
  </si>
  <si>
    <t>commercial</t>
  </si>
  <si>
    <t>relation commerciale</t>
  </si>
  <si>
    <t>restriction commerciale</t>
  </si>
  <si>
    <t>syndicat</t>
  </si>
  <si>
    <t>culture traditionnelle</t>
  </si>
  <si>
    <t>médecine traditionnelle</t>
  </si>
  <si>
    <t>trafic</t>
  </si>
  <si>
    <t>accident de la route</t>
  </si>
  <si>
    <t>contrôle de la circulation</t>
  </si>
  <si>
    <t>mesure pour le contrôle de la circulation</t>
  </si>
  <si>
    <t>émission des véhicules à moteur</t>
  </si>
  <si>
    <t>génie de l'infrastructure routière</t>
  </si>
  <si>
    <t>infrastructure routière</t>
  </si>
  <si>
    <t>encombrements</t>
  </si>
  <si>
    <t>surveillance du trafic</t>
  </si>
  <si>
    <t>bruit routier</t>
  </si>
  <si>
    <t>lutte contre le bruit routier</t>
  </si>
  <si>
    <t>trafic fluvial</t>
  </si>
  <si>
    <t>itinéraire à grande circulation</t>
  </si>
  <si>
    <t>emballage supplémentaire</t>
  </si>
  <si>
    <t>train</t>
  </si>
  <si>
    <t>formation</t>
  </si>
  <si>
    <t>centre de formation</t>
  </si>
  <si>
    <t>surveillance biologique</t>
  </si>
  <si>
    <t>trajectoire</t>
  </si>
  <si>
    <t>fixation biologique de l'azote</t>
  </si>
  <si>
    <t>pollution transfrontalière</t>
  </si>
  <si>
    <t>arrangement transitoire</t>
  </si>
  <si>
    <t>établissement transitoire</t>
  </si>
  <si>
    <t>élément de transition</t>
  </si>
  <si>
    <t>transpiration</t>
  </si>
  <si>
    <t>entreprise de transports</t>
  </si>
  <si>
    <t>transport par pipeline</t>
  </si>
  <si>
    <t>politique du transport</t>
  </si>
  <si>
    <t>méthode biologique de lutte contre les nuisibles</t>
  </si>
  <si>
    <t>planification des transports</t>
  </si>
  <si>
    <t>polluant biologique</t>
  </si>
  <si>
    <t>transport (physique)</t>
  </si>
  <si>
    <t>système de transport</t>
  </si>
  <si>
    <t>piégeage</t>
  </si>
  <si>
    <t>voyage</t>
  </si>
  <si>
    <t>frais de voyage</t>
  </si>
  <si>
    <t>pollution biologique</t>
  </si>
  <si>
    <t>traité</t>
  </si>
  <si>
    <t>arbre</t>
  </si>
  <si>
    <t>processus biologique</t>
  </si>
  <si>
    <t>tendance</t>
  </si>
  <si>
    <t>triazine</t>
  </si>
  <si>
    <t>irrigation goutte par goutte</t>
  </si>
  <si>
    <t>trinité de principes</t>
  </si>
  <si>
    <t>production biologique</t>
  </si>
  <si>
    <t>tritium</t>
  </si>
  <si>
    <t>niveau trophique</t>
  </si>
  <si>
    <t>écosystème des zones tropicales</t>
  </si>
  <si>
    <t>écosystème de la forêt tropicale</t>
  </si>
  <si>
    <t>forêt tropicale</t>
  </si>
  <si>
    <t>forêt tropicale humide</t>
  </si>
  <si>
    <t>tropiques</t>
  </si>
  <si>
    <t>troposphère</t>
  </si>
  <si>
    <t>ozone troposphérique</t>
  </si>
  <si>
    <t>polymère d'addition</t>
  </si>
  <si>
    <t>route à grande circulation</t>
  </si>
  <si>
    <t>tumeur</t>
  </si>
  <si>
    <t>toundra</t>
  </si>
  <si>
    <t>tunnel</t>
  </si>
  <si>
    <t>turbidité</t>
  </si>
  <si>
    <t>turbine</t>
  </si>
  <si>
    <t>pétrolier à réservoir d'entrepont</t>
  </si>
  <si>
    <t>catamaran</t>
  </si>
  <si>
    <t>moteur à deux temps</t>
  </si>
  <si>
    <t>type d'affaires</t>
  </si>
  <si>
    <t>type de demande</t>
  </si>
  <si>
    <t>type de management</t>
  </si>
  <si>
    <t>typhon</t>
  </si>
  <si>
    <t>ressource biologique</t>
  </si>
  <si>
    <t>pneu</t>
  </si>
  <si>
    <t>ultrafiltration</t>
  </si>
  <si>
    <t>ultrason</t>
  </si>
  <si>
    <t>rayonnement ultraviolet</t>
  </si>
  <si>
    <t>Conférence des Nations-Unies sur l'environnement et le développement</t>
  </si>
  <si>
    <t>décharge sauvage</t>
  </si>
  <si>
    <t>étanchéité de base de décharge</t>
  </si>
  <si>
    <t>stockage souterrain</t>
  </si>
  <si>
    <t>population sous-privilégiée</t>
  </si>
  <si>
    <t>entreprise commerciale</t>
  </si>
  <si>
    <t>déversoir sous-marin</t>
  </si>
  <si>
    <t>chômage</t>
  </si>
  <si>
    <t>ongulé</t>
  </si>
  <si>
    <t>Nations Unies</t>
  </si>
  <si>
    <t>épuration biologique des effluents gazeux</t>
  </si>
  <si>
    <t>carburant sans plomb</t>
  </si>
  <si>
    <t>zone d'air pur</t>
  </si>
  <si>
    <t>eau non traitée</t>
  </si>
  <si>
    <t>éducation (formation)</t>
  </si>
  <si>
    <t>Sénat</t>
  </si>
  <si>
    <t>traitement biologique des déchets</t>
  </si>
  <si>
    <t>uranium</t>
  </si>
  <si>
    <t>programme d'action urbaine</t>
  </si>
  <si>
    <t>zone urbaine</t>
  </si>
  <si>
    <t>additif</t>
  </si>
  <si>
    <t>arme biologique</t>
  </si>
  <si>
    <t>dégradation urbaine</t>
  </si>
  <si>
    <t>urbanisme</t>
  </si>
  <si>
    <t>développement urbain</t>
  </si>
  <si>
    <t>droit de l'urbanisme</t>
  </si>
  <si>
    <t>écosystème urbain</t>
  </si>
  <si>
    <t>installation urbaine</t>
  </si>
  <si>
    <t>flux urbains</t>
  </si>
  <si>
    <t>espaces verts</t>
  </si>
  <si>
    <t>bioluminescence</t>
  </si>
  <si>
    <t>urbanisation</t>
  </si>
  <si>
    <t>paysage urbain</t>
  </si>
  <si>
    <t>gestion urbaine</t>
  </si>
  <si>
    <t>planification urbaine</t>
  </si>
  <si>
    <t>biomasse</t>
  </si>
  <si>
    <t>politique urbaine</t>
  </si>
  <si>
    <t>pollution de la ville</t>
  </si>
  <si>
    <t>population urbaine</t>
  </si>
  <si>
    <t>rénovation urbaine</t>
  </si>
  <si>
    <t>assainissement urbain</t>
  </si>
  <si>
    <t>ensemble résidentiel urbain</t>
  </si>
  <si>
    <t>stress urbain</t>
  </si>
  <si>
    <t>structure urbaine</t>
  </si>
  <si>
    <t>étude urbaine</t>
  </si>
  <si>
    <t>trafic urbain</t>
  </si>
  <si>
    <t>energie de la biomasse</t>
  </si>
  <si>
    <t>eaux de ville</t>
  </si>
  <si>
    <t>alimentation en eau de la ville</t>
  </si>
  <si>
    <t>Ursidae</t>
  </si>
  <si>
    <t>pneu usagé</t>
  </si>
  <si>
    <t>utilisation du temps libre</t>
  </si>
  <si>
    <t>avantage de l'utilisateur</t>
  </si>
  <si>
    <t>utlisation du pouvoir calorifique</t>
  </si>
  <si>
    <t>utilisation des ressources locales</t>
  </si>
  <si>
    <t>utilisation des pesticides</t>
  </si>
  <si>
    <t>utilisation des ressources</t>
  </si>
  <si>
    <t>biophysique</t>
  </si>
  <si>
    <t>notion juridique indéfinie</t>
  </si>
  <si>
    <t>vallée</t>
  </si>
  <si>
    <t>bioréacteur</t>
  </si>
  <si>
    <t>composante valorisée d'un écosystème</t>
  </si>
  <si>
    <t>vanadium</t>
  </si>
  <si>
    <t>vandalisme</t>
  </si>
  <si>
    <t>espèce disparue</t>
  </si>
  <si>
    <t>tension de vapeur</t>
  </si>
  <si>
    <t>vernis</t>
  </si>
  <si>
    <t>biorythme</t>
  </si>
  <si>
    <t>vecteurs de maladies humaines</t>
  </si>
  <si>
    <t>couverture végétale</t>
  </si>
  <si>
    <t>biosécurité</t>
  </si>
  <si>
    <t>écologie végétale</t>
  </si>
  <si>
    <t>amélioration des plantes</t>
  </si>
  <si>
    <t>huile végétale</t>
  </si>
  <si>
    <t>reproduction végétale</t>
  </si>
  <si>
    <t>ressource végétale</t>
  </si>
  <si>
    <t>biosphère</t>
  </si>
  <si>
    <t>légume</t>
  </si>
  <si>
    <t>déchet végétal</t>
  </si>
  <si>
    <t>végétation</t>
  </si>
  <si>
    <t>type de végétation</t>
  </si>
  <si>
    <t>véhicule</t>
  </si>
  <si>
    <t>inspection des véhicules</t>
  </si>
  <si>
    <t>industrie de véhicules</t>
  </si>
  <si>
    <t>réserve de biosphère</t>
  </si>
  <si>
    <t>ventilation</t>
  </si>
  <si>
    <t>vermine</t>
  </si>
  <si>
    <t>vertébré</t>
  </si>
  <si>
    <t>biosynthèse</t>
  </si>
  <si>
    <t>médecine vétérinaire</t>
  </si>
  <si>
    <t>viaduc</t>
  </si>
  <si>
    <t>vibration</t>
  </si>
  <si>
    <t>vidéo</t>
  </si>
  <si>
    <t>village</t>
  </si>
  <si>
    <t>vinasse</t>
  </si>
  <si>
    <t>virologie</t>
  </si>
  <si>
    <t>virus</t>
  </si>
  <si>
    <t>viscosité</t>
  </si>
  <si>
    <t>biotechnologie</t>
  </si>
  <si>
    <t>vitamine</t>
  </si>
  <si>
    <t>viticulture</t>
  </si>
  <si>
    <t>facteur biotique</t>
  </si>
  <si>
    <t>vocabulaire</t>
  </si>
  <si>
    <t>formation professionnelle</t>
  </si>
  <si>
    <t>composé organique volatil</t>
  </si>
  <si>
    <t>volatilité</t>
  </si>
  <si>
    <t>région volcanique</t>
  </si>
  <si>
    <t>éruption volcanique</t>
  </si>
  <si>
    <t>adhésif</t>
  </si>
  <si>
    <t>volcanisme</t>
  </si>
  <si>
    <t>volcan</t>
  </si>
  <si>
    <t>revenu issu des déchets</t>
  </si>
  <si>
    <t>biotope</t>
  </si>
  <si>
    <t>bénévolat</t>
  </si>
  <si>
    <t>vulcanisation</t>
  </si>
  <si>
    <t>espèce vulnérable</t>
  </si>
  <si>
    <t>mer des Wadden</t>
  </si>
  <si>
    <t>réseau de biotope</t>
  </si>
  <si>
    <t>système de salaires</t>
  </si>
  <si>
    <t>mur</t>
  </si>
  <si>
    <t>guerre</t>
  </si>
  <si>
    <t>protection de biotope</t>
  </si>
  <si>
    <t>animal à sang chaud</t>
  </si>
  <si>
    <t>plan d'alerte</t>
  </si>
  <si>
    <t>système d'alerte</t>
  </si>
  <si>
    <t>gaspillage</t>
  </si>
  <si>
    <t>effluent gazeux</t>
  </si>
  <si>
    <t>traitement des effluents gazeux</t>
  </si>
  <si>
    <t>analyse des déchets</t>
  </si>
  <si>
    <t>capacité d'assimilation des déchets</t>
  </si>
  <si>
    <t>bilan des déchets</t>
  </si>
  <si>
    <t>poubelle</t>
  </si>
  <si>
    <t>catégorie de déchets</t>
  </si>
  <si>
    <t>redevance sur les déchêts</t>
  </si>
  <si>
    <t>classification des déchets</t>
  </si>
  <si>
    <t>collecte des déchets</t>
  </si>
  <si>
    <t>collecte des déchets à la source</t>
  </si>
  <si>
    <t>composition des déchets</t>
  </si>
  <si>
    <t>technique de conversion des déchets</t>
  </si>
  <si>
    <t>dégazage des déchets</t>
  </si>
  <si>
    <t>élimination des déchets</t>
  </si>
  <si>
    <t>loi relative à l'élimination des déchets</t>
  </si>
  <si>
    <t>coût de l'élimination des déchets</t>
  </si>
  <si>
    <t>enfouissement des déchets</t>
  </si>
  <si>
    <t>frais d'élimination des déchets</t>
  </si>
  <si>
    <t>mise en décharge des déchets</t>
  </si>
  <si>
    <t>bourse de déchets</t>
  </si>
  <si>
    <t>exportation de déchets</t>
  </si>
  <si>
    <t>centrale fonctionnant en cogénération</t>
  </si>
  <si>
    <t>centrale de chauffage alimentée par des déchets</t>
  </si>
  <si>
    <t>centrale électrique alimentée par des déchets</t>
  </si>
  <si>
    <t>émission d'effluents gazeux</t>
  </si>
  <si>
    <t>analyse des effluents gazeux</t>
  </si>
  <si>
    <t>réduction des émissions d'effluents gazeux</t>
  </si>
  <si>
    <t>verre usagé</t>
  </si>
  <si>
    <t>déchets de gypse</t>
  </si>
  <si>
    <t>chaleur résiduelle</t>
  </si>
  <si>
    <t>charge en chaleur résiduelle (qui pèse sur l'environnement)</t>
  </si>
  <si>
    <t>utilisation de la chaleur résiduelle</t>
  </si>
  <si>
    <t>permis d'importation des déchets</t>
  </si>
  <si>
    <t>incinérateur de déchets</t>
  </si>
  <si>
    <t>législation en matière de déchets</t>
  </si>
  <si>
    <t>gestion des déchets</t>
  </si>
  <si>
    <t>minimisation des déchets</t>
  </si>
  <si>
    <t>potentiel de minimisation des déchets</t>
  </si>
  <si>
    <t>huile usagée</t>
  </si>
  <si>
    <t>papier usagé</t>
  </si>
  <si>
    <t>dose journalière admissible</t>
  </si>
  <si>
    <t>industrie de traitement des déchets</t>
  </si>
  <si>
    <t>valorisation des déchets</t>
  </si>
  <si>
    <t>récupération des déchets</t>
  </si>
  <si>
    <t>recyclage des déchets</t>
  </si>
  <si>
    <t>réduction des déchets</t>
  </si>
  <si>
    <t>industrie d'enlèvement des déchets</t>
  </si>
  <si>
    <t>tri des déchets</t>
  </si>
  <si>
    <t>stockage des déchets</t>
  </si>
  <si>
    <t>transport de déchets</t>
  </si>
  <si>
    <t>oiseau</t>
  </si>
  <si>
    <t>traitement des déchets</t>
  </si>
  <si>
    <t>usine de traitement des déchets</t>
  </si>
  <si>
    <t>utilisation des déchets</t>
  </si>
  <si>
    <t>volume des déchets</t>
  </si>
  <si>
    <t>redevance sur les eaux usées</t>
  </si>
  <si>
    <t>rejet d'eaux usées</t>
  </si>
  <si>
    <t>refuge des oiseaux</t>
  </si>
  <si>
    <t>évacuation des eaux usées</t>
  </si>
  <si>
    <t>eaux usées résiduaires industrielles</t>
  </si>
  <si>
    <t>législation en matière d'eaux usées</t>
  </si>
  <si>
    <t>charge en eaux usées</t>
  </si>
  <si>
    <t>épuration des eaux usées</t>
  </si>
  <si>
    <t>qualité des eaux usées</t>
  </si>
  <si>
    <t>réduction des rejets (d'eau usée)</t>
  </si>
  <si>
    <t>rapace</t>
  </si>
  <si>
    <t>boues résiduaires de traitement des eaux</t>
  </si>
  <si>
    <t>statistiques sur les eaux usées</t>
  </si>
  <si>
    <t>traitement des eaux usées</t>
  </si>
  <si>
    <t>station d'épuration des eaux usées</t>
  </si>
  <si>
    <t>analyse de l'eau</t>
  </si>
  <si>
    <t>espèce d'avifaune</t>
  </si>
  <si>
    <t>entité hydrologique</t>
  </si>
  <si>
    <t>fond de l'eau</t>
  </si>
  <si>
    <t>captage d'eau</t>
  </si>
  <si>
    <t>conservation de l'eau</t>
  </si>
  <si>
    <t>consommation d'eau</t>
  </si>
  <si>
    <t>cours d'eau</t>
  </si>
  <si>
    <t>besoin en eau</t>
  </si>
  <si>
    <t>réseau de distribution d'eau</t>
  </si>
  <si>
    <t>risque sur la qualité de l'eau</t>
  </si>
  <si>
    <t>érosion par l'eau</t>
  </si>
  <si>
    <t>extraction d'eau</t>
  </si>
  <si>
    <t>régulation des naissances</t>
  </si>
  <si>
    <t>cascade</t>
  </si>
  <si>
    <t>puce d'eau</t>
  </si>
  <si>
    <t>régime hydrologique</t>
  </si>
  <si>
    <t>eau à usage agricole</t>
  </si>
  <si>
    <t>eau propre à la consommation</t>
  </si>
  <si>
    <t>eau industrielle</t>
  </si>
  <si>
    <t>avifaune aquatique</t>
  </si>
  <si>
    <t>dureté de l'eau</t>
  </si>
  <si>
    <t>jacinthe d'eau</t>
  </si>
  <si>
    <t>niveau d'eau</t>
  </si>
  <si>
    <t>sol saturé (engorgé) d'eau</t>
  </si>
  <si>
    <t>gestion de l'eau</t>
  </si>
  <si>
    <t>surveillance de l'eau</t>
  </si>
  <si>
    <t>polluant de l'eau</t>
  </si>
  <si>
    <t>pollution de l'eau</t>
  </si>
  <si>
    <t>prévention de la pollution de l'eau</t>
  </si>
  <si>
    <t>protection de l'eau</t>
  </si>
  <si>
    <t>directive relative à la protection de l'eau</t>
  </si>
  <si>
    <t>législation en matière de protection de l'eau</t>
  </si>
  <si>
    <t>pompe à eau</t>
  </si>
  <si>
    <t>bitume</t>
  </si>
  <si>
    <t>épuration de l'eau</t>
  </si>
  <si>
    <t>usine de potabilisation de l'eau</t>
  </si>
  <si>
    <t>qualité de l'eau</t>
  </si>
  <si>
    <t>directive relative à la qualité de l'eau</t>
  </si>
  <si>
    <t>gestion de la qualité de l'eau</t>
  </si>
  <si>
    <t>gestion de la quantité d'eau</t>
  </si>
  <si>
    <t>syndicat des eaux</t>
  </si>
  <si>
    <t>ressource en eau</t>
  </si>
  <si>
    <t>préservation des ressources hydrologiques</t>
  </si>
  <si>
    <t>développement des ressources hydrologiques</t>
  </si>
  <si>
    <t>réutilisation de l'eau</t>
  </si>
  <si>
    <t>augmentation de la salinité de l'eau</t>
  </si>
  <si>
    <t>économie d'eau</t>
  </si>
  <si>
    <t>sciences de l'eau</t>
  </si>
  <si>
    <t>eaux (géographie)</t>
  </si>
  <si>
    <t>aménagement des bassins versants</t>
  </si>
  <si>
    <t>ligne de partage des eaux</t>
  </si>
  <si>
    <t>mise en valeur des rives</t>
  </si>
  <si>
    <t>statistiques portant sur l'eau</t>
  </si>
  <si>
    <t>eau (substance)</t>
  </si>
  <si>
    <t>alimentation en eau</t>
  </si>
  <si>
    <t>transport par voies navigables</t>
  </si>
  <si>
    <t>traitement de l'eau</t>
  </si>
  <si>
    <t>utilisation d'eau</t>
  </si>
  <si>
    <t>voie navigable</t>
  </si>
  <si>
    <t>puits d'eau</t>
  </si>
  <si>
    <t>société de distribution d'eau</t>
  </si>
  <si>
    <t>énergie houlomotrice</t>
  </si>
  <si>
    <t>anthracite</t>
  </si>
  <si>
    <t>vague</t>
  </si>
  <si>
    <t>arme</t>
  </si>
  <si>
    <t>temps (météo)</t>
  </si>
  <si>
    <t>conditions météorologiques</t>
  </si>
  <si>
    <t>modification météorologique</t>
  </si>
  <si>
    <t>surveillance météorologique</t>
  </si>
  <si>
    <t>mauvaise herbe</t>
  </si>
  <si>
    <t>désherbage</t>
  </si>
  <si>
    <t>poids</t>
  </si>
  <si>
    <t>soudage</t>
  </si>
  <si>
    <t>puits</t>
  </si>
  <si>
    <t>Afrique de l'Ouest</t>
  </si>
  <si>
    <t>Asie de l'Ouest</t>
  </si>
  <si>
    <t>Europe de l'Ouest</t>
  </si>
  <si>
    <t>zone humide</t>
  </si>
  <si>
    <t>écosystème de zone humide</t>
  </si>
  <si>
    <t>procédé par voie humide</t>
  </si>
  <si>
    <t>haut fourneau</t>
  </si>
  <si>
    <t>appareil de dépoussiérage par voie humide</t>
  </si>
  <si>
    <t>déchets humides</t>
  </si>
  <si>
    <t>baleine</t>
  </si>
  <si>
    <t>pêche à la baleine</t>
  </si>
  <si>
    <t>commerce de gros</t>
  </si>
  <si>
    <t>animal sauvage</t>
  </si>
  <si>
    <t>flore et faune sauvages</t>
  </si>
  <si>
    <t>protection de la faune sauvage</t>
  </si>
  <si>
    <t>habitat de la faune sauvage</t>
  </si>
  <si>
    <t>statistiques sur les populations d'animaux sauvages</t>
  </si>
  <si>
    <t>agent de blanchiment</t>
  </si>
  <si>
    <t>sanctuaire faunique</t>
  </si>
  <si>
    <t>retour à l'état sauvage</t>
  </si>
  <si>
    <t>plante sauvage</t>
  </si>
  <si>
    <t>consentement à payer</t>
  </si>
  <si>
    <t>analyse du consentement à payer</t>
  </si>
  <si>
    <t>vent</t>
  </si>
  <si>
    <t>terre décolorante</t>
  </si>
  <si>
    <t>érosion éolienne</t>
  </si>
  <si>
    <t>moulin à vent</t>
  </si>
  <si>
    <t>énergie éolienne</t>
  </si>
  <si>
    <t>centrale à énergie éolienne</t>
  </si>
  <si>
    <t>processus de blanchiment</t>
  </si>
  <si>
    <t>femme</t>
  </si>
  <si>
    <t>statut des femmes</t>
  </si>
  <si>
    <t>bois (matière)</t>
  </si>
  <si>
    <t>bois</t>
  </si>
  <si>
    <t>sang</t>
  </si>
  <si>
    <t>déboisement</t>
  </si>
  <si>
    <t>écosystème des zones boisées</t>
  </si>
  <si>
    <t>conservation du bois</t>
  </si>
  <si>
    <t>produit du bois</t>
  </si>
  <si>
    <t>déchet de bois</t>
  </si>
  <si>
    <t>laine</t>
  </si>
  <si>
    <t>accident du travail</t>
  </si>
  <si>
    <t>exploitation à ciel ouvert épuisée</t>
  </si>
  <si>
    <t>condition de travail</t>
  </si>
  <si>
    <t>heures de travail</t>
  </si>
  <si>
    <t>travail du sol</t>
  </si>
  <si>
    <t>lieu de travail</t>
  </si>
  <si>
    <t>monde</t>
  </si>
  <si>
    <t>site de patrimoine mondial</t>
  </si>
  <si>
    <t>écriture d'annulation</t>
  </si>
  <si>
    <t>algue bleue</t>
  </si>
  <si>
    <t>délit</t>
  </si>
  <si>
    <t>acte illicite de l'administration</t>
  </si>
  <si>
    <t>substance xénobiotique</t>
  </si>
  <si>
    <t>rayons X</t>
  </si>
  <si>
    <t>levure</t>
  </si>
  <si>
    <t>rendement</t>
  </si>
  <si>
    <t>nourisson</t>
  </si>
  <si>
    <t>jeunesse</t>
  </si>
  <si>
    <t>travail des jeunes</t>
  </si>
  <si>
    <t>zinc</t>
  </si>
  <si>
    <t>zonage</t>
  </si>
  <si>
    <t>parc zoologique</t>
  </si>
  <si>
    <t>zoologie</t>
  </si>
  <si>
    <t>zoonose</t>
  </si>
  <si>
    <t>navigation de plaisance</t>
  </si>
  <si>
    <t>demande biochimique en oxygène</t>
  </si>
  <si>
    <t>chaudière</t>
  </si>
  <si>
    <t>point d'ébullition</t>
  </si>
  <si>
    <t>livre</t>
  </si>
  <si>
    <t>bordure</t>
  </si>
  <si>
    <t>bore</t>
  </si>
  <si>
    <t>botanique</t>
  </si>
  <si>
    <t>transfert transfrontalier</t>
  </si>
  <si>
    <t>couche limite</t>
  </si>
  <si>
    <t>bovidé</t>
  </si>
  <si>
    <t>eau saumâtre</t>
  </si>
  <si>
    <t>bradyséisme</t>
  </si>
  <si>
    <t>lait maternel</t>
  </si>
  <si>
    <t>amélioration génétique</t>
  </si>
  <si>
    <t>oiseaux nicheurs</t>
  </si>
  <si>
    <t>secteur de brasserie</t>
  </si>
  <si>
    <t>brique</t>
  </si>
  <si>
    <t>0.25</t>
  </si>
  <si>
    <t>2014-01-01</t>
  </si>
  <si>
    <t xml:space="preserve">Nom du test qui a été appliqué aux données. </t>
  </si>
  <si>
    <t>Code de classification des contraintes</t>
  </si>
  <si>
    <t>Fréquence de maintenance</t>
  </si>
  <si>
    <t>Contraintes d'accès</t>
  </si>
  <si>
    <t xml:space="preserve">Modèle stéréoscopique 
</t>
  </si>
  <si>
    <t xml:space="preserve">Vidéo </t>
  </si>
  <si>
    <t>statementLineage</t>
  </si>
  <si>
    <t>INSPIREConformity</t>
  </si>
  <si>
    <t>Conformité à INSPIRE</t>
  </si>
  <si>
    <t>Conforme</t>
  </si>
  <si>
    <t>Pas conforme</t>
  </si>
  <si>
    <t>Pas évaluée</t>
  </si>
  <si>
    <t>Numéro de téléphone. Ex: +32 (0)81/123456</t>
  </si>
  <si>
    <t>0.25m</t>
  </si>
  <si>
    <t>Historique d'encodage</t>
  </si>
  <si>
    <t>Directe externe</t>
  </si>
  <si>
    <t>Directe interne</t>
  </si>
  <si>
    <t>Indirecte</t>
  </si>
  <si>
    <t>Autres restrictions</t>
  </si>
  <si>
    <t>Brevet</t>
  </si>
  <si>
    <t>Brevet en instance</t>
  </si>
  <si>
    <t>Droit de propriété intellectuelle / Droit patrimonial</t>
  </si>
  <si>
    <t>Droit d'auteur / Droit moral (copyright)</t>
  </si>
  <si>
    <t>Licence</t>
  </si>
  <si>
    <t>Marque de commerce</t>
  </si>
  <si>
    <t>Restreint</t>
  </si>
  <si>
    <t>Annuelle</t>
  </si>
  <si>
    <t>Bi-annuelle</t>
  </si>
  <si>
    <t>Bi-mensuelle</t>
  </si>
  <si>
    <t>Continue</t>
  </si>
  <si>
    <t>Hebdomadaire</t>
  </si>
  <si>
    <t>Inconnue</t>
  </si>
  <si>
    <t>Irrégulière</t>
  </si>
  <si>
    <t>Journalière</t>
  </si>
  <si>
    <t>Lorsque nécessaire</t>
  </si>
  <si>
    <t>Mensuelle</t>
  </si>
  <si>
    <t>Non planifiée</t>
  </si>
  <si>
    <t>Trimestrielle</t>
  </si>
  <si>
    <t>southBoundLatitude</t>
  </si>
  <si>
    <t>northBoundLatitude</t>
  </si>
  <si>
    <t>Valeurs Excel</t>
  </si>
  <si>
    <t>Valeurs Codelist ISO</t>
  </si>
  <si>
    <t>custodian</t>
  </si>
  <si>
    <t>owner</t>
  </si>
  <si>
    <t>user</t>
  </si>
  <si>
    <t>distributor</t>
  </si>
  <si>
    <t>originator</t>
  </si>
  <si>
    <t>pointOfContact</t>
  </si>
  <si>
    <t>principalInvestigator</t>
  </si>
  <si>
    <t>processor</t>
  </si>
  <si>
    <t>publisher</t>
  </si>
  <si>
    <t>author</t>
  </si>
  <si>
    <t>Roles</t>
  </si>
  <si>
    <t>resourceProvider</t>
  </si>
  <si>
    <t>Dates</t>
  </si>
  <si>
    <t>Révision</t>
  </si>
  <si>
    <t>creation</t>
  </si>
  <si>
    <t>publication</t>
  </si>
  <si>
    <t>revision</t>
  </si>
  <si>
    <t>Fonctions de la ressource en ligne</t>
  </si>
  <si>
    <t>download</t>
  </si>
  <si>
    <t>offlineAccess</t>
  </si>
  <si>
    <t>order</t>
  </si>
  <si>
    <t>search</t>
  </si>
  <si>
    <t>directInternal</t>
  </si>
  <si>
    <t>directExternal</t>
  </si>
  <si>
    <t>indirect</t>
  </si>
  <si>
    <t>ucs2</t>
  </si>
  <si>
    <t>ucs4</t>
  </si>
  <si>
    <t>utf7</t>
  </si>
  <si>
    <t>utf8</t>
  </si>
  <si>
    <t>characterSetRessource</t>
  </si>
  <si>
    <t>utf16</t>
  </si>
  <si>
    <t>8859part1</t>
  </si>
  <si>
    <t>8859part2</t>
  </si>
  <si>
    <t>8859part3</t>
  </si>
  <si>
    <t>8859part4</t>
  </si>
  <si>
    <t>8859part5</t>
  </si>
  <si>
    <t>8859part6</t>
  </si>
  <si>
    <t>8859part7</t>
  </si>
  <si>
    <t>8859part8</t>
  </si>
  <si>
    <t>8859part9</t>
  </si>
  <si>
    <t>8859part10</t>
  </si>
  <si>
    <t>8859part11</t>
  </si>
  <si>
    <t>8859part13</t>
  </si>
  <si>
    <t>8859part14</t>
  </si>
  <si>
    <t>8859part15</t>
  </si>
  <si>
    <t>8859part16</t>
  </si>
  <si>
    <t>jis</t>
  </si>
  <si>
    <t>shiftJIS</t>
  </si>
  <si>
    <t>eucJP</t>
  </si>
  <si>
    <t>usAscii</t>
  </si>
  <si>
    <t>ebcdic</t>
  </si>
  <si>
    <t>eucKR</t>
  </si>
  <si>
    <t>big5</t>
  </si>
  <si>
    <t>GB2312</t>
  </si>
  <si>
    <t>unclassified</t>
  </si>
  <si>
    <t>restricted</t>
  </si>
  <si>
    <t>confidential</t>
  </si>
  <si>
    <t>secret</t>
  </si>
  <si>
    <t>topSecret</t>
  </si>
  <si>
    <t>discipline</t>
  </si>
  <si>
    <t>place</t>
  </si>
  <si>
    <t>stratum</t>
  </si>
  <si>
    <t>temporal</t>
  </si>
  <si>
    <t>theme</t>
  </si>
  <si>
    <t>continual</t>
  </si>
  <si>
    <t>daily</t>
  </si>
  <si>
    <t>weekly</t>
  </si>
  <si>
    <t>fortnightly</t>
  </si>
  <si>
    <t>monthly</t>
  </si>
  <si>
    <t>biannually</t>
  </si>
  <si>
    <t>annually</t>
  </si>
  <si>
    <t>asNeeded</t>
  </si>
  <si>
    <t>irregular</t>
  </si>
  <si>
    <t>notPlanned</t>
  </si>
  <si>
    <t>unknown</t>
  </si>
  <si>
    <t>quarterly</t>
  </si>
  <si>
    <t>MediumNameCode</t>
  </si>
  <si>
    <t>completed</t>
  </si>
  <si>
    <t>historicalArchive</t>
  </si>
  <si>
    <t>obsolete</t>
  </si>
  <si>
    <t>onGoing</t>
  </si>
  <si>
    <t>planned</t>
  </si>
  <si>
    <t>required</t>
  </si>
  <si>
    <t>underDevelopment</t>
  </si>
  <si>
    <t>copyright</t>
  </si>
  <si>
    <t>patent</t>
  </si>
  <si>
    <t>patentPending</t>
  </si>
  <si>
    <t>trademark</t>
  </si>
  <si>
    <t>license</t>
  </si>
  <si>
    <t>intellectualPropertyRights</t>
  </si>
  <si>
    <t>otherRestrictions</t>
  </si>
  <si>
    <t>vector</t>
  </si>
  <si>
    <t>grid</t>
  </si>
  <si>
    <t>textTable</t>
  </si>
  <si>
    <t>tin</t>
  </si>
  <si>
    <t>stereoModel</t>
  </si>
  <si>
    <t>video</t>
  </si>
  <si>
    <t>farming</t>
  </si>
  <si>
    <t>biota</t>
  </si>
  <si>
    <t>boundaries</t>
  </si>
  <si>
    <t>climatologyMeteorologyAtmospher</t>
  </si>
  <si>
    <t>economy</t>
  </si>
  <si>
    <t>elevation</t>
  </si>
  <si>
    <t>environment</t>
  </si>
  <si>
    <t>geoscientificInformation</t>
  </si>
  <si>
    <t>health</t>
  </si>
  <si>
    <t>imageryBaseMapsEarthCover</t>
  </si>
  <si>
    <t>intelligenceMilitary</t>
  </si>
  <si>
    <t>inlandWaters</t>
  </si>
  <si>
    <t>location</t>
  </si>
  <si>
    <t>oceans</t>
  </si>
  <si>
    <t>planningCadastre</t>
  </si>
  <si>
    <t>society</t>
  </si>
  <si>
    <t>structure</t>
  </si>
  <si>
    <t>transportation</t>
  </si>
  <si>
    <t>utilitiesCommunication</t>
  </si>
  <si>
    <t>attribute</t>
  </si>
  <si>
    <t>Attribut</t>
  </si>
  <si>
    <t>attributeType</t>
  </si>
  <si>
    <t>Type d’attribut</t>
  </si>
  <si>
    <t>dataset</t>
  </si>
  <si>
    <t>series</t>
  </si>
  <si>
    <t>nonGeographicDataset</t>
  </si>
  <si>
    <t>Jeu de données non géographiques</t>
  </si>
  <si>
    <t>feature</t>
  </si>
  <si>
    <t>Elément</t>
  </si>
  <si>
    <t>featureType</t>
  </si>
  <si>
    <t>Type d’élément</t>
  </si>
  <si>
    <t>propertyType</t>
  </si>
  <si>
    <t>Type de propriété</t>
  </si>
  <si>
    <t>tile</t>
  </si>
  <si>
    <t>Tuile</t>
  </si>
  <si>
    <t>CodeSpaceReferenceSystem</t>
  </si>
  <si>
    <t>collectionHardware</t>
  </si>
  <si>
    <t>collectionSession</t>
  </si>
  <si>
    <t>dimensionGroup</t>
  </si>
  <si>
    <t>fieldSession</t>
  </si>
  <si>
    <t>software</t>
  </si>
  <si>
    <t>service</t>
  </si>
  <si>
    <t>model</t>
  </si>
  <si>
    <t>Langue</t>
  </si>
  <si>
    <t>Anglais</t>
  </si>
  <si>
    <t>eng</t>
  </si>
  <si>
    <t>fre</t>
  </si>
  <si>
    <t>organisationName</t>
  </si>
  <si>
    <t>ID</t>
  </si>
  <si>
    <t>Gestionnaire</t>
  </si>
  <si>
    <t>A l'origine de</t>
  </si>
  <si>
    <t>Point de recherche</t>
  </si>
  <si>
    <t>Exécutant</t>
  </si>
  <si>
    <t>Editeur</t>
  </si>
  <si>
    <t>Fournisseur</t>
  </si>
  <si>
    <t>Utilisateur</t>
  </si>
  <si>
    <t>Keywords</t>
  </si>
  <si>
    <t>topicISO1_valeur</t>
  </si>
  <si>
    <t>Géoservice</t>
  </si>
  <si>
    <t>Type de ressource</t>
  </si>
  <si>
    <t>fileDescription</t>
  </si>
  <si>
    <t>Description de la vignette</t>
  </si>
  <si>
    <t>fileType</t>
  </si>
  <si>
    <t>Format de la vignette</t>
  </si>
  <si>
    <t>png</t>
  </si>
  <si>
    <t>Niveau hiérarchique (DQ_Scope)</t>
  </si>
  <si>
    <t>Jeu de données ou géodonnées</t>
  </si>
  <si>
    <t>Séries de jeux de données</t>
  </si>
  <si>
    <t xml:space="preserve">Nom du niveau de hiérarchie pour lequel les métadonnées sont produites. </t>
  </si>
  <si>
    <t>2014-03-01</t>
  </si>
  <si>
    <t>2003-10-10</t>
  </si>
  <si>
    <t>2010-09-08</t>
  </si>
  <si>
    <t>2008-06-01</t>
  </si>
  <si>
    <t>2010-01-13</t>
  </si>
  <si>
    <t>2009-09-22</t>
  </si>
  <si>
    <t>2012-02-03</t>
  </si>
  <si>
    <t>Type</t>
  </si>
  <si>
    <t>Conformance INSPIRE</t>
  </si>
  <si>
    <t>INSPIRE</t>
  </si>
  <si>
    <t>Règlement (UE) n o 1089/2010 de la Commission du 23 novembre 2010 portant modalités d'application de la directive 2007/2/CE du Parlement européen et du Conseil en ce qui concerne l'interopérabilité des séries et des services de données géographiques</t>
  </si>
  <si>
    <t>2010-12-08</t>
  </si>
  <si>
    <t>ISO 19115</t>
  </si>
  <si>
    <t>Administration</t>
  </si>
  <si>
    <t>Air</t>
  </si>
  <si>
    <t>Alimentation, eau potable</t>
  </si>
  <si>
    <t>Aspects militaires</t>
  </si>
  <si>
    <t>Aspects sociaux, population</t>
  </si>
  <si>
    <t>Bâtiment</t>
  </si>
  <si>
    <t>Biologie</t>
  </si>
  <si>
    <t>Bruit, vibrations</t>
  </si>
  <si>
    <t>Catastrophes, accidents, risques</t>
  </si>
  <si>
    <t>Chimie</t>
  </si>
  <si>
    <t>Climat</t>
  </si>
  <si>
    <t>Commerce, services</t>
  </si>
  <si>
    <t>Déchets</t>
  </si>
  <si>
    <t>Dynamique naturelle</t>
  </si>
  <si>
    <t>Eau</t>
  </si>
  <si>
    <t>Économie</t>
  </si>
  <si>
    <t>Élevage</t>
  </si>
  <si>
    <t>Énergie</t>
  </si>
  <si>
    <t>Environnement urbain, stress urbain</t>
  </si>
  <si>
    <t>Espace</t>
  </si>
  <si>
    <t>Généralités</t>
  </si>
  <si>
    <t>Géographie</t>
  </si>
  <si>
    <t>Industrie</t>
  </si>
  <si>
    <t>Législation</t>
  </si>
  <si>
    <t>Matériaux</t>
  </si>
  <si>
    <t>Pêche</t>
  </si>
  <si>
    <t>Physique</t>
  </si>
  <si>
    <t>Politique environnementale</t>
  </si>
  <si>
    <t>Pollution</t>
  </si>
  <si>
    <t>Rayonnements</t>
  </si>
  <si>
    <t>Recherche</t>
  </si>
  <si>
    <t>Ressources</t>
  </si>
  <si>
    <t>Santé humaine</t>
  </si>
  <si>
    <t>Sol</t>
  </si>
  <si>
    <t>Sylviculture</t>
  </si>
  <si>
    <t>Tourisme</t>
  </si>
  <si>
    <t>Transport</t>
  </si>
  <si>
    <t>Zones naturelles, paysages, écosystèmes</t>
  </si>
  <si>
    <t>Abattage (foresterie)</t>
  </si>
  <si>
    <t>Abattage des animaux</t>
  </si>
  <si>
    <t>Abattoir</t>
  </si>
  <si>
    <t>Abeille</t>
  </si>
  <si>
    <t>Abords (agglomération)</t>
  </si>
  <si>
    <t>Abri</t>
  </si>
  <si>
    <t>Abri d'urgence</t>
  </si>
  <si>
    <t>Abri pour animaux</t>
  </si>
  <si>
    <t>Abri provisoire</t>
  </si>
  <si>
    <t>Absorption (exposition)</t>
  </si>
  <si>
    <t>Absorption de polluant</t>
  </si>
  <si>
    <t>Acarien</t>
  </si>
  <si>
    <t>Acceptabilité (par le voisinage)</t>
  </si>
  <si>
    <t>Acceptation des technologies</t>
  </si>
  <si>
    <t>Accès à la culture</t>
  </si>
  <si>
    <t>Accès à la justice</t>
  </si>
  <si>
    <t>Accès à la mer</t>
  </si>
  <si>
    <t>Accès à la terre</t>
  </si>
  <si>
    <t>Accès à l'information</t>
  </si>
  <si>
    <t>Accès aux documents administratifs</t>
  </si>
  <si>
    <t>Accès public aux terres</t>
  </si>
  <si>
    <t>Accident</t>
  </si>
  <si>
    <t>Accident de la route</t>
  </si>
  <si>
    <t>Accident de navigation</t>
  </si>
  <si>
    <t>Accident du travail</t>
  </si>
  <si>
    <t>Accident écologique</t>
  </si>
  <si>
    <t>Accident majeur</t>
  </si>
  <si>
    <t>Accident nucléaire</t>
  </si>
  <si>
    <t>Accident technologique</t>
  </si>
  <si>
    <t>Accise</t>
  </si>
  <si>
    <t>Accord</t>
  </si>
  <si>
    <t>Accord international</t>
  </si>
  <si>
    <t>Accord multilatéral</t>
  </si>
  <si>
    <t>Accroissement de la population</t>
  </si>
  <si>
    <t>Accumulateur</t>
  </si>
  <si>
    <t>Accumulation dans les tissues corporels</t>
  </si>
  <si>
    <t>Accumulation de polluant</t>
  </si>
  <si>
    <t>Achat</t>
  </si>
  <si>
    <t>Achat de produits et de services écologiques</t>
  </si>
  <si>
    <t>Acide</t>
  </si>
  <si>
    <t>Acide aminé</t>
  </si>
  <si>
    <t>Acide chlorhydrique</t>
  </si>
  <si>
    <t>Acide dilué</t>
  </si>
  <si>
    <t>Acide nucléïque</t>
  </si>
  <si>
    <t>Acide sulfurique</t>
  </si>
  <si>
    <t>Acidification</t>
  </si>
  <si>
    <t>Acidification des sols</t>
  </si>
  <si>
    <t>Acidité</t>
  </si>
  <si>
    <t>Acidité forte</t>
  </si>
  <si>
    <t>Acier</t>
  </si>
  <si>
    <t>Acoustique</t>
  </si>
  <si>
    <t>Acquisition des données</t>
  </si>
  <si>
    <t>Acte administratif</t>
  </si>
  <si>
    <t>Acte communautaire</t>
  </si>
  <si>
    <t>Acte de commerce</t>
  </si>
  <si>
    <t>Acte illicite de l'administration</t>
  </si>
  <si>
    <t>Acte juridique</t>
  </si>
  <si>
    <t>Acte législatif</t>
  </si>
  <si>
    <t>Actinide</t>
  </si>
  <si>
    <t>Actinium</t>
  </si>
  <si>
    <t>Action anthropique</t>
  </si>
  <si>
    <t>Action publique</t>
  </si>
  <si>
    <t>Action socio-éducative</t>
  </si>
  <si>
    <t>Activité bancaire</t>
  </si>
  <si>
    <t>Activité biologique</t>
  </si>
  <si>
    <t>Activité commerciale</t>
  </si>
  <si>
    <t>Activité de conseil dans le domaine politique</t>
  </si>
  <si>
    <t>Activité de l'entreprise</t>
  </si>
  <si>
    <t>Activité de production</t>
  </si>
  <si>
    <t>Activité de service</t>
  </si>
  <si>
    <t>Activité des substances</t>
  </si>
  <si>
    <t>Activité d'extraction off-shore</t>
  </si>
  <si>
    <t>Activité économique</t>
  </si>
  <si>
    <t>Activité industrielle</t>
  </si>
  <si>
    <t>Activité militaire</t>
  </si>
  <si>
    <t>Activité minière</t>
  </si>
  <si>
    <t>Activité sismique</t>
  </si>
  <si>
    <t>Activité terrestre</t>
  </si>
  <si>
    <t>Acuité auditive</t>
  </si>
  <si>
    <t>Adaptation écologique</t>
  </si>
  <si>
    <t>Additif</t>
  </si>
  <si>
    <t>Additif pour carburants</t>
  </si>
  <si>
    <t>Additifs alimentaires et colorants</t>
  </si>
  <si>
    <t>Addition chimique</t>
  </si>
  <si>
    <t>Adhésif</t>
  </si>
  <si>
    <t>Administration centrale</t>
  </si>
  <si>
    <t>Administration territoriale</t>
  </si>
  <si>
    <t>Adn</t>
  </si>
  <si>
    <t>Adoucissement</t>
  </si>
  <si>
    <t>Adoucisseur</t>
  </si>
  <si>
    <t>Adsorption</t>
  </si>
  <si>
    <t>Adulte</t>
  </si>
  <si>
    <t>Aération</t>
  </si>
  <si>
    <t>Aération de l'eau</t>
  </si>
  <si>
    <t>Aérobiologie</t>
  </si>
  <si>
    <t>Aérobiose</t>
  </si>
  <si>
    <t>Aéroport</t>
  </si>
  <si>
    <t>Aérosol</t>
  </si>
  <si>
    <t>Aérosol atmosphérique</t>
  </si>
  <si>
    <t>Affaissement</t>
  </si>
  <si>
    <t>Affaissement du sol</t>
  </si>
  <si>
    <t>Affectation</t>
  </si>
  <si>
    <t>Affectation des sols</t>
  </si>
  <si>
    <t>Affluent</t>
  </si>
  <si>
    <t>Afrique centrale</t>
  </si>
  <si>
    <t>Afrique de l'est</t>
  </si>
  <si>
    <t>Afrique de l'ouest</t>
  </si>
  <si>
    <t>Afrique du nord</t>
  </si>
  <si>
    <t>Afrique du sud</t>
  </si>
  <si>
    <t>Âge</t>
  </si>
  <si>
    <t>Agence pour la protection de l'environnement</t>
  </si>
  <si>
    <t>Agent complexant</t>
  </si>
  <si>
    <t>Agent conservateur</t>
  </si>
  <si>
    <t>Agent de blanchiment</t>
  </si>
  <si>
    <t>Agent d'ignifugation</t>
  </si>
  <si>
    <t>Agent d'imprégnation</t>
  </si>
  <si>
    <t>Agent moussant</t>
  </si>
  <si>
    <t>Agent oxydant</t>
  </si>
  <si>
    <t>Agent pathogène</t>
  </si>
  <si>
    <t>Agent tensio-actif</t>
  </si>
  <si>
    <t>Agent tératogène</t>
  </si>
  <si>
    <t>Agglomération</t>
  </si>
  <si>
    <t>Agglutinant du pétrole</t>
  </si>
  <si>
    <t>Agrément</t>
  </si>
  <si>
    <t>Agressivité de l'eau</t>
  </si>
  <si>
    <t>Agriculture biologique</t>
  </si>
  <si>
    <t>Agriculture et élevage industriel</t>
  </si>
  <si>
    <t>Agriculture intensive</t>
  </si>
  <si>
    <t>Agro-alimentaire</t>
  </si>
  <si>
    <t>Agro-foresterie</t>
  </si>
  <si>
    <t>Agroindustrie</t>
  </si>
  <si>
    <t>Agro-météorologie</t>
  </si>
  <si>
    <t>Agronomie</t>
  </si>
  <si>
    <t>Agrosystème</t>
  </si>
  <si>
    <t>Aide à la décision</t>
  </si>
  <si>
    <t>Aide au développement</t>
  </si>
  <si>
    <t>Aide au financement</t>
  </si>
  <si>
    <t>Aide financière</t>
  </si>
  <si>
    <t>Aide humanitaire</t>
  </si>
  <si>
    <t>Aide internationale</t>
  </si>
  <si>
    <t>Aide publique</t>
  </si>
  <si>
    <t>Aide sociale</t>
  </si>
  <si>
    <t>Air respiratoire</t>
  </si>
  <si>
    <t>Aire de nidification</t>
  </si>
  <si>
    <t>Alarme</t>
  </si>
  <si>
    <t>Alcane</t>
  </si>
  <si>
    <t>Alcool</t>
  </si>
  <si>
    <t>Alcool-carburant</t>
  </si>
  <si>
    <t>Alerte au brouillard de fumée</t>
  </si>
  <si>
    <t>Algicide</t>
  </si>
  <si>
    <t>Algue</t>
  </si>
  <si>
    <t>Algue bleue</t>
  </si>
  <si>
    <t>Alignement</t>
  </si>
  <si>
    <t>Aliment</t>
  </si>
  <si>
    <t>Aliment nouveau</t>
  </si>
  <si>
    <t>Aliment pour animaux</t>
  </si>
  <si>
    <t>Aliment transformé</t>
  </si>
  <si>
    <t>Alimentation des animaux</t>
  </si>
  <si>
    <t>Alimentation en eau</t>
  </si>
  <si>
    <t>Alimentation en eau de la ville</t>
  </si>
  <si>
    <t>Alimentation en gaz</t>
  </si>
  <si>
    <t>Alimentation riche en protéines</t>
  </si>
  <si>
    <t>Aliments de base</t>
  </si>
  <si>
    <t>Allergène</t>
  </si>
  <si>
    <t>Allergie</t>
  </si>
  <si>
    <t>Alliage</t>
  </si>
  <si>
    <t>Allocation</t>
  </si>
  <si>
    <t>Allocation de terrain pour cultivation</t>
  </si>
  <si>
    <t>Alluvion</t>
  </si>
  <si>
    <t>Altération climatique</t>
  </si>
  <si>
    <t>Altération physique</t>
  </si>
  <si>
    <t>Alumine</t>
  </si>
  <si>
    <t>Aluminium</t>
  </si>
  <si>
    <t>Alvéole</t>
  </si>
  <si>
    <t>Amalgame</t>
  </si>
  <si>
    <t>Amélioration de la qualité de l'eau</t>
  </si>
  <si>
    <t>Amélioration de l'efficacité</t>
  </si>
  <si>
    <t>Amélioration de l'image</t>
  </si>
  <si>
    <t>Amélioration des logements</t>
  </si>
  <si>
    <t>Amélioration des plantes</t>
  </si>
  <si>
    <t>Amélioration génétique</t>
  </si>
  <si>
    <t>Aménagement antiérosif</t>
  </si>
  <si>
    <t>Aménagement de la montagne</t>
  </si>
  <si>
    <t>Aménagement de la zone littorale</t>
  </si>
  <si>
    <t>Aménagement des bassins versants</t>
  </si>
  <si>
    <t>Aménagement du paysage</t>
  </si>
  <si>
    <t>Aménagement du temps</t>
  </si>
  <si>
    <t>Aménagement du territoire</t>
  </si>
  <si>
    <t>Aménagement touristique</t>
  </si>
  <si>
    <t>Amende</t>
  </si>
  <si>
    <t>Amendement de loi</t>
  </si>
  <si>
    <t>Amendement du sol</t>
  </si>
  <si>
    <t>Amendement minéral</t>
  </si>
  <si>
    <t>Amérique centrale</t>
  </si>
  <si>
    <t>Amérique du nord</t>
  </si>
  <si>
    <t>Amérique du sud</t>
  </si>
  <si>
    <t>Amiante</t>
  </si>
  <si>
    <t>Amidon</t>
  </si>
  <si>
    <t>Amine</t>
  </si>
  <si>
    <t>Ammoniac</t>
  </si>
  <si>
    <t>Ammonisation</t>
  </si>
  <si>
    <t>Ammonium</t>
  </si>
  <si>
    <t>Anaerobiose</t>
  </si>
  <si>
    <t>Analyse</t>
  </si>
  <si>
    <t>Analyse biologique</t>
  </si>
  <si>
    <t>Analyse chimique</t>
  </si>
  <si>
    <t>Analyse chromatographique</t>
  </si>
  <si>
    <t>Analyse coûts-bénéfices</t>
  </si>
  <si>
    <t>Analyse de bruit</t>
  </si>
  <si>
    <t>Analyse de filière</t>
  </si>
  <si>
    <t>Analyse de l'eau</t>
  </si>
  <si>
    <t>Analyse de l'écosystème</t>
  </si>
  <si>
    <t>Analyse de polluant</t>
  </si>
  <si>
    <t>Analyse de sécurité</t>
  </si>
  <si>
    <t>Analyse de système</t>
  </si>
  <si>
    <t>Analyse des déchets</t>
  </si>
  <si>
    <t>Analyse des données</t>
  </si>
  <si>
    <t>Analyse des effluents gazeux</t>
  </si>
  <si>
    <t>Analyse des résidus</t>
  </si>
  <si>
    <t>Analyse des sols</t>
  </si>
  <si>
    <t>Analyse du consentement à payer</t>
  </si>
  <si>
    <t>Analyse du risque</t>
  </si>
  <si>
    <t>Analyse économique</t>
  </si>
  <si>
    <t>Analyse mathématique</t>
  </si>
  <si>
    <t>Analyse microbiologique</t>
  </si>
  <si>
    <t>Analyse physico-chimique</t>
  </si>
  <si>
    <t>Analyse risques avantages</t>
  </si>
  <si>
    <t>Analyse sociale</t>
  </si>
  <si>
    <t>Analyse statistique</t>
  </si>
  <si>
    <t>Anase</t>
  </si>
  <si>
    <t>Anatidé</t>
  </si>
  <si>
    <t>Anatomie</t>
  </si>
  <si>
    <t>Angiospermes</t>
  </si>
  <si>
    <t>Animal</t>
  </si>
  <si>
    <t>Animal à fourrure</t>
  </si>
  <si>
    <t>Animal à sang chaud</t>
  </si>
  <si>
    <t>Animal aquatique</t>
  </si>
  <si>
    <t>Animal de laboratoire</t>
  </si>
  <si>
    <t>Animal d'élevage</t>
  </si>
  <si>
    <t>Animal destiné à l'abattage</t>
  </si>
  <si>
    <t>Animal domestique (élevage)</t>
  </si>
  <si>
    <t>Animal domestique (tenu en appartement)</t>
  </si>
  <si>
    <t>Animal sauvage</t>
  </si>
  <si>
    <t>Anion</t>
  </si>
  <si>
    <t>Annélides</t>
  </si>
  <si>
    <t>Antagonisme</t>
  </si>
  <si>
    <t>Anthracite</t>
  </si>
  <si>
    <t>Antibiotique</t>
  </si>
  <si>
    <t>Anticipation d'un danger</t>
  </si>
  <si>
    <t>Anticorps</t>
  </si>
  <si>
    <t>Apiculture</t>
  </si>
  <si>
    <t>Appareil d'analyse</t>
  </si>
  <si>
    <t>Appareil de chauffage</t>
  </si>
  <si>
    <t>Appareil de dépoussiérage par voie humide</t>
  </si>
  <si>
    <t>Appareil de protection</t>
  </si>
  <si>
    <t>Appareil de protection respiratoire</t>
  </si>
  <si>
    <t>Appareil de surveillance</t>
  </si>
  <si>
    <t>Appareil électro-ménager</t>
  </si>
  <si>
    <t>Appareil pour sceller</t>
  </si>
  <si>
    <t>Appareil volant</t>
  </si>
  <si>
    <t>Appauvrissement</t>
  </si>
  <si>
    <t>Appauvrissement de la couche d'ozone</t>
  </si>
  <si>
    <t>Appauvrissement de l'ozone stratosphérique</t>
  </si>
  <si>
    <t>Appauvrissement des espèces</t>
  </si>
  <si>
    <t>Appauvrissement direct des ressources</t>
  </si>
  <si>
    <t>Appel</t>
  </si>
  <si>
    <t>Application de loi</t>
  </si>
  <si>
    <t>Application du droit de l'environnement</t>
  </si>
  <si>
    <t>Apport de solution à un problème environnemental</t>
  </si>
  <si>
    <t>Appréciation sectorielle</t>
  </si>
  <si>
    <t>Approbation</t>
  </si>
  <si>
    <t>Approvisionnement alimentaire approprié</t>
  </si>
  <si>
    <t>Approvisionnement en eau des zones rurales</t>
  </si>
  <si>
    <t>Approvisionnement en eau potable</t>
  </si>
  <si>
    <t>Approvisionnement en électricité</t>
  </si>
  <si>
    <t>Approvisionnement en énergie</t>
  </si>
  <si>
    <t>Aquaculture</t>
  </si>
  <si>
    <t>Aqueduc</t>
  </si>
  <si>
    <t>Aquifère</t>
  </si>
  <si>
    <t>Araignée</t>
  </si>
  <si>
    <t>Arboretum</t>
  </si>
  <si>
    <t>Arboriculture</t>
  </si>
  <si>
    <t>Arbre</t>
  </si>
  <si>
    <t>Arbre à feuilles caduques</t>
  </si>
  <si>
    <t>Arbre fruitier</t>
  </si>
  <si>
    <t>Arbuste</t>
  </si>
  <si>
    <t>Archéologie</t>
  </si>
  <si>
    <t>Archipel</t>
  </si>
  <si>
    <t>Architecture</t>
  </si>
  <si>
    <t>Architecture &amp;quot;durable&amp;quot;</t>
  </si>
  <si>
    <t>Architecture rurale</t>
  </si>
  <si>
    <t>Architecture traditionnelle</t>
  </si>
  <si>
    <t>Argent</t>
  </si>
  <si>
    <t>Argile</t>
  </si>
  <si>
    <t>Aridoculture</t>
  </si>
  <si>
    <t>Arme</t>
  </si>
  <si>
    <t>Arme biologique</t>
  </si>
  <si>
    <t>Arme chimique</t>
  </si>
  <si>
    <t>Arme nucléaire</t>
  </si>
  <si>
    <t>Armement</t>
  </si>
  <si>
    <t>Arôme</t>
  </si>
  <si>
    <t>Arrangement transitoire</t>
  </si>
  <si>
    <t>Arrêt (droit)</t>
  </si>
  <si>
    <t>Arrondissement minier</t>
  </si>
  <si>
    <t>Arrosage par aspersion</t>
  </si>
  <si>
    <t>Arsenic</t>
  </si>
  <si>
    <t>Art</t>
  </si>
  <si>
    <t>Arthropodes</t>
  </si>
  <si>
    <t>Articulata</t>
  </si>
  <si>
    <t>Artisanat</t>
  </si>
  <si>
    <t>Artisanat d'art</t>
  </si>
  <si>
    <t>Asbestose</t>
  </si>
  <si>
    <t>Asie centrale</t>
  </si>
  <si>
    <t>Asie de l'ouest</t>
  </si>
  <si>
    <t>Asie du sud</t>
  </si>
  <si>
    <t>Asie du sud-est</t>
  </si>
  <si>
    <t>Aspect global</t>
  </si>
  <si>
    <t>Aspect militaire</t>
  </si>
  <si>
    <t>Aspect socio-politique</t>
  </si>
  <si>
    <t>Aspects écologiques des établissements humains</t>
  </si>
  <si>
    <t>Aspects socio-économiques des établissements humains</t>
  </si>
  <si>
    <t>Assainissement autonome</t>
  </si>
  <si>
    <t>Assainissement collectif</t>
  </si>
  <si>
    <t>Assainissement urbain</t>
  </si>
  <si>
    <t>Assèchement</t>
  </si>
  <si>
    <t>Assimilation</t>
  </si>
  <si>
    <t>Assistance en matière de crédit</t>
  </si>
  <si>
    <t>Association</t>
  </si>
  <si>
    <t>Association de défense de l'environnement</t>
  </si>
  <si>
    <t>Association industrielle</t>
  </si>
  <si>
    <t>Association professionnelle</t>
  </si>
  <si>
    <t>Assurance</t>
  </si>
  <si>
    <t>Assurance de qualité</t>
  </si>
  <si>
    <t>Assurance dommages</t>
  </si>
  <si>
    <t>Assurance pollution</t>
  </si>
  <si>
    <t>Astronautique (science)</t>
  </si>
  <si>
    <t>Astronautique (vols spatiaux)</t>
  </si>
  <si>
    <t>Astronomie</t>
  </si>
  <si>
    <t>Atelier de décapage</t>
  </si>
  <si>
    <t>Atelier de peinture</t>
  </si>
  <si>
    <t>Atlas</t>
  </si>
  <si>
    <t>Atmosphère</t>
  </si>
  <si>
    <t>Atmosphere du sol</t>
  </si>
  <si>
    <t>Atrazine</t>
  </si>
  <si>
    <t>Atteinte à l'environnement</t>
  </si>
  <si>
    <t>Attitude nimby</t>
  </si>
  <si>
    <t>Attribut biologique</t>
  </si>
  <si>
    <t>Attribution</t>
  </si>
  <si>
    <t>Attribution ministérielle</t>
  </si>
  <si>
    <t>Audience officielle</t>
  </si>
  <si>
    <t>Audiovisuel</t>
  </si>
  <si>
    <t>Audit</t>
  </si>
  <si>
    <t>Audit d'environnement</t>
  </si>
  <si>
    <t>Audition (sens)</t>
  </si>
  <si>
    <t>Audition publique</t>
  </si>
  <si>
    <t>Augmentation de la salinité de l'eau</t>
  </si>
  <si>
    <t>Augmentation des coûts</t>
  </si>
  <si>
    <t>Auto caravane</t>
  </si>
  <si>
    <t>Autobus</t>
  </si>
  <si>
    <t>Autoécologie</t>
  </si>
  <si>
    <t>Autoépuration</t>
  </si>
  <si>
    <t>Automobile</t>
  </si>
  <si>
    <t>Autorisation</t>
  </si>
  <si>
    <t>Autorisation administrative</t>
  </si>
  <si>
    <t>Autorisation préalable au transport de déchets  dangereux</t>
  </si>
  <si>
    <t>Autorisation spéciale</t>
  </si>
  <si>
    <t>Autorité de contrôle</t>
  </si>
  <si>
    <t>Autorité fédérale</t>
  </si>
  <si>
    <t>Autorité législative</t>
  </si>
  <si>
    <t>Autorité régionale</t>
  </si>
  <si>
    <t>Autoroute</t>
  </si>
  <si>
    <t>Auto-surveillance</t>
  </si>
  <si>
    <t>Avalanche</t>
  </si>
  <si>
    <t>Avantage de l'utilisateur</t>
  </si>
  <si>
    <t>Aviculture</t>
  </si>
  <si>
    <t>Avifaune</t>
  </si>
  <si>
    <t>Avifaune aquatique</t>
  </si>
  <si>
    <t>Avis</t>
  </si>
  <si>
    <t>Azote</t>
  </si>
  <si>
    <t>Azote organique</t>
  </si>
  <si>
    <t>Bactéricide</t>
  </si>
  <si>
    <t>Bactérie</t>
  </si>
  <si>
    <t>Bactérie fécale</t>
  </si>
  <si>
    <t>Bactériologie</t>
  </si>
  <si>
    <t>Baguage</t>
  </si>
  <si>
    <t>Baie</t>
  </si>
  <si>
    <t>Bail</t>
  </si>
  <si>
    <t>Bains publics</t>
  </si>
  <si>
    <t>Baleine</t>
  </si>
  <si>
    <t>Bande magnétique</t>
  </si>
  <si>
    <t>Bande spectrale</t>
  </si>
  <si>
    <t>Bang supersonique</t>
  </si>
  <si>
    <t>Banlieue</t>
  </si>
  <si>
    <t>Banque de données bibliographiques</t>
  </si>
  <si>
    <t>Banque de gênes</t>
  </si>
  <si>
    <t>Banque d'échantillons de l'environnement</t>
  </si>
  <si>
    <t>Banquise</t>
  </si>
  <si>
    <t>Barrage</t>
  </si>
  <si>
    <t>Barrage de retenue</t>
  </si>
  <si>
    <t>Barrière commerciale</t>
  </si>
  <si>
    <t>Barrière de confinement</t>
  </si>
  <si>
    <t>Baryum</t>
  </si>
  <si>
    <t>Base (chimie)</t>
  </si>
  <si>
    <t>Base de couverture des coûts</t>
  </si>
  <si>
    <t>Base de données</t>
  </si>
  <si>
    <t>Base de données relationnelle</t>
  </si>
  <si>
    <t>Base de loisirs</t>
  </si>
  <si>
    <t>Base légale</t>
  </si>
  <si>
    <t>Basicité</t>
  </si>
  <si>
    <t>Basidiomycète</t>
  </si>
  <si>
    <t>Bassin de décantation</t>
  </si>
  <si>
    <t>Bassin de décantation des résidus</t>
  </si>
  <si>
    <t>Bassin de rétention des crues</t>
  </si>
  <si>
    <t>Bassin de retenue</t>
  </si>
  <si>
    <t>Bassin de sédimentation</t>
  </si>
  <si>
    <t>Bassin d'évacuation des boues de décantation</t>
  </si>
  <si>
    <t>Bassin d'orage</t>
  </si>
  <si>
    <t>Bassin fluvial international</t>
  </si>
  <si>
    <t>Bassin hydrographique</t>
  </si>
  <si>
    <t>Bassin lacustre</t>
  </si>
  <si>
    <t>Bassin versant</t>
  </si>
  <si>
    <t>Bateau</t>
  </si>
  <si>
    <t>Bateau de pêche</t>
  </si>
  <si>
    <t>Bâtiment agricole</t>
  </si>
  <si>
    <t>Bâtiment d'habitation</t>
  </si>
  <si>
    <t>Bâtiment industriel</t>
  </si>
  <si>
    <t>Bâtiment non résidentiel</t>
  </si>
  <si>
    <t>Bâtiment préfabriqué</t>
  </si>
  <si>
    <t>Bâtiment public</t>
  </si>
  <si>
    <t>Batracien</t>
  </si>
  <si>
    <t>Batterie</t>
  </si>
  <si>
    <t>Bénéfice</t>
  </si>
  <si>
    <t>Bénévolat</t>
  </si>
  <si>
    <t>Benthos</t>
  </si>
  <si>
    <t>Benzène</t>
  </si>
  <si>
    <t>Benzopyrène</t>
  </si>
  <si>
    <t>Berge</t>
  </si>
  <si>
    <t>Béryllium</t>
  </si>
  <si>
    <t>Besoin</t>
  </si>
  <si>
    <t>Besoin de logement</t>
  </si>
  <si>
    <t>Besoin en eau</t>
  </si>
  <si>
    <t>Besoin en énergie</t>
  </si>
  <si>
    <t>Besoins alimentaires</t>
  </si>
  <si>
    <t>Besoins alimentaires de base</t>
  </si>
  <si>
    <t>Bétail (bovins)</t>
  </si>
  <si>
    <t>Bétail de boucherie</t>
  </si>
  <si>
    <t>Bête de trait</t>
  </si>
  <si>
    <t>Béton</t>
  </si>
  <si>
    <t>Bibliographie</t>
  </si>
  <si>
    <t>Bibliothèque</t>
  </si>
  <si>
    <t>Bicyclette</t>
  </si>
  <si>
    <t>Bien culturel</t>
  </si>
  <si>
    <t>Bien de consommation</t>
  </si>
  <si>
    <t>Bien non durable</t>
  </si>
  <si>
    <t>Bien-être social</t>
  </si>
  <si>
    <t>Biens</t>
  </si>
  <si>
    <t>Biens durables</t>
  </si>
  <si>
    <t>Biens et services</t>
  </si>
  <si>
    <t>Bilan</t>
  </si>
  <si>
    <t>Bilan des déchets</t>
  </si>
  <si>
    <t>Bilan énergetique</t>
  </si>
  <si>
    <t>Bilan hydrologique</t>
  </si>
  <si>
    <t>Bilan matière</t>
  </si>
  <si>
    <t>Bilan nutritif</t>
  </si>
  <si>
    <t>Bioaccumulation</t>
  </si>
  <si>
    <t>Biocarburant</t>
  </si>
  <si>
    <t>Biocénose</t>
  </si>
  <si>
    <t>Biochimie</t>
  </si>
  <si>
    <t>Biocide</t>
  </si>
  <si>
    <t>Bioclimatologie</t>
  </si>
  <si>
    <t>Biodégradabilité</t>
  </si>
  <si>
    <t>Biodégradation</t>
  </si>
  <si>
    <t>Biodisponibilité</t>
  </si>
  <si>
    <t>Bioéthique</t>
  </si>
  <si>
    <t>Biofiltration</t>
  </si>
  <si>
    <t>Biofiltre</t>
  </si>
  <si>
    <t>Biogaz</t>
  </si>
  <si>
    <t>Biogéochimie</t>
  </si>
  <si>
    <t>Biogéographie</t>
  </si>
  <si>
    <t>Biologie animale</t>
  </si>
  <si>
    <t>Biologie de l'eau douce</t>
  </si>
  <si>
    <t>Biologie du sol</t>
  </si>
  <si>
    <t>Biologie estuarienne</t>
  </si>
  <si>
    <t>Biologie humaine</t>
  </si>
  <si>
    <t>Biologie marine</t>
  </si>
  <si>
    <t>Biologie moléculaire</t>
  </si>
  <si>
    <t>Biologie végétale</t>
  </si>
  <si>
    <t>Bioluminescence</t>
  </si>
  <si>
    <t>Biomarqueur</t>
  </si>
  <si>
    <t>Biomasse</t>
  </si>
  <si>
    <t>Biophysique</t>
  </si>
  <si>
    <t>Bioréacteur</t>
  </si>
  <si>
    <t>Biorythme</t>
  </si>
  <si>
    <t>Biosécurité</t>
  </si>
  <si>
    <t>Biosphère</t>
  </si>
  <si>
    <t>Biosynthèse</t>
  </si>
  <si>
    <t>Biotechnologie</t>
  </si>
  <si>
    <t>Biotechnologie à but médical</t>
  </si>
  <si>
    <t>Biotechnologie agro-alimentaire</t>
  </si>
  <si>
    <t>Biotope</t>
  </si>
  <si>
    <t>Biotope secondaire</t>
  </si>
  <si>
    <t>Biphényles halogénés</t>
  </si>
  <si>
    <t>Bitume</t>
  </si>
  <si>
    <t>Blanchissage</t>
  </si>
  <si>
    <t>Blessure</t>
  </si>
  <si>
    <t>Bocage</t>
  </si>
  <si>
    <t>Bois</t>
  </si>
  <si>
    <t>Bois (matière)</t>
  </si>
  <si>
    <t>Bois à usage de combustible</t>
  </si>
  <si>
    <t>Bois de conifères</t>
  </si>
  <si>
    <t>Bois méditerranéen</t>
  </si>
  <si>
    <t>Boisement</t>
  </si>
  <si>
    <t>Boisson</t>
  </si>
  <si>
    <t>Bombe aérosol</t>
  </si>
  <si>
    <t>Bon de livraison</t>
  </si>
  <si>
    <t>Bonne gestion</t>
  </si>
  <si>
    <t>Bordure</t>
  </si>
  <si>
    <t>Bore</t>
  </si>
  <si>
    <t>Botanique</t>
  </si>
  <si>
    <t>Bouchon</t>
  </si>
  <si>
    <t>Boue</t>
  </si>
  <si>
    <t>Boue activée</t>
  </si>
  <si>
    <t>Boue de curage</t>
  </si>
  <si>
    <t>Boue d'égout</t>
  </si>
  <si>
    <t>Boue deshydratée</t>
  </si>
  <si>
    <t>Boue digérée</t>
  </si>
  <si>
    <t>Boue industrielle</t>
  </si>
  <si>
    <t>Boue résiduaire</t>
  </si>
  <si>
    <t>Boues résiduaires de traitement des eaux</t>
  </si>
  <si>
    <t>Bourse de déchets</t>
  </si>
  <si>
    <t>Bourse des valeurs environnementales</t>
  </si>
  <si>
    <t>Bourse d'informations</t>
  </si>
  <si>
    <t>Bouture</t>
  </si>
  <si>
    <t>Bovidé</t>
  </si>
  <si>
    <t>Bovins</t>
  </si>
  <si>
    <t>Braconnage</t>
  </si>
  <si>
    <t>Bradyséisme</t>
  </si>
  <si>
    <t>Branches du droit</t>
  </si>
  <si>
    <t>Brassage convectif</t>
  </si>
  <si>
    <t>Brevet d'invention</t>
  </si>
  <si>
    <t>Brique</t>
  </si>
  <si>
    <t>Brome</t>
  </si>
  <si>
    <t>Brouillard</t>
  </si>
  <si>
    <t>Broussaille</t>
  </si>
  <si>
    <t>Broyage</t>
  </si>
  <si>
    <t>Broyeur</t>
  </si>
  <si>
    <t>Bruit</t>
  </si>
  <si>
    <t>Bruit aérien</t>
  </si>
  <si>
    <t>Bruit aérodynamique</t>
  </si>
  <si>
    <t>Bruit ambiant</t>
  </si>
  <si>
    <t>Bruit continu</t>
  </si>
  <si>
    <t>Bruit d'aéronefs</t>
  </si>
  <si>
    <t>Bruit de construction</t>
  </si>
  <si>
    <t>Bruit de fond</t>
  </si>
  <si>
    <t>Bruit de roulement</t>
  </si>
  <si>
    <t>Bruit de structure</t>
  </si>
  <si>
    <t>Bruit de voisinage</t>
  </si>
  <si>
    <t>Bruit des activités commerciales</t>
  </si>
  <si>
    <t>Bruit domestique</t>
  </si>
  <si>
    <t>Bruit dû aux animaux</t>
  </si>
  <si>
    <t>Bruit et santé</t>
  </si>
  <si>
    <t>Bruit impulsif</t>
  </si>
  <si>
    <t>Bruit industriel</t>
  </si>
  <si>
    <t>Bruit intermittent</t>
  </si>
  <si>
    <t>Bruit routier</t>
  </si>
  <si>
    <t>Bruit urbain</t>
  </si>
  <si>
    <t>Brûlage à la torche</t>
  </si>
  <si>
    <t>Brûlage contrôlé</t>
  </si>
  <si>
    <t>Brume</t>
  </si>
  <si>
    <t>Bryophites</t>
  </si>
  <si>
    <t>Budget</t>
  </si>
  <si>
    <t>Budget communautaire</t>
  </si>
  <si>
    <t>Budget d'encouragement</t>
  </si>
  <si>
    <t>Budget temps</t>
  </si>
  <si>
    <t>Bulletin d'expédition</t>
  </si>
  <si>
    <t>Bureau</t>
  </si>
  <si>
    <t>Bureaucratisation</t>
  </si>
  <si>
    <t>Câble</t>
  </si>
  <si>
    <t>Cadastre</t>
  </si>
  <si>
    <t>Cadmium</t>
  </si>
  <si>
    <t>Cadre de vie</t>
  </si>
  <si>
    <t>Cadre social</t>
  </si>
  <si>
    <t>Cafards</t>
  </si>
  <si>
    <t>Cahier de documentation</t>
  </si>
  <si>
    <t>Calamité agricole</t>
  </si>
  <si>
    <t>Calanque</t>
  </si>
  <si>
    <t>Calcaire</t>
  </si>
  <si>
    <t>Calcium</t>
  </si>
  <si>
    <t>Calcul</t>
  </si>
  <si>
    <t>Calcul de dispersion</t>
  </si>
  <si>
    <t>Calcul de sensibilité</t>
  </si>
  <si>
    <t>Calibrage</t>
  </si>
  <si>
    <t>Camion</t>
  </si>
  <si>
    <t>Camion citerne</t>
  </si>
  <si>
    <t>Camp de vacances</t>
  </si>
  <si>
    <t>Campement</t>
  </si>
  <si>
    <t>Camping</t>
  </si>
  <si>
    <t>Canal</t>
  </si>
  <si>
    <t>Canal d'irrigation</t>
  </si>
  <si>
    <t>Canalisation</t>
  </si>
  <si>
    <t>Canalisation de fleuves ou de rivières</t>
  </si>
  <si>
    <t>Cancer</t>
  </si>
  <si>
    <t>Cancérigène</t>
  </si>
  <si>
    <t>Cancérigènicité</t>
  </si>
  <si>
    <t>Canidé</t>
  </si>
  <si>
    <t>Caoutchouc</t>
  </si>
  <si>
    <t>Cap</t>
  </si>
  <si>
    <t>Capacité d'assimilation des déchets</t>
  </si>
  <si>
    <t>Capacité de charge</t>
  </si>
  <si>
    <t>Capacité de charge du sol</t>
  </si>
  <si>
    <t>Capacité de charge écologique</t>
  </si>
  <si>
    <t>Capacité du sol</t>
  </si>
  <si>
    <t>Captage</t>
  </si>
  <si>
    <t>Captage d'eau</t>
  </si>
  <si>
    <t>Capteur</t>
  </si>
  <si>
    <t>Capteur solaire</t>
  </si>
  <si>
    <t>Capture accessoire</t>
  </si>
  <si>
    <t>Caractéristiques des matériaux</t>
  </si>
  <si>
    <t>Carbonate</t>
  </si>
  <si>
    <t>Carbone</t>
  </si>
  <si>
    <t>Carbone organique</t>
  </si>
  <si>
    <t>Carbone organique dissous</t>
  </si>
  <si>
    <t>Carbone organique total</t>
  </si>
  <si>
    <t>Carburant</t>
  </si>
  <si>
    <t>Carburant non polluant</t>
  </si>
  <si>
    <t>Carburant sans plomb</t>
  </si>
  <si>
    <t>Carcasse de véhicule</t>
  </si>
  <si>
    <t>Cardiologie</t>
  </si>
  <si>
    <t>Carnivores</t>
  </si>
  <si>
    <t>Carré</t>
  </si>
  <si>
    <t>Carrière</t>
  </si>
  <si>
    <t>Carrière souterraine</t>
  </si>
  <si>
    <t>Carte</t>
  </si>
  <si>
    <t>Carte pédologique</t>
  </si>
  <si>
    <t>Cartogramme</t>
  </si>
  <si>
    <t>Cartographie</t>
  </si>
  <si>
    <t>Cartographie (cartes)</t>
  </si>
  <si>
    <t>Cartographie de lichens</t>
  </si>
  <si>
    <t>Cascade</t>
  </si>
  <si>
    <t>Catalyse</t>
  </si>
  <si>
    <t>Catalyseur</t>
  </si>
  <si>
    <t>Catamaran</t>
  </si>
  <si>
    <t>Catastrophe</t>
  </si>
  <si>
    <t>Catastrophe anthropogénique</t>
  </si>
  <si>
    <t>Catastrophe écologique</t>
  </si>
  <si>
    <t>Catastrophe hydrologique</t>
  </si>
  <si>
    <t>Catastrophe météorologique</t>
  </si>
  <si>
    <t>Catastrophe naturelle</t>
  </si>
  <si>
    <t>Catégorie de déchets</t>
  </si>
  <si>
    <t>Catégorie d'espèce menacée d'extinction</t>
  </si>
  <si>
    <t>Cation</t>
  </si>
  <si>
    <t>Cavité creusée</t>
  </si>
  <si>
    <t>Cd rom</t>
  </si>
  <si>
    <t>Ce écolabel</t>
  </si>
  <si>
    <t>Ceinture verte</t>
  </si>
  <si>
    <t>Cellule (biologie)</t>
  </si>
  <si>
    <t>Cellule (énergie)</t>
  </si>
  <si>
    <t>Cellule solaire</t>
  </si>
  <si>
    <t>Cellulose</t>
  </si>
  <si>
    <t>Cendre</t>
  </si>
  <si>
    <t>Cendre volante</t>
  </si>
  <si>
    <t>Centrale à charbon</t>
  </si>
  <si>
    <t>Centrale à co-génération</t>
  </si>
  <si>
    <t>Centrale à énergie éolienne</t>
  </si>
  <si>
    <t>Centrale à gaz</t>
  </si>
  <si>
    <t>Centrale de chauffage</t>
  </si>
  <si>
    <t>Centrale de chauffage à distance</t>
  </si>
  <si>
    <t>Centrale de chauffage alimentée par des déchets</t>
  </si>
  <si>
    <t>Centrale électrique</t>
  </si>
  <si>
    <t>Centrale électrique alimentée par des déchets</t>
  </si>
  <si>
    <t>Centrale fonctionnant en cogénération</t>
  </si>
  <si>
    <t>Centrale hydroélectrique</t>
  </si>
  <si>
    <t>Centrale marémotrice</t>
  </si>
  <si>
    <t>Centrale mixte</t>
  </si>
  <si>
    <t>Centrale nucléaire</t>
  </si>
  <si>
    <t>Centrale solaire</t>
  </si>
  <si>
    <t>Centrale thermique</t>
  </si>
  <si>
    <t>Centralisation</t>
  </si>
  <si>
    <t>Centre commercial</t>
  </si>
  <si>
    <t>Centre de documentation</t>
  </si>
  <si>
    <t>Centre de données</t>
  </si>
  <si>
    <t>Centre de formation</t>
  </si>
  <si>
    <t>Centre de recherche</t>
  </si>
  <si>
    <t>Centre de recherche nucléaire</t>
  </si>
  <si>
    <t>Centre de télédétection</t>
  </si>
  <si>
    <t>Centre de tri (déchets)</t>
  </si>
  <si>
    <t>Centre d'information</t>
  </si>
  <si>
    <t>Centre historique</t>
  </si>
  <si>
    <t>Centre ville</t>
  </si>
  <si>
    <t>Centrifugation</t>
  </si>
  <si>
    <t>Céphalopode</t>
  </si>
  <si>
    <t>Céramique</t>
  </si>
  <si>
    <t>Céréale</t>
  </si>
  <si>
    <t>Cerf</t>
  </si>
  <si>
    <t>Certification</t>
  </si>
  <si>
    <t>Certification qualité</t>
  </si>
  <si>
    <t>Césium</t>
  </si>
  <si>
    <t>Cétacé</t>
  </si>
  <si>
    <t>Chablis</t>
  </si>
  <si>
    <t>Chaîne alimentaire</t>
  </si>
  <si>
    <t>Chaîne pétrolière</t>
  </si>
  <si>
    <t>Chaleur</t>
  </si>
  <si>
    <t>Chaleur résiduelle</t>
  </si>
  <si>
    <t>Chambre de combustion à petite échelle</t>
  </si>
  <si>
    <t>Chambre des députés</t>
  </si>
  <si>
    <t>Champ</t>
  </si>
  <si>
    <t>Champ d'épandage</t>
  </si>
  <si>
    <t>Champ d'un écoulement</t>
  </si>
  <si>
    <t>Champignon (comestible)</t>
  </si>
  <si>
    <t>Champignon (ordre végétal)</t>
  </si>
  <si>
    <t>Changement climatique</t>
  </si>
  <si>
    <t>Changement climatique induit  par l'action humaine</t>
  </si>
  <si>
    <t>Changement de valeur</t>
  </si>
  <si>
    <t>Changement écologique</t>
  </si>
  <si>
    <t>Changement technologique</t>
  </si>
  <si>
    <t>Chantier</t>
  </si>
  <si>
    <t>Charbon</t>
  </si>
  <si>
    <t>Charbon actif</t>
  </si>
  <si>
    <t>Charbon de bois</t>
  </si>
  <si>
    <t>Charge continue</t>
  </si>
  <si>
    <t>Charge critique</t>
  </si>
  <si>
    <t>Charge de polluant</t>
  </si>
  <si>
    <t>Charge d'immission</t>
  </si>
  <si>
    <t>Charge en chaleur résiduelle (qui pèse sur l'environnement)</t>
  </si>
  <si>
    <t>Charge en eaux usées</t>
  </si>
  <si>
    <t>Charge en métaux lourds</t>
  </si>
  <si>
    <t>Charge en sel</t>
  </si>
  <si>
    <t>Charge impulsionnelle</t>
  </si>
  <si>
    <t>Charge négociable</t>
  </si>
  <si>
    <t>Charge polluante</t>
  </si>
  <si>
    <t>Charte</t>
  </si>
  <si>
    <t>Charte d'écologie urbaine</t>
  </si>
  <si>
    <t>Charte nautique</t>
  </si>
  <si>
    <t>Chasse</t>
  </si>
  <si>
    <t>Châtaignier</t>
  </si>
  <si>
    <t>Chaudière</t>
  </si>
  <si>
    <t>Chauffage</t>
  </si>
  <si>
    <t>Chauffage à distance</t>
  </si>
  <si>
    <t>Chauffage solaire</t>
  </si>
  <si>
    <t>Chauffage urbain</t>
  </si>
  <si>
    <t>Chaux</t>
  </si>
  <si>
    <t>Chélicère</t>
  </si>
  <si>
    <t>Cheminée</t>
  </si>
  <si>
    <t>Cheminées, conduites et gaines d'évacuation</t>
  </si>
  <si>
    <t>Cheminement des pesticides</t>
  </si>
  <si>
    <t>Cheminement des polluants</t>
  </si>
  <si>
    <t>Chêne</t>
  </si>
  <si>
    <t>Cheptel sur pied</t>
  </si>
  <si>
    <t>Cheval</t>
  </si>
  <si>
    <t>Chien</t>
  </si>
  <si>
    <t>Chiffon</t>
  </si>
  <si>
    <t>Chimie analytique</t>
  </si>
  <si>
    <t>Chimie de l'atmosphère</t>
  </si>
  <si>
    <t>Chimie des sols</t>
  </si>
  <si>
    <t>Chimie environnementale</t>
  </si>
  <si>
    <t>Chimie générale</t>
  </si>
  <si>
    <t>Chimie minérale</t>
  </si>
  <si>
    <t>Chimie organique</t>
  </si>
  <si>
    <t>Chimisorption</t>
  </si>
  <si>
    <t>Chiroptère</t>
  </si>
  <si>
    <t>Chloration</t>
  </si>
  <si>
    <t>Chlore</t>
  </si>
  <si>
    <t>Chloroéthylène</t>
  </si>
  <si>
    <t>Chlorofluorocarbure</t>
  </si>
  <si>
    <t>Chlorophénol</t>
  </si>
  <si>
    <t>Chlorophylle</t>
  </si>
  <si>
    <t>Chlorose</t>
  </si>
  <si>
    <t>Chlorure</t>
  </si>
  <si>
    <t>Choix du site</t>
  </si>
  <si>
    <t>Chômage</t>
  </si>
  <si>
    <t>Chordés</t>
  </si>
  <si>
    <t>Chorologie</t>
  </si>
  <si>
    <t>Chromatographie</t>
  </si>
  <si>
    <t>Chromatographie en phase gazeuse</t>
  </si>
  <si>
    <t>Chrome</t>
  </si>
  <si>
    <t>Chrysophycées</t>
  </si>
  <si>
    <t>Ciment</t>
  </si>
  <si>
    <t>Ciment amianté</t>
  </si>
  <si>
    <t>Cimenterie</t>
  </si>
  <si>
    <t>Cinétique des réactions</t>
  </si>
  <si>
    <t>Circuit touristique</t>
  </si>
  <si>
    <t>Circulaire</t>
  </si>
  <si>
    <t>Circulation atmosphérique</t>
  </si>
  <si>
    <t>Circulation maritime</t>
  </si>
  <si>
    <t>Circulation océanique</t>
  </si>
  <si>
    <t>Cirque géographique</t>
  </si>
  <si>
    <t>Citoyen</t>
  </si>
  <si>
    <t>Classification contrôlée d'images</t>
  </si>
  <si>
    <t>Classification de l'usage des sols</t>
  </si>
  <si>
    <t>Classification des déchets</t>
  </si>
  <si>
    <t>Classification d'image</t>
  </si>
  <si>
    <t>Classification d'images non-contrôlée</t>
  </si>
  <si>
    <t>Climat continental</t>
  </si>
  <si>
    <t>Climat désertique</t>
  </si>
  <si>
    <t>Climat équatorial</t>
  </si>
  <si>
    <t>Climat méditerranéen</t>
  </si>
  <si>
    <t>Climat montagnard</t>
  </si>
  <si>
    <t>Climat océanique</t>
  </si>
  <si>
    <t>Climat tempéré</t>
  </si>
  <si>
    <t>Climat tropical</t>
  </si>
  <si>
    <t>Climatisation</t>
  </si>
  <si>
    <t>Climatologie</t>
  </si>
  <si>
    <t>Climax</t>
  </si>
  <si>
    <t>Clonage</t>
  </si>
  <si>
    <t>Coagulation</t>
  </si>
  <si>
    <t>Cobalt</t>
  </si>
  <si>
    <t>Code administratif</t>
  </si>
  <si>
    <t>Code de mise en pratique</t>
  </si>
  <si>
    <t>Codification</t>
  </si>
  <si>
    <t>Codification omci</t>
  </si>
  <si>
    <t>Coelentérés</t>
  </si>
  <si>
    <t>Cogénération</t>
  </si>
  <si>
    <t>Co-incinération</t>
  </si>
  <si>
    <t>Coke</t>
  </si>
  <si>
    <t>Coléoptère</t>
  </si>
  <si>
    <t>Colibacilles</t>
  </si>
  <si>
    <t>Colle</t>
  </si>
  <si>
    <t>Collecte des déchets</t>
  </si>
  <si>
    <t>Collecte des déchets à la source</t>
  </si>
  <si>
    <t>Collecte sélective des déchets</t>
  </si>
  <si>
    <t>Collection de documents divers</t>
  </si>
  <si>
    <t>Collectivité locale</t>
  </si>
  <si>
    <t>Collectivité territoriale</t>
  </si>
  <si>
    <t>Colline</t>
  </si>
  <si>
    <t>Colloïde</t>
  </si>
  <si>
    <t>Colonisation</t>
  </si>
  <si>
    <t>Colorant alimentaire</t>
  </si>
  <si>
    <t>Colorimétrie</t>
  </si>
  <si>
    <t>Colubridés</t>
  </si>
  <si>
    <t>Colza</t>
  </si>
  <si>
    <t>Combustibilité</t>
  </si>
  <si>
    <t>Combustible</t>
  </si>
  <si>
    <t>Combustible fossile</t>
  </si>
  <si>
    <t>Combustible nucléaire</t>
  </si>
  <si>
    <t>Comité scientifique</t>
  </si>
  <si>
    <t>Commande ultérieure</t>
  </si>
  <si>
    <t>Commerce</t>
  </si>
  <si>
    <t>Commerce (économique)</t>
  </si>
  <si>
    <t>Commerce d'alimentation</t>
  </si>
  <si>
    <t>Commerce de détail</t>
  </si>
  <si>
    <t>Commerce de gros</t>
  </si>
  <si>
    <t>Commerce des animaux</t>
  </si>
  <si>
    <t>Commerce des plantes</t>
  </si>
  <si>
    <t>Commerce est-ouest</t>
  </si>
  <si>
    <t>Commerce et consommation</t>
  </si>
  <si>
    <t>Commerce extérieur</t>
  </si>
  <si>
    <t>Commerce intérieur</t>
  </si>
  <si>
    <t>Commerce international</t>
  </si>
  <si>
    <t>Commercial</t>
  </si>
  <si>
    <t>Commercialisation</t>
  </si>
  <si>
    <t>Commission européenne</t>
  </si>
  <si>
    <t>Communauté écologique</t>
  </si>
  <si>
    <t>Communauté urbaine</t>
  </si>
  <si>
    <t>Communauté végétale</t>
  </si>
  <si>
    <t>Commune</t>
  </si>
  <si>
    <t>Communication</t>
  </si>
  <si>
    <t>Communication en matière de risques</t>
  </si>
  <si>
    <t>Communiqué de presse</t>
  </si>
  <si>
    <t>Compactage</t>
  </si>
  <si>
    <t>Compactage du sol</t>
  </si>
  <si>
    <t>Compagnie d'assurance</t>
  </si>
  <si>
    <t>Compagnie d'électricité</t>
  </si>
  <si>
    <t>Compagnie du gaz</t>
  </si>
  <si>
    <t>Comparaison</t>
  </si>
  <si>
    <t>Comparaison de produits</t>
  </si>
  <si>
    <t>Comparaison de systèmes</t>
  </si>
  <si>
    <t>Comparaison interlaboratoire</t>
  </si>
  <si>
    <t>Comparaison internationale</t>
  </si>
  <si>
    <t>Compensation</t>
  </si>
  <si>
    <t>Compétence administrative</t>
  </si>
  <si>
    <t>Compétence législative</t>
  </si>
  <si>
    <t>Compétition (biologique)</t>
  </si>
  <si>
    <t>Compétitivité</t>
  </si>
  <si>
    <t>Compétitivité internationale</t>
  </si>
  <si>
    <t>Complexation</t>
  </si>
  <si>
    <t>Comportement</t>
  </si>
  <si>
    <t>Comportement animal</t>
  </si>
  <si>
    <t>Comportement collectif</t>
  </si>
  <si>
    <t>Comportement des consommateurs</t>
  </si>
  <si>
    <t>Comportement des polluants</t>
  </si>
  <si>
    <t>Comportement écologique</t>
  </si>
  <si>
    <t>Comportement social</t>
  </si>
  <si>
    <t>Composant atmosphérique</t>
  </si>
  <si>
    <t>Composant préfabriqué (bâtiment)</t>
  </si>
  <si>
    <t>Composante valorisée d'un écosystème</t>
  </si>
  <si>
    <t>Composé alicyclic</t>
  </si>
  <si>
    <t>Composé alkylique</t>
  </si>
  <si>
    <t>Composé aromatique</t>
  </si>
  <si>
    <t>Composé de plomb</t>
  </si>
  <si>
    <t>Composé halogéné</t>
  </si>
  <si>
    <t>Composé nitré</t>
  </si>
  <si>
    <t>Composé organique azoté</t>
  </si>
  <si>
    <t>Composé organique oxygéné</t>
  </si>
  <si>
    <t>Composé organique volatil</t>
  </si>
  <si>
    <t>Composé organochloré</t>
  </si>
  <si>
    <t>Composé organohalogèné</t>
  </si>
  <si>
    <t>Composé organométallique</t>
  </si>
  <si>
    <t>Composé organophosphoré</t>
  </si>
  <si>
    <t>Composé organosilicié</t>
  </si>
  <si>
    <t>Composé organostannique</t>
  </si>
  <si>
    <t>Composé organosulfuré</t>
  </si>
  <si>
    <t>Composé tensio-actif</t>
  </si>
  <si>
    <t>Composés aliphatiques</t>
  </si>
  <si>
    <t>Composition chimique</t>
  </si>
  <si>
    <t>Composition de couleurs</t>
  </si>
  <si>
    <t>Composition de la population</t>
  </si>
  <si>
    <t>Composition de l'atmosphère</t>
  </si>
  <si>
    <t>Composition des carburants</t>
  </si>
  <si>
    <t>Composition des déchets</t>
  </si>
  <si>
    <t>Compost</t>
  </si>
  <si>
    <t>Compost de boues résiduaires</t>
  </si>
  <si>
    <t>Compostage</t>
  </si>
  <si>
    <t>Compostage par le producteur</t>
  </si>
  <si>
    <t>Composts et engrais naturels</t>
  </si>
  <si>
    <t>Compresseur</t>
  </si>
  <si>
    <t>Compression</t>
  </si>
  <si>
    <t>Comptabilité</t>
  </si>
  <si>
    <t>Comptabilité de l'environnement</t>
  </si>
  <si>
    <t>Comptabilité écologique</t>
  </si>
  <si>
    <t>Comptabilité environnementale nationale</t>
  </si>
  <si>
    <t>Comptabilité nationale</t>
  </si>
  <si>
    <t>Compte satellite</t>
  </si>
  <si>
    <t>Concentration (procédé)</t>
  </si>
  <si>
    <t>Concentration (valeur)</t>
  </si>
  <si>
    <t>Concentration de peuplement</t>
  </si>
  <si>
    <t>Concentration de polluant</t>
  </si>
  <si>
    <t>Concentration économique</t>
  </si>
  <si>
    <t>Concentration en soufre</t>
  </si>
  <si>
    <t>Concentration maximale admissible</t>
  </si>
  <si>
    <t>Concentration maximale d'immission</t>
  </si>
  <si>
    <t>Concentration urbaine</t>
  </si>
  <si>
    <t>Concept d'environnement</t>
  </si>
  <si>
    <t>Concession</t>
  </si>
  <si>
    <t>Conchyliculture</t>
  </si>
  <si>
    <t>Concours</t>
  </si>
  <si>
    <t>Concurrence</t>
  </si>
  <si>
    <t>Condensation</t>
  </si>
  <si>
    <t>Condition de travail</t>
  </si>
  <si>
    <t>Condition de vie</t>
  </si>
  <si>
    <t>Condition physique</t>
  </si>
  <si>
    <t>Condition sociale</t>
  </si>
  <si>
    <t>Conditionnement</t>
  </si>
  <si>
    <t>Conditions météorologiques</t>
  </si>
  <si>
    <t>Conductivité</t>
  </si>
  <si>
    <t>Conduite sociale</t>
  </si>
  <si>
    <t>Conférence des nations-unies sur l'environnement et le développement</t>
  </si>
  <si>
    <t>Conflit</t>
  </si>
  <si>
    <t>Conflit d'intérêts</t>
  </si>
  <si>
    <t>Conflit d'objectifs</t>
  </si>
  <si>
    <t>Conflit international</t>
  </si>
  <si>
    <t>Confort acoustique</t>
  </si>
  <si>
    <t>Congé social</t>
  </si>
  <si>
    <t>Congrès</t>
  </si>
  <si>
    <t>Conifère</t>
  </si>
  <si>
    <t>Conjoncture</t>
  </si>
  <si>
    <t>Connaissances indigènes</t>
  </si>
  <si>
    <t>Conscience civique</t>
  </si>
  <si>
    <t>Conscience environnementale</t>
  </si>
  <si>
    <t>Conseil de l'union européenne</t>
  </si>
  <si>
    <t>Conseil des ministres de la ce</t>
  </si>
  <si>
    <t>Conseil en matière de protection de l'environnement</t>
  </si>
  <si>
    <t>Consentement à payer</t>
  </si>
  <si>
    <t>Consentement suite à information</t>
  </si>
  <si>
    <t>Conséquence sur l'environnement</t>
  </si>
  <si>
    <t>Conservation</t>
  </si>
  <si>
    <t>Conservation de la preuve</t>
  </si>
  <si>
    <t>Conservation de l'eau</t>
  </si>
  <si>
    <t>Conservation des aliments</t>
  </si>
  <si>
    <t>Conservation des espèces</t>
  </si>
  <si>
    <t>Conservation des monuments</t>
  </si>
  <si>
    <t>Conservation des ressources</t>
  </si>
  <si>
    <t>Conservation des ressources naturelles</t>
  </si>
  <si>
    <t>Conservation du bois</t>
  </si>
  <si>
    <t>Conservation du sol</t>
  </si>
  <si>
    <t>Conserve</t>
  </si>
  <si>
    <t>Consommation</t>
  </si>
  <si>
    <t>Consommation de combustible</t>
  </si>
  <si>
    <t>Consommation de matières premières</t>
  </si>
  <si>
    <t>Consommation de pétrole</t>
  </si>
  <si>
    <t>Consommation d'eau</t>
  </si>
  <si>
    <t>Consommation d'électricité</t>
  </si>
  <si>
    <t>Consommation d'énergie</t>
  </si>
  <si>
    <t>Consommation d'énergie primaire</t>
  </si>
  <si>
    <t>Consommation du paysage</t>
  </si>
  <si>
    <t>Construction &amp;quot;verte&amp;quot;</t>
  </si>
  <si>
    <t>Construction avec des matériaux recyclés</t>
  </si>
  <si>
    <t>Construction d'axes de circulation</t>
  </si>
  <si>
    <t>Construction d'installations</t>
  </si>
  <si>
    <t>Construction hydraulique</t>
  </si>
  <si>
    <t>Construction navale</t>
  </si>
  <si>
    <t>Construction routière</t>
  </si>
  <si>
    <t>Consultation</t>
  </si>
  <si>
    <t>Contaminant alimentaire</t>
  </si>
  <si>
    <t>Contamination</t>
  </si>
  <si>
    <t>Contamination biologique</t>
  </si>
  <si>
    <t>Contamination chimique</t>
  </si>
  <si>
    <t>Contamination des denrées alimentaires</t>
  </si>
  <si>
    <t>Contamination du fourrage</t>
  </si>
  <si>
    <t>Contamination par le cadmium</t>
  </si>
  <si>
    <t>Contamination par le mercure</t>
  </si>
  <si>
    <t>Contamination par le plomb</t>
  </si>
  <si>
    <t>Contamination radioactive</t>
  </si>
  <si>
    <t>Conteneur</t>
  </si>
  <si>
    <t>Conteneur réutilisable</t>
  </si>
  <si>
    <t>Contentieux</t>
  </si>
  <si>
    <t>Continent</t>
  </si>
  <si>
    <t>Contrat</t>
  </si>
  <si>
    <t>Contrat de gestion</t>
  </si>
  <si>
    <t>Contribution financière</t>
  </si>
  <si>
    <t>Contrôle de l' eau douce</t>
  </si>
  <si>
    <t>Contrôle de la circulation</t>
  </si>
  <si>
    <t>Contrôle de la qualité de l'air</t>
  </si>
  <si>
    <t>Contrôle de l'environnement</t>
  </si>
  <si>
    <t>Contrôle des émissions</t>
  </si>
  <si>
    <t>Contrôle des immisions</t>
  </si>
  <si>
    <t>Contrôle des matériaux</t>
  </si>
  <si>
    <t>Contrôle d'état</t>
  </si>
  <si>
    <t>Contrôle intégré de la pollution</t>
  </si>
  <si>
    <t>Contrôle qualité</t>
  </si>
  <si>
    <t>Contrôle réglementaire</t>
  </si>
  <si>
    <t>Controverse scientifique</t>
  </si>
  <si>
    <t>Conurbation</t>
  </si>
  <si>
    <t>Convention</t>
  </si>
  <si>
    <t>Convention bilaterale</t>
  </si>
  <si>
    <t>Convention internationale</t>
  </si>
  <si>
    <t>Convention régionale</t>
  </si>
  <si>
    <t>Conversion de l'armement</t>
  </si>
  <si>
    <t>Conversion de l'énergie</t>
  </si>
  <si>
    <t>Coopération</t>
  </si>
  <si>
    <t>Coopération au développement</t>
  </si>
  <si>
    <t>Coopération internationale</t>
  </si>
  <si>
    <t>Coopération scientifique</t>
  </si>
  <si>
    <t>Coordination</t>
  </si>
  <si>
    <t>Coquillage</t>
  </si>
  <si>
    <t>Corail</t>
  </si>
  <si>
    <t>Cordon littoral</t>
  </si>
  <si>
    <t>Corps de tutelle</t>
  </si>
  <si>
    <t>Corps exécutif</t>
  </si>
  <si>
    <t>Corps humain</t>
  </si>
  <si>
    <t>Corps législatif</t>
  </si>
  <si>
    <t>Correction atmosphérique</t>
  </si>
  <si>
    <t>Correction géométrique</t>
  </si>
  <si>
    <t>Corridor urbain</t>
  </si>
  <si>
    <t>Corrosion</t>
  </si>
  <si>
    <t>Corrosivité chimique</t>
  </si>
  <si>
    <t>Côte</t>
  </si>
  <si>
    <t>Coton</t>
  </si>
  <si>
    <t>Couche de couverture (décharge)</t>
  </si>
  <si>
    <t>Couche d'inversion</t>
  </si>
  <si>
    <t>Couche d'ozone</t>
  </si>
  <si>
    <t>Couche limite</t>
  </si>
  <si>
    <t>Couches de sol</t>
  </si>
  <si>
    <t>Coulée verte</t>
  </si>
  <si>
    <t>Couleur</t>
  </si>
  <si>
    <t>Couloir d'animaux</t>
  </si>
  <si>
    <t>Cour administrative</t>
  </si>
  <si>
    <t>Cour de justice européenne</t>
  </si>
  <si>
    <t>Courant océanique</t>
  </si>
  <si>
    <t>Courbe de progression</t>
  </si>
  <si>
    <t>Courrier électronique</t>
  </si>
  <si>
    <t>Cours d'eau</t>
  </si>
  <si>
    <t>Cours d'eau international</t>
  </si>
  <si>
    <t>Coût</t>
  </si>
  <si>
    <t>Coût de la pollution</t>
  </si>
  <si>
    <t>Coût de la production électrique</t>
  </si>
  <si>
    <t>Coût de l'eau</t>
  </si>
  <si>
    <t>Coût de l'élimination des déchets</t>
  </si>
  <si>
    <t>Coût de protection de l'environnement</t>
  </si>
  <si>
    <t>Coût environnemental</t>
  </si>
  <si>
    <t>Coût social</t>
  </si>
  <si>
    <t>Couvaison</t>
  </si>
  <si>
    <t>Couverture</t>
  </si>
  <si>
    <t>Couverture d'assurance</t>
  </si>
  <si>
    <t>Couverture spatiale (sig)</t>
  </si>
  <si>
    <t>Couverture végétale</t>
  </si>
  <si>
    <t>Craie</t>
  </si>
  <si>
    <t>Crapaud</t>
  </si>
  <si>
    <t>Crédit</t>
  </si>
  <si>
    <t>Creusement</t>
  </si>
  <si>
    <t>Crime</t>
  </si>
  <si>
    <t>Crime écologique</t>
  </si>
  <si>
    <t>Criminalité</t>
  </si>
  <si>
    <t>Crique</t>
  </si>
  <si>
    <t>Criquet pélérin</t>
  </si>
  <si>
    <t>Cristallisation</t>
  </si>
  <si>
    <t>Cristallographie</t>
  </si>
  <si>
    <t>Critère de pollution</t>
  </si>
  <si>
    <t>Critère de qualité de l'environnement</t>
  </si>
  <si>
    <t>Critère de surveillance</t>
  </si>
  <si>
    <t>Critère d'efficacité</t>
  </si>
  <si>
    <t>Critère d'évaluation</t>
  </si>
  <si>
    <t>Critère d'évaluation environnementale</t>
  </si>
  <si>
    <t>Critères et données de surveillance</t>
  </si>
  <si>
    <t>Critique littéraire</t>
  </si>
  <si>
    <t>Crocodile</t>
  </si>
  <si>
    <t>Croisement génétique des plantes</t>
  </si>
  <si>
    <t>Croisière</t>
  </si>
  <si>
    <t>Croisière de plaisance</t>
  </si>
  <si>
    <t>Croissance démographique</t>
  </si>
  <si>
    <t>Croissance économique</t>
  </si>
  <si>
    <t>Croup spasmodique</t>
  </si>
  <si>
    <t>Croûte terrestre</t>
  </si>
  <si>
    <t>Crue</t>
  </si>
  <si>
    <t>Crustacé</t>
  </si>
  <si>
    <t>Cryptogame</t>
  </si>
  <si>
    <t>Cuir</t>
  </si>
  <si>
    <t>Cuisson</t>
  </si>
  <si>
    <t>Cuivre</t>
  </si>
  <si>
    <t>Culture</t>
  </si>
  <si>
    <t>Culture (aspects sociaux)</t>
  </si>
  <si>
    <t>Culture de champ</t>
  </si>
  <si>
    <t>Culture des bulbes</t>
  </si>
  <si>
    <t>Culture environnementale</t>
  </si>
  <si>
    <t>Culture fourragère</t>
  </si>
  <si>
    <t>Culture fruitière</t>
  </si>
  <si>
    <t>Culture hors sol</t>
  </si>
  <si>
    <t>Culture industrielle</t>
  </si>
  <si>
    <t>Culture irriguée</t>
  </si>
  <si>
    <t>Culture itinérante</t>
  </si>
  <si>
    <t>Culture maraîchère</t>
  </si>
  <si>
    <t>Culture sur brûlis</t>
  </si>
  <si>
    <t>Culture sur substrat</t>
  </si>
  <si>
    <t>Culture traditionnelle</t>
  </si>
  <si>
    <t>Cultures selon les courbes de niveau</t>
  </si>
  <si>
    <t>Cyanate</t>
  </si>
  <si>
    <t>Cyanure</t>
  </si>
  <si>
    <t>Cycle biogéochimique</t>
  </si>
  <si>
    <t>Cycle biologique</t>
  </si>
  <si>
    <t>Cycle de la vie</t>
  </si>
  <si>
    <t>Cycle de l'azote</t>
  </si>
  <si>
    <t>Cycle de l'eau</t>
  </si>
  <si>
    <t>Cycle de vie des matériaux</t>
  </si>
  <si>
    <t>Cycle de vie d'un produit</t>
  </si>
  <si>
    <t>Cycle des substances nutritives</t>
  </si>
  <si>
    <t>Cycle du carbone</t>
  </si>
  <si>
    <t>Cyclone</t>
  </si>
  <si>
    <t>Cytologie</t>
  </si>
  <si>
    <t>Cytotoxicité</t>
  </si>
  <si>
    <t>Danger</t>
  </si>
  <si>
    <t>Danger biotechnologique</t>
  </si>
  <si>
    <t>Danger environnemental</t>
  </si>
  <si>
    <t>Danger nucléaire</t>
  </si>
  <si>
    <t>Dangers de navigation</t>
  </si>
  <si>
    <t>Datation</t>
  </si>
  <si>
    <t>Ddt</t>
  </si>
  <si>
    <t>Débardage</t>
  </si>
  <si>
    <t>Débat parlementaire</t>
  </si>
  <si>
    <t>Débat public</t>
  </si>
  <si>
    <t>Débat sur le nucléaire</t>
  </si>
  <si>
    <t>Débit</t>
  </si>
  <si>
    <t>Débiteur commun</t>
  </si>
  <si>
    <t>Déboisement</t>
  </si>
  <si>
    <t>Débroussaillement</t>
  </si>
  <si>
    <t>Décantation</t>
  </si>
  <si>
    <t>Décanteur</t>
  </si>
  <si>
    <t>Décentralisation</t>
  </si>
  <si>
    <t>Décharge</t>
  </si>
  <si>
    <t>Décharge contrôlée</t>
  </si>
  <si>
    <t>Décharge de déchets dangereux</t>
  </si>
  <si>
    <t>Décharge de déchêts radioactifs</t>
  </si>
  <si>
    <t>Décharge d'ordures ménagères</t>
  </si>
  <si>
    <t>Décharge en haute mer</t>
  </si>
  <si>
    <t>Décharge industrielle</t>
  </si>
  <si>
    <t>Décharge municipale</t>
  </si>
  <si>
    <t>Décharge non réglementaire</t>
  </si>
  <si>
    <t>Décharge sauvage</t>
  </si>
  <si>
    <t>Décharge souterraine</t>
  </si>
  <si>
    <t>Déchet agricole</t>
  </si>
  <si>
    <t>Déchet anatomique</t>
  </si>
  <si>
    <t>Déchet animal</t>
  </si>
  <si>
    <t>Déchet chimique</t>
  </si>
  <si>
    <t>Déchet combustible</t>
  </si>
  <si>
    <t>Déchet d'action de dépollution</t>
  </si>
  <si>
    <t>Déchet de bois</t>
  </si>
  <si>
    <t>Déchet de caoutchouc</t>
  </si>
  <si>
    <t>Déchet de construction</t>
  </si>
  <si>
    <t>Déchet de démolition</t>
  </si>
  <si>
    <t>Déchet de jardin</t>
  </si>
  <si>
    <t>Déchet de laboratoire</t>
  </si>
  <si>
    <t>Déchet d'emballage</t>
  </si>
  <si>
    <t>Déchet encombrant</t>
  </si>
  <si>
    <t>Déchet fermentescible</t>
  </si>
  <si>
    <t>Déchet hospitalier</t>
  </si>
  <si>
    <t>Déchet industriel</t>
  </si>
  <si>
    <t>Déchet industriel spécial</t>
  </si>
  <si>
    <t>Déchet inerte</t>
  </si>
  <si>
    <t>Déchet liquide</t>
  </si>
  <si>
    <t>Déchet métallique</t>
  </si>
  <si>
    <t>Déchet minéral</t>
  </si>
  <si>
    <t>Déchet organique</t>
  </si>
  <si>
    <t>Déchet pâteux</t>
  </si>
  <si>
    <t>Déchet pharmaceutique</t>
  </si>
  <si>
    <t>Déchet radioactif</t>
  </si>
  <si>
    <t>Déchêt résiduel</t>
  </si>
  <si>
    <t>Déchet solide</t>
  </si>
  <si>
    <t>Déchet spécial</t>
  </si>
  <si>
    <t>Déchet toxique</t>
  </si>
  <si>
    <t>Déchet urbain</t>
  </si>
  <si>
    <t>Déchet végétal</t>
  </si>
  <si>
    <t>Déchets assimilés aux ordures ménagères</t>
  </si>
  <si>
    <t>Déchets d'abattoirs</t>
  </si>
  <si>
    <t>Déchets dangereux</t>
  </si>
  <si>
    <t>Déchets de gypse</t>
  </si>
  <si>
    <t>Déchets de l'espace (issus de l'activité spatiale)</t>
  </si>
  <si>
    <t>Déchets des industries minières</t>
  </si>
  <si>
    <t>Déchets humides</t>
  </si>
  <si>
    <t>Déchets issus de l'activité commerciale (déchets banals)</t>
  </si>
  <si>
    <t>Déchets plastiques</t>
  </si>
  <si>
    <t>Déchets sanitaires</t>
  </si>
  <si>
    <t>Déchloruration</t>
  </si>
  <si>
    <t>Décibel</t>
  </si>
  <si>
    <t>Décision</t>
  </si>
  <si>
    <t>Décision communautaire</t>
  </si>
  <si>
    <t>Décision juridique</t>
  </si>
  <si>
    <t>Décision provisoire</t>
  </si>
  <si>
    <t>Déclaration d'utilité publique</t>
  </si>
  <si>
    <t>Déclaration réglementaire</t>
  </si>
  <si>
    <t>Déclaration sur l'impact écologique</t>
  </si>
  <si>
    <t>Déclassement de centrale</t>
  </si>
  <si>
    <t>Décomposition</t>
  </si>
  <si>
    <t>Décomposition chimique</t>
  </si>
  <si>
    <t>Décontamination</t>
  </si>
  <si>
    <t>Décontamination chimique</t>
  </si>
  <si>
    <t>Décontamination des sols</t>
  </si>
  <si>
    <t>Décontamination radioactive</t>
  </si>
  <si>
    <t>Décret</t>
  </si>
  <si>
    <t>Décret ministériel</t>
  </si>
  <si>
    <t>Décret sur la protection de l'environnement</t>
  </si>
  <si>
    <t>Dédommagement financier</t>
  </si>
  <si>
    <t>Défense</t>
  </si>
  <si>
    <t>Défense de l'environnement dans le cadre de l'entreprise</t>
  </si>
  <si>
    <t>Déficit en oxygène</t>
  </si>
  <si>
    <t>Définition des cibles</t>
  </si>
  <si>
    <t>Défoliation</t>
  </si>
  <si>
    <t>Déforestation</t>
  </si>
  <si>
    <t>Défrichement</t>
  </si>
  <si>
    <t>Dégât animal</t>
  </si>
  <si>
    <t>Dégât des eaux</t>
  </si>
  <si>
    <t>Dégât des tempêtes</t>
  </si>
  <si>
    <t>Dégât d'immission</t>
  </si>
  <si>
    <t>Dégâts forestiers</t>
  </si>
  <si>
    <t>Dégazage de décharge</t>
  </si>
  <si>
    <t>Dégazage des déchets</t>
  </si>
  <si>
    <t>Dégradabilité</t>
  </si>
  <si>
    <t>Dégradation</t>
  </si>
  <si>
    <t>Dégradation de l'écosystème</t>
  </si>
  <si>
    <t>Dégradation de l'environnement</t>
  </si>
  <si>
    <t>Dégradation des polluants</t>
  </si>
  <si>
    <t>Dégradation des ressources en eau douce</t>
  </si>
  <si>
    <t>Dégradation des ressources naturelles</t>
  </si>
  <si>
    <t>Dégradation du paysage</t>
  </si>
  <si>
    <t>Dégradation du sol</t>
  </si>
  <si>
    <t>Dégradation urbaine</t>
  </si>
  <si>
    <t>Dégraissage</t>
  </si>
  <si>
    <t>Degré d'acidité</t>
  </si>
  <si>
    <t>Déjection animale</t>
  </si>
  <si>
    <t>Délégation de pouvoir</t>
  </si>
  <si>
    <t>Délinquence</t>
  </si>
  <si>
    <t>Délit</t>
  </si>
  <si>
    <t>Délits à l'encontre de l'environnement</t>
  </si>
  <si>
    <t>Délivrance de permis</t>
  </si>
  <si>
    <t>Delta</t>
  </si>
  <si>
    <t>Demande (offre et demande)</t>
  </si>
  <si>
    <t>Demande biochimique en oxygène</t>
  </si>
  <si>
    <t>Demande chimique en oxygène</t>
  </si>
  <si>
    <t>Demande de remboursement</t>
  </si>
  <si>
    <t>Démantèlement de centrale nucléaire</t>
  </si>
  <si>
    <t>Déminéralisation de l'eau</t>
  </si>
  <si>
    <t>Demi-vie</t>
  </si>
  <si>
    <t>Démocratie</t>
  </si>
  <si>
    <t>Démographie</t>
  </si>
  <si>
    <t>Démontrabilité</t>
  </si>
  <si>
    <t>Dendrochronologie</t>
  </si>
  <si>
    <t>Dendrométrie</t>
  </si>
  <si>
    <t>Dénitrification</t>
  </si>
  <si>
    <t>Dénitrification des effluents gazeux</t>
  </si>
  <si>
    <t>Densité</t>
  </si>
  <si>
    <t>Densité de l'habitat</t>
  </si>
  <si>
    <t>Densité de population</t>
  </si>
  <si>
    <t>Département (uk)</t>
  </si>
  <si>
    <t>Dépense</t>
  </si>
  <si>
    <t>Dépense des ménages</t>
  </si>
  <si>
    <t>Dépense publique</t>
  </si>
  <si>
    <t>Dépense publique pour l'environnement</t>
  </si>
  <si>
    <t>Dépérissement forestier</t>
  </si>
  <si>
    <t>Déphosphatation</t>
  </si>
  <si>
    <t>Dépistage de la tératogénèse</t>
  </si>
  <si>
    <t>Déplacement d'animaux</t>
  </si>
  <si>
    <t>Déplacement journalier domicile-travail</t>
  </si>
  <si>
    <t>Dépôt ancien</t>
  </si>
  <si>
    <t>Dépôt de ferraille</t>
  </si>
  <si>
    <t>Dépôt de particules fines</t>
  </si>
  <si>
    <t>Dépôt d'hydrocarbure</t>
  </si>
  <si>
    <t>Dépoussiérage</t>
  </si>
  <si>
    <t>Déprédateur</t>
  </si>
  <si>
    <t>Déprédateur des forêts</t>
  </si>
  <si>
    <t>Dérégulation</t>
  </si>
  <si>
    <t>Dermaptère</t>
  </si>
  <si>
    <t>Désastre géologique</t>
  </si>
  <si>
    <t>Désastre pétrolier</t>
  </si>
  <si>
    <t>Descendant</t>
  </si>
  <si>
    <t>Désencrage</t>
  </si>
  <si>
    <t>Désert</t>
  </si>
  <si>
    <t>Désertification</t>
  </si>
  <si>
    <t>Désherbage</t>
  </si>
  <si>
    <t>Désinfectant</t>
  </si>
  <si>
    <t>Désinfection</t>
  </si>
  <si>
    <t>Désinfection des semences</t>
  </si>
  <si>
    <t>Désintoxication</t>
  </si>
  <si>
    <t>Désorption</t>
  </si>
  <si>
    <t>Déssalement</t>
  </si>
  <si>
    <t>Dessalement de l'eau</t>
  </si>
  <si>
    <t>Dessalement de l'eau de mer</t>
  </si>
  <si>
    <t>Dessèchement</t>
  </si>
  <si>
    <t>Dessin industriel ou architectural</t>
  </si>
  <si>
    <t>Destruction de bâtiment</t>
  </si>
  <si>
    <t>Destruction de l'habitat</t>
  </si>
  <si>
    <t>Destruction des poissons</t>
  </si>
  <si>
    <t>Désulfuration</t>
  </si>
  <si>
    <t>Désulfuration des combustibles</t>
  </si>
  <si>
    <t>Détecteur</t>
  </si>
  <si>
    <t>Détection automatique</t>
  </si>
  <si>
    <t>Détergent</t>
  </si>
  <si>
    <t>Détergent synthétique</t>
  </si>
  <si>
    <t>Déterioration du sol</t>
  </si>
  <si>
    <t>Détérioration du terrain</t>
  </si>
  <si>
    <t>Détritus de déchiquetage</t>
  </si>
  <si>
    <t>Dette</t>
  </si>
  <si>
    <t>Dette des pays en développement</t>
  </si>
  <si>
    <t>Dette publique</t>
  </si>
  <si>
    <t>Développement biologique</t>
  </si>
  <si>
    <t>Développement culturel</t>
  </si>
  <si>
    <t>Développement de bassin fluvial</t>
  </si>
  <si>
    <t>Développement des ressources hydrologiques</t>
  </si>
  <si>
    <t>Développement du littoral</t>
  </si>
  <si>
    <t>Développement du territoire</t>
  </si>
  <si>
    <t>Développement durable</t>
  </si>
  <si>
    <t>Développement économique</t>
  </si>
  <si>
    <t>Développement environnemental</t>
  </si>
  <si>
    <t>Développement industriel</t>
  </si>
  <si>
    <t>Développement local</t>
  </si>
  <si>
    <t>Développement logiciel</t>
  </si>
  <si>
    <t>Développement régional</t>
  </si>
  <si>
    <t>Développement rural</t>
  </si>
  <si>
    <t>Développement social</t>
  </si>
  <si>
    <t>Développement technologique</t>
  </si>
  <si>
    <t>Développement urbain</t>
  </si>
  <si>
    <t>Déversement de pétrole</t>
  </si>
  <si>
    <t>Déversement des eaux usées</t>
  </si>
  <si>
    <t>Déversoir</t>
  </si>
  <si>
    <t>Déversoir sous-marin</t>
  </si>
  <si>
    <t>Devoir officiel</t>
  </si>
  <si>
    <t>Dialyse</t>
  </si>
  <si>
    <t>Diatomées</t>
  </si>
  <si>
    <t>Dictionnaire</t>
  </si>
  <si>
    <t>Didactique</t>
  </si>
  <si>
    <t>Différenciation</t>
  </si>
  <si>
    <t>Différenciation fiscale</t>
  </si>
  <si>
    <t>Différenciation sociale</t>
  </si>
  <si>
    <t>Diffusion</t>
  </si>
  <si>
    <t>Diffusion de polluant</t>
  </si>
  <si>
    <t>Diffusion sélective de l'information</t>
  </si>
  <si>
    <t>Digesteur</t>
  </si>
  <si>
    <t>Digestion</t>
  </si>
  <si>
    <t>Digestion des boues</t>
  </si>
  <si>
    <t>Digitalisation</t>
  </si>
  <si>
    <t>Digue</t>
  </si>
  <si>
    <t>Diminution de la quantité de polluants</t>
  </si>
  <si>
    <t>Diminution du bruit</t>
  </si>
  <si>
    <t>Dioxine</t>
  </si>
  <si>
    <t>Dioxine-p de dibenzofuranne polychloré</t>
  </si>
  <si>
    <t>Dioxyde d'azote</t>
  </si>
  <si>
    <t>Dioxyde de carbone</t>
  </si>
  <si>
    <t>Dioxyde de soufre</t>
  </si>
  <si>
    <t>Dioxyde de titane</t>
  </si>
  <si>
    <t>Diptères</t>
  </si>
  <si>
    <t>Directive</t>
  </si>
  <si>
    <t>Directive ce relative à la protection de l'eau</t>
  </si>
  <si>
    <t>Directive ce relative à l'éliminiation des déchets</t>
  </si>
  <si>
    <t>Directive ce relative aux biocides</t>
  </si>
  <si>
    <t>Directive ce relative aux emballages</t>
  </si>
  <si>
    <t>Directive de la ce</t>
  </si>
  <si>
    <t>Directive relative à la protection de l'eau</t>
  </si>
  <si>
    <t>Directive relative à la qualité de l'eau</t>
  </si>
  <si>
    <t>Directive relative à l'eie (evaluation de l'impact sur l'environnement)</t>
  </si>
  <si>
    <t>Discours</t>
  </si>
  <si>
    <t>Dispersion</t>
  </si>
  <si>
    <t>Dispersion des effluents gazeux</t>
  </si>
  <si>
    <t>Dispositif de stockage électrique</t>
  </si>
  <si>
    <t>Dispositif d'épuration</t>
  </si>
  <si>
    <t>Dispositif d'évacuation</t>
  </si>
  <si>
    <t>Dispositif social</t>
  </si>
  <si>
    <t>Dissémination de micro-organismes mutés</t>
  </si>
  <si>
    <t>Dissémination d'organismes</t>
  </si>
  <si>
    <t>Dissipation d'énergie</t>
  </si>
  <si>
    <t>Dissolution</t>
  </si>
  <si>
    <t>Dissuasif</t>
  </si>
  <si>
    <t>Dissuasion</t>
  </si>
  <si>
    <t>Distillation</t>
  </si>
  <si>
    <t>Distorsion de concurrence</t>
  </si>
  <si>
    <t>Distribution</t>
  </si>
  <si>
    <t>Distribution commerciale</t>
  </si>
  <si>
    <t>Distribution démographique</t>
  </si>
  <si>
    <t>Distribution des polluants</t>
  </si>
  <si>
    <t>Distribution internationale</t>
  </si>
  <si>
    <t>Distribution spatiale</t>
  </si>
  <si>
    <t>Diversité biologique</t>
  </si>
  <si>
    <t>Diversité génétique</t>
  </si>
  <si>
    <t>Division internationale du travail</t>
  </si>
  <si>
    <t>Doctrine (droit)</t>
  </si>
  <si>
    <t>Doctrine politique</t>
  </si>
  <si>
    <t>Document d'urbanisme</t>
  </si>
  <si>
    <t>Documentation</t>
  </si>
  <si>
    <t>Domaine benthique</t>
  </si>
  <si>
    <t>Domaine privé</t>
  </si>
  <si>
    <t>Domaine public</t>
  </si>
  <si>
    <t>Domaine public fluvial</t>
  </si>
  <si>
    <t>Domaine public maritime</t>
  </si>
  <si>
    <t>Dôme de confinement</t>
  </si>
  <si>
    <t>Dôme de sel</t>
  </si>
  <si>
    <t>Dommage</t>
  </si>
  <si>
    <t>Dommage dû au rayonnement</t>
  </si>
  <si>
    <t>Dommages dus à des manoeuvres militaires</t>
  </si>
  <si>
    <t>Donnée économique</t>
  </si>
  <si>
    <t>Donnée environnementale</t>
  </si>
  <si>
    <t>Donnée sur les émissions</t>
  </si>
  <si>
    <t>Données de mesure de surveillance</t>
  </si>
  <si>
    <t>Données d'exploitation</t>
  </si>
  <si>
    <t>Données géoréférencées</t>
  </si>
  <si>
    <t>Données par individu</t>
  </si>
  <si>
    <t>Données statistiques</t>
  </si>
  <si>
    <t>Données sur l'état de l'environnement</t>
  </si>
  <si>
    <t>Dosage</t>
  </si>
  <si>
    <t>Dose</t>
  </si>
  <si>
    <t>Dose de radiations</t>
  </si>
  <si>
    <t>Dose équivalente</t>
  </si>
  <si>
    <t>Dose journalière admissible</t>
  </si>
  <si>
    <t>Dose maximale admissible</t>
  </si>
  <si>
    <t>Douane</t>
  </si>
  <si>
    <t>Dragage</t>
  </si>
  <si>
    <t>Drainage</t>
  </si>
  <si>
    <t>Drainage du sous-sol</t>
  </si>
  <si>
    <t>Droit (corpus de lois)</t>
  </si>
  <si>
    <t>Droit (science)</t>
  </si>
  <si>
    <t>Droit à l'information</t>
  </si>
  <si>
    <t>Droit administratif</t>
  </si>
  <si>
    <t>Droit civil</t>
  </si>
  <si>
    <t>Droit commercial</t>
  </si>
  <si>
    <t>Droit communautaire</t>
  </si>
  <si>
    <t>Droit comparé</t>
  </si>
  <si>
    <t>Droit constitutionnel</t>
  </si>
  <si>
    <t>Droit d'accès</t>
  </si>
  <si>
    <t>Droit de compensation</t>
  </si>
  <si>
    <t>Droit de la concurrence</t>
  </si>
  <si>
    <t>Droit de la famille</t>
  </si>
  <si>
    <t>Droit de l'environnement</t>
  </si>
  <si>
    <t>Droit de l'informatique</t>
  </si>
  <si>
    <t>Droit de l'urbanisme</t>
  </si>
  <si>
    <t>Droit de pétition</t>
  </si>
  <si>
    <t>Droit de propriété</t>
  </si>
  <si>
    <t>Droit de propriété industrielle</t>
  </si>
  <si>
    <t>Droit des transports</t>
  </si>
  <si>
    <t>Droit du travail</t>
  </si>
  <si>
    <t>Droit forestier</t>
  </si>
  <si>
    <t>Droit international</t>
  </si>
  <si>
    <t>Droit international économique</t>
  </si>
  <si>
    <t>Droit international public</t>
  </si>
  <si>
    <t>Droit légal</t>
  </si>
  <si>
    <t>Droit maritime</t>
  </si>
  <si>
    <t>Droit minier</t>
  </si>
  <si>
    <t>Droit pénal</t>
  </si>
  <si>
    <t>Droit pénal en matière d'environnement</t>
  </si>
  <si>
    <t>Droit pénitentiaire</t>
  </si>
  <si>
    <t>Droit privé</t>
  </si>
  <si>
    <t>Droit privé international</t>
  </si>
  <si>
    <t>Droit procédural</t>
  </si>
  <si>
    <t>Droit public</t>
  </si>
  <si>
    <t>Droit rural</t>
  </si>
  <si>
    <t>Droits</t>
  </si>
  <si>
    <t>Droits de l'homme</t>
  </si>
  <si>
    <t>Droits de l'individu</t>
  </si>
  <si>
    <t>Droits des animaux</t>
  </si>
  <si>
    <t>Droits des générations futures</t>
  </si>
  <si>
    <t>Droits du citoyen</t>
  </si>
  <si>
    <t>Droits économiques</t>
  </si>
  <si>
    <t>Dune</t>
  </si>
  <si>
    <t>Dune de sable</t>
  </si>
  <si>
    <t>Durée de l'ensoleillement</t>
  </si>
  <si>
    <t>Dureté</t>
  </si>
  <si>
    <t>Dureté de l'eau</t>
  </si>
  <si>
    <t>Dynamique de population</t>
  </si>
  <si>
    <t>Dynamique sociale</t>
  </si>
  <si>
    <t>Eau (substance)</t>
  </si>
  <si>
    <t>Eau à usage agricole</t>
  </si>
  <si>
    <t>Eau chaude</t>
  </si>
  <si>
    <t>Eau courante</t>
  </si>
  <si>
    <t>Eau de baignade</t>
  </si>
  <si>
    <t>Eau de baignade douce</t>
  </si>
  <si>
    <t>Eau de baignade marine</t>
  </si>
  <si>
    <t>Eau de drainage</t>
  </si>
  <si>
    <t>Eau de fond de cale</t>
  </si>
  <si>
    <t>Eau de marée</t>
  </si>
  <si>
    <t>Eau de mer</t>
  </si>
  <si>
    <t>Eau de refroidissement</t>
  </si>
  <si>
    <t>Eau de source</t>
  </si>
  <si>
    <t>Eau de surface</t>
  </si>
  <si>
    <t>Eau de traitement</t>
  </si>
  <si>
    <t>Eau d'infiltration</t>
  </si>
  <si>
    <t>Eau domaniale</t>
  </si>
  <si>
    <t>Eau douce</t>
  </si>
  <si>
    <t>Eau du sol</t>
  </si>
  <si>
    <t>Eau fluviale</t>
  </si>
  <si>
    <t>Eau industrielle</t>
  </si>
  <si>
    <t>Eau minérale</t>
  </si>
  <si>
    <t>Eau non domaniale</t>
  </si>
  <si>
    <t>Eau non traitée</t>
  </si>
  <si>
    <t>Eau pluviale</t>
  </si>
  <si>
    <t>Eau potable</t>
  </si>
  <si>
    <t>Eau propre à la consommation</t>
  </si>
  <si>
    <t>Eau salée</t>
  </si>
  <si>
    <t>Eau saumâtre</t>
  </si>
  <si>
    <t>Eau thermale</t>
  </si>
  <si>
    <t>Eau usée</t>
  </si>
  <si>
    <t>Eau usée domestique</t>
  </si>
  <si>
    <t>Eau usée industrielle</t>
  </si>
  <si>
    <t>Eau usée urbaine</t>
  </si>
  <si>
    <t>Eaux (géographie)</t>
  </si>
  <si>
    <t>Eaux côtières</t>
  </si>
  <si>
    <t>Eaux de ville</t>
  </si>
  <si>
    <t>Eaux intérieures</t>
  </si>
  <si>
    <t>Eaux souterraines</t>
  </si>
  <si>
    <t>Eaux usées issues d'un réseau d'assainissement unitaire</t>
  </si>
  <si>
    <t>Eaux usées résiduaires industrielles</t>
  </si>
  <si>
    <t>Éboulement</t>
  </si>
  <si>
    <t>Échange de données</t>
  </si>
  <si>
    <t>Échange de données informatisées</t>
  </si>
  <si>
    <t>Échange d'informations</t>
  </si>
  <si>
    <t>Échange d'ions</t>
  </si>
  <si>
    <t>Échangeur d'ions</t>
  </si>
  <si>
    <t>Échantillonnage</t>
  </si>
  <si>
    <t>Échinoderme</t>
  </si>
  <si>
    <t>Échouage</t>
  </si>
  <si>
    <t>Éclairage</t>
  </si>
  <si>
    <t>Écluse</t>
  </si>
  <si>
    <t>Éco-audit</t>
  </si>
  <si>
    <t>Écobilan</t>
  </si>
  <si>
    <t>Écocitoyenneté</t>
  </si>
  <si>
    <t>Éco-compatibilité</t>
  </si>
  <si>
    <t>Ecodéveloppement</t>
  </si>
  <si>
    <t>Écoindustrie</t>
  </si>
  <si>
    <t>Écolabel</t>
  </si>
  <si>
    <t>Écolabellisation</t>
  </si>
  <si>
    <t>Écologie</t>
  </si>
  <si>
    <t>Écologie agricole</t>
  </si>
  <si>
    <t>Écologie animale</t>
  </si>
  <si>
    <t>Écologie appliquée</t>
  </si>
  <si>
    <t>Écologie des populations</t>
  </si>
  <si>
    <t>Écologie des terres</t>
  </si>
  <si>
    <t>Écologie du paysage</t>
  </si>
  <si>
    <t>Écologie forestière</t>
  </si>
  <si>
    <t>Écologie humaine</t>
  </si>
  <si>
    <t>Écologie marine</t>
  </si>
  <si>
    <t>Écologie politique</t>
  </si>
  <si>
    <t>Écologie scientifique</t>
  </si>
  <si>
    <t>Écologie trophique</t>
  </si>
  <si>
    <t>Écologie urbaine</t>
  </si>
  <si>
    <t>Écologie végétale</t>
  </si>
  <si>
    <t>Écologisme</t>
  </si>
  <si>
    <t>Écomarketing</t>
  </si>
  <si>
    <t>Écomusée</t>
  </si>
  <si>
    <t>Économie à deux vitesses</t>
  </si>
  <si>
    <t>Economie agricole</t>
  </si>
  <si>
    <t>Économie de la pêche</t>
  </si>
  <si>
    <t>Économie de l'énergie</t>
  </si>
  <si>
    <t>Économie de l'environnement</t>
  </si>
  <si>
    <t>Économie de marché</t>
  </si>
  <si>
    <t>Économie d'eau</t>
  </si>
  <si>
    <t>Économie d'énergie</t>
  </si>
  <si>
    <t>Économie des affaires</t>
  </si>
  <si>
    <t>Économie environnementale des entreprises</t>
  </si>
  <si>
    <t>Économie forestière</t>
  </si>
  <si>
    <t>Économie industrielle</t>
  </si>
  <si>
    <t>Économie monétaire</t>
  </si>
  <si>
    <t>Économie nationale</t>
  </si>
  <si>
    <t>Écopédiatrie</t>
  </si>
  <si>
    <t>Écophysiologie</t>
  </si>
  <si>
    <t>Écosystème</t>
  </si>
  <si>
    <t>Écosystème aquatique</t>
  </si>
  <si>
    <t>Écosystème arctique</t>
  </si>
  <si>
    <t>Écosystème benthique</t>
  </si>
  <si>
    <t>Écosystème côtier</t>
  </si>
  <si>
    <t>Écosystème de  montagne</t>
  </si>
  <si>
    <t>Écosystème de la forêt tropicale</t>
  </si>
  <si>
    <t>Écosystème de l'antarctique</t>
  </si>
  <si>
    <t>Écosystème de zone froide</t>
  </si>
  <si>
    <t>Écosystème de zone humide</t>
  </si>
  <si>
    <t>Écosystème d'eau douce</t>
  </si>
  <si>
    <t>Écosystème des terres arides</t>
  </si>
  <si>
    <t>Écosystème des terres semi-arides</t>
  </si>
  <si>
    <t>Écosystème des zones boisées</t>
  </si>
  <si>
    <t>Écosystème des zones tempérées</t>
  </si>
  <si>
    <t>Écosystème des zones tropicales</t>
  </si>
  <si>
    <t>Écosystème d'importance internationale</t>
  </si>
  <si>
    <t>Écosystème du pergélisol</t>
  </si>
  <si>
    <t>Écosystème estuarien</t>
  </si>
  <si>
    <t>Ecosystème forestier</t>
  </si>
  <si>
    <t>Écosystème insulaire</t>
  </si>
  <si>
    <t>Écosystème marin</t>
  </si>
  <si>
    <t>Écosystème montagnard</t>
  </si>
  <si>
    <t>Écosystème polaire</t>
  </si>
  <si>
    <t>Écosystème prairie</t>
  </si>
  <si>
    <t>Écosystème subtropical</t>
  </si>
  <si>
    <t>Écosystème terrestre</t>
  </si>
  <si>
    <t>Écosystème urbain</t>
  </si>
  <si>
    <t>Écotaxe</t>
  </si>
  <si>
    <t>Écotourisme</t>
  </si>
  <si>
    <t>Écotoxicité</t>
  </si>
  <si>
    <t>Écotoxicologie</t>
  </si>
  <si>
    <t>Écotype</t>
  </si>
  <si>
    <t>Écoulement des crues</t>
  </si>
  <si>
    <t>Écozone</t>
  </si>
  <si>
    <t>Écran antibruit</t>
  </si>
  <si>
    <t>Écriture d'annulation</t>
  </si>
  <si>
    <t>Édaphologie</t>
  </si>
  <si>
    <t>Édifice gouvernemental</t>
  </si>
  <si>
    <t>Éducation</t>
  </si>
  <si>
    <t>Éducation (formation)</t>
  </si>
  <si>
    <t>Éducation à l'environnement</t>
  </si>
  <si>
    <t>Édulcorant</t>
  </si>
  <si>
    <t>Effet</t>
  </si>
  <si>
    <t>Effet à long terme</t>
  </si>
  <si>
    <t>Effet antagoniste des substances toxiques</t>
  </si>
  <si>
    <t>Effet biologique</t>
  </si>
  <si>
    <t>Effet biologique de la pollution</t>
  </si>
  <si>
    <t>Effet climatique</t>
  </si>
  <si>
    <t>Effet de combinaison</t>
  </si>
  <si>
    <t>Effet de microclimat</t>
  </si>
  <si>
    <t>Effet de pollution</t>
  </si>
  <si>
    <t>Effet de report</t>
  </si>
  <si>
    <t>Effet de serre</t>
  </si>
  <si>
    <t>Effet des radiations</t>
  </si>
  <si>
    <t>Effet du bruit</t>
  </si>
  <si>
    <t>Effet génétique</t>
  </si>
  <si>
    <t>Effet mental</t>
  </si>
  <si>
    <t>Effet pathologique</t>
  </si>
  <si>
    <t>Effet photochimique</t>
  </si>
  <si>
    <t>Effet polluant à long terme</t>
  </si>
  <si>
    <t>Effet psychique</t>
  </si>
  <si>
    <t>Effet psychologique</t>
  </si>
  <si>
    <t>Effet psychosomatique</t>
  </si>
  <si>
    <t>Effet secondaire</t>
  </si>
  <si>
    <t>Effet secondaire des médicaments</t>
  </si>
  <si>
    <t>Effet sur la santé</t>
  </si>
  <si>
    <t>Effet sur le niveau de l'emploi</t>
  </si>
  <si>
    <t>Effet sur l'environnement</t>
  </si>
  <si>
    <t>Effet sur l'homme</t>
  </si>
  <si>
    <t>Effet synergique des produits toxiques</t>
  </si>
  <si>
    <t>Effet toxique</t>
  </si>
  <si>
    <t>Effets électrocinétiques</t>
  </si>
  <si>
    <t>Efficacité énergétique</t>
  </si>
  <si>
    <t>Efficience économique-écologique</t>
  </si>
  <si>
    <t>Effluent</t>
  </si>
  <si>
    <t>Effluent agricole</t>
  </si>
  <si>
    <t>Effluent gazeux</t>
  </si>
  <si>
    <t>Effluent gazeux industriel</t>
  </si>
  <si>
    <t>Effluent industriel</t>
  </si>
  <si>
    <t>Effluent issu du traitement de déchets</t>
  </si>
  <si>
    <t>Égalité des sexes</t>
  </si>
  <si>
    <t>Église</t>
  </si>
  <si>
    <t>Eie (evaluation de l'impact sur l'environnement)</t>
  </si>
  <si>
    <t>Élagage</t>
  </si>
  <si>
    <t>Élasticité</t>
  </si>
  <si>
    <t>Électricité</t>
  </si>
  <si>
    <t>Électrolyse</t>
  </si>
  <si>
    <t>Électronique</t>
  </si>
  <si>
    <t>Élément chimique</t>
  </si>
  <si>
    <t>Élément de combustible nucléaire</t>
  </si>
  <si>
    <t>Élément de transition</t>
  </si>
  <si>
    <t>Élément du paysage</t>
  </si>
  <si>
    <t>Élément trace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</si>
  <si>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</si>
  <si>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</si>
  <si>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</si>
  <si>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</si>
  <si>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</si>
  <si>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</si>
  <si>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</si>
  <si>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</si>
  <si>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Élevage de bétail</t>
  </si>
  <si>
    <t>Élevage de races animalières sélectionnées</t>
  </si>
  <si>
    <t>Élevage extensif de bétail</t>
  </si>
  <si>
    <t>Élevage industriel</t>
  </si>
  <si>
    <t>Élevage intensif</t>
  </si>
  <si>
    <t>Elevation du niveau de la mer</t>
  </si>
  <si>
    <t>Élévation du niveau de la mer</t>
  </si>
  <si>
    <t>Élimination</t>
  </si>
  <si>
    <t>Élimination de polluant</t>
  </si>
  <si>
    <t>Élimination des batteries</t>
  </si>
  <si>
    <t>Élimination des déchets</t>
  </si>
  <si>
    <t>Élimination des déchets des navires</t>
  </si>
  <si>
    <t>Élimination des matériels de guerre</t>
  </si>
  <si>
    <t>Émancipation</t>
  </si>
  <si>
    <t>Emballage</t>
  </si>
  <si>
    <t>Emballage consigné</t>
  </si>
  <si>
    <t>Emballage en aluminium</t>
  </si>
  <si>
    <t>Emballage supplémentaire</t>
  </si>
  <si>
    <t>Embouchure</t>
  </si>
  <si>
    <t>Embryogénèse</t>
  </si>
  <si>
    <t>Embryon</t>
  </si>
  <si>
    <t>Émissaire marin</t>
  </si>
  <si>
    <t>Émission</t>
  </si>
  <si>
    <t>Émission acoustique</t>
  </si>
  <si>
    <t>Émission atmosphérique</t>
  </si>
  <si>
    <t>Émission de polluant</t>
  </si>
  <si>
    <t>Émission d'effluents gazeux</t>
  </si>
  <si>
    <t>Émission des véhicules à moteur</t>
  </si>
  <si>
    <t>Émission du bruit</t>
  </si>
  <si>
    <t>Émission radioactive</t>
  </si>
  <si>
    <t>Émissions des moteurs d'avions</t>
  </si>
  <si>
    <t>Émissions des véhicules à moteur</t>
  </si>
  <si>
    <t>Émissions industrielles</t>
  </si>
  <si>
    <t>Emploi</t>
  </si>
  <si>
    <t>Emploi du goudron</t>
  </si>
  <si>
    <t>Empoisonnement</t>
  </si>
  <si>
    <t>Émulsification</t>
  </si>
  <si>
    <t>Émulsion</t>
  </si>
  <si>
    <t>Encapsulation</t>
  </si>
  <si>
    <t>Encombrements</t>
  </si>
  <si>
    <t>Encouragement et subventions écologiques</t>
  </si>
  <si>
    <t>Encre</t>
  </si>
  <si>
    <t>Encyclopédie</t>
  </si>
  <si>
    <t>Endocrinologie</t>
  </si>
  <si>
    <t>Endroit de passage aménagé pour les animaux</t>
  </si>
  <si>
    <t>Énergie à base de charbon</t>
  </si>
  <si>
    <t>Énergie à base de pétrole</t>
  </si>
  <si>
    <t>Énergie conventionnelle</t>
  </si>
  <si>
    <t>Energie de la biomasse</t>
  </si>
  <si>
    <t>Énergie électrique</t>
  </si>
  <si>
    <t>Énergie éolienne</t>
  </si>
  <si>
    <t>Énergie géothermique</t>
  </si>
  <si>
    <t>Énergie houlomotrice</t>
  </si>
  <si>
    <t>Énergie hydraulique</t>
  </si>
  <si>
    <t>Énergie hydroélectrique</t>
  </si>
  <si>
    <t>Énergie marémotrice</t>
  </si>
  <si>
    <t>Énergie non-conventionnelle</t>
  </si>
  <si>
    <t>Énergie nucléaire</t>
  </si>
  <si>
    <t>Énergie solaire</t>
  </si>
  <si>
    <t>Énergie thalassothermique</t>
  </si>
  <si>
    <t>Enfant</t>
  </si>
  <si>
    <t>Enfouissement des déchets</t>
  </si>
  <si>
    <t>Engin de chantier</t>
  </si>
  <si>
    <t>Engrais</t>
  </si>
  <si>
    <t>Engrais azote</t>
  </si>
  <si>
    <t>Engrais chimique</t>
  </si>
  <si>
    <t>Engrais inorganique</t>
  </si>
  <si>
    <t>Engrais phosphate</t>
  </si>
  <si>
    <t>Engrais potassique</t>
  </si>
  <si>
    <t>Engrais vert</t>
  </si>
  <si>
    <t>Enjeu économique de l'environnement</t>
  </si>
  <si>
    <t>Enquête</t>
  </si>
  <si>
    <t>Enquête d'utilité publique</t>
  </si>
  <si>
    <t>Enquête publique</t>
  </si>
  <si>
    <t>Enquête sociale</t>
  </si>
  <si>
    <t>Enregistrement</t>
  </si>
  <si>
    <t>Enregistrement d'images</t>
  </si>
  <si>
    <t>Enrichissement</t>
  </si>
  <si>
    <t>Ensalement</t>
  </si>
  <si>
    <t>Enseignement</t>
  </si>
  <si>
    <t>Enseignement de l'environnement</t>
  </si>
  <si>
    <t>Enseignement général</t>
  </si>
  <si>
    <t>Enseignement primaire</t>
  </si>
  <si>
    <t>Enseignement scolaire</t>
  </si>
  <si>
    <t>Enseignement secondaire</t>
  </si>
  <si>
    <t>Enseignement supérieur</t>
  </si>
  <si>
    <t>Ensemble résidentiel urbain</t>
  </si>
  <si>
    <t>Entassement</t>
  </si>
  <si>
    <t>Entérovirus</t>
  </si>
  <si>
    <t>Entité hydrologique</t>
  </si>
  <si>
    <t>Entraide judiciaire</t>
  </si>
  <si>
    <t>Entreprise</t>
  </si>
  <si>
    <t>Entreprise artisanale</t>
  </si>
  <si>
    <t>Entreprise commerciale</t>
  </si>
  <si>
    <t>Entreprise de démolition</t>
  </si>
  <si>
    <t>Entreprise de nettoyage</t>
  </si>
  <si>
    <t>Entreprise de peinture</t>
  </si>
  <si>
    <t>Entreprise de réparation</t>
  </si>
  <si>
    <t>Entreprise de service public</t>
  </si>
  <si>
    <t>Entreprise de transports</t>
  </si>
  <si>
    <t>Entreprise environnementale</t>
  </si>
  <si>
    <t>Entreprise non respectueuse de l'environnement</t>
  </si>
  <si>
    <t>Entreprise publique</t>
  </si>
  <si>
    <t>Entretien routier</t>
  </si>
  <si>
    <t>Environnement bâti</t>
  </si>
  <si>
    <t>Environnement côtier</t>
  </si>
  <si>
    <t>Environnement et emploi</t>
  </si>
  <si>
    <t>Environnement industriel (généralités)</t>
  </si>
  <si>
    <t>Environnement intérieur</t>
  </si>
  <si>
    <t>Environnement physique</t>
  </si>
  <si>
    <t>Enzyme</t>
  </si>
  <si>
    <t>Épaississement</t>
  </si>
  <si>
    <t>Épargne</t>
  </si>
  <si>
    <t>Épave de bateau</t>
  </si>
  <si>
    <t>Épidémie</t>
  </si>
  <si>
    <t>Épidémiologie</t>
  </si>
  <si>
    <t>Éponge</t>
  </si>
  <si>
    <t>Épuration</t>
  </si>
  <si>
    <t>Épuration biologique</t>
  </si>
  <si>
    <t>Épuration biologique des effluents gazeux</t>
  </si>
  <si>
    <t>Épuration de l'eau</t>
  </si>
  <si>
    <t>Épuration des eaux usées</t>
  </si>
  <si>
    <t>Épuration des gaz</t>
  </si>
  <si>
    <t>Épuration par le sol</t>
  </si>
  <si>
    <t>Épuration physicochimique</t>
  </si>
  <si>
    <t>Équarrissage</t>
  </si>
  <si>
    <t>Équidé</t>
  </si>
  <si>
    <t>Équilibrage des intérêts</t>
  </si>
  <si>
    <t>Équilibre écologique</t>
  </si>
  <si>
    <t>Équilibre international</t>
  </si>
  <si>
    <t>Équipement</t>
  </si>
  <si>
    <t>Équipement agricole</t>
  </si>
  <si>
    <t>Équipement collectif</t>
  </si>
  <si>
    <t>Équipement culturel</t>
  </si>
  <si>
    <t>Équipement de lutte contre la pollution</t>
  </si>
  <si>
    <t>Équipement de pêche</t>
  </si>
  <si>
    <t>Équipement d'usine</t>
  </si>
  <si>
    <t>Équipement électrotechnique</t>
  </si>
  <si>
    <t>Équipement industriel</t>
  </si>
  <si>
    <t>Équipement sanitaire</t>
  </si>
  <si>
    <t>Équipement sous pression</t>
  </si>
  <si>
    <t>Équipement thermique</t>
  </si>
  <si>
    <t>Équipement touristique</t>
  </si>
  <si>
    <t>Équipment du bâtiment</t>
  </si>
  <si>
    <t>Ergonomie</t>
  </si>
  <si>
    <t>Érosion</t>
  </si>
  <si>
    <t>Érosion côtière</t>
  </si>
  <si>
    <t>Érosion du sol</t>
  </si>
  <si>
    <t>Érosion éolienne</t>
  </si>
  <si>
    <t>Érosion par l'eau</t>
  </si>
  <si>
    <t>Éruption volcanique</t>
  </si>
  <si>
    <t>Escalade</t>
  </si>
  <si>
    <t>Espace (interplanétaire)</t>
  </si>
  <si>
    <t>Espace de loisirs</t>
  </si>
  <si>
    <t>Espace naturel</t>
  </si>
  <si>
    <t>Espace naturel sensible</t>
  </si>
  <si>
    <t>Espace périurbain</t>
  </si>
  <si>
    <t>Espace protégé</t>
  </si>
  <si>
    <t>Espace rural</t>
  </si>
  <si>
    <t>Espace vert</t>
  </si>
  <si>
    <t>Espace vital</t>
  </si>
  <si>
    <t>Espaces verts</t>
  </si>
  <si>
    <t>Espèce</t>
  </si>
  <si>
    <t>Espèce animale</t>
  </si>
  <si>
    <t>Espèce animale menacée</t>
  </si>
  <si>
    <t>Espèce capable de s'adapter</t>
  </si>
  <si>
    <t>Espèce d'avifaune</t>
  </si>
  <si>
    <t>Espèce disparue</t>
  </si>
  <si>
    <t>Espèce endémique</t>
  </si>
  <si>
    <t>Espèce éteinte</t>
  </si>
  <si>
    <t>Espèce exotique</t>
  </si>
  <si>
    <t>Espèce menacée</t>
  </si>
  <si>
    <t>Espèce migratrice</t>
  </si>
  <si>
    <t>Espèce protégée</t>
  </si>
  <si>
    <t>Espèce rare</t>
  </si>
  <si>
    <t>Espèce végétale</t>
  </si>
  <si>
    <t>Espèce végétale menacée</t>
  </si>
  <si>
    <t>Espèce vulnérable</t>
  </si>
  <si>
    <t>Espèces à faible risque</t>
  </si>
  <si>
    <t>Essai de produits chimiques</t>
  </si>
  <si>
    <t>Essai de produits phytosanitaires</t>
  </si>
  <si>
    <t>Essai nucléaire</t>
  </si>
  <si>
    <t>Essence</t>
  </si>
  <si>
    <t>Esthétique</t>
  </si>
  <si>
    <t>Estuaire</t>
  </si>
  <si>
    <t>Étable</t>
  </si>
  <si>
    <t>Établissement d'enseignement</t>
  </si>
  <si>
    <t>Établissement humain</t>
  </si>
  <si>
    <t>Établissement industriel (bâtiment)</t>
  </si>
  <si>
    <t>Établissement public</t>
  </si>
  <si>
    <t>Établissement public à caractère administratif</t>
  </si>
  <si>
    <t>Établissement public à caractère industriel et commercial</t>
  </si>
  <si>
    <t>Établissement rural</t>
  </si>
  <si>
    <t>Établissement scolaire</t>
  </si>
  <si>
    <t>Établissement transitoire</t>
  </si>
  <si>
    <t>Étage de végétation</t>
  </si>
  <si>
    <t>Étain</t>
  </si>
  <si>
    <t>Étalonnage</t>
  </si>
  <si>
    <t>Étalonnage des instruments de mesure</t>
  </si>
  <si>
    <t>Étanchéification</t>
  </si>
  <si>
    <t>Étanchéité de base de décharge</t>
  </si>
  <si>
    <t>Étanchéité de la surface du sol</t>
  </si>
  <si>
    <t>Étang</t>
  </si>
  <si>
    <t>Étang de stabilisation</t>
  </si>
  <si>
    <t>État</t>
  </si>
  <si>
    <t>État colloïdal</t>
  </si>
  <si>
    <t>État de déchet</t>
  </si>
  <si>
    <t>État de la matière</t>
  </si>
  <si>
    <t>État de l'art</t>
  </si>
  <si>
    <t>État des émissions</t>
  </si>
  <si>
    <t>État d'hibernation</t>
  </si>
  <si>
    <t>État gazeux</t>
  </si>
  <si>
    <t>État liquide</t>
  </si>
  <si>
    <t>État pédologique</t>
  </si>
  <si>
    <t>État solide</t>
  </si>
  <si>
    <t>Éthanol</t>
  </si>
  <si>
    <t>Éther</t>
  </si>
  <si>
    <t>Éthique</t>
  </si>
  <si>
    <t>Éthique de l'environnement</t>
  </si>
  <si>
    <t>Ethnologie</t>
  </si>
  <si>
    <t>Éthologie</t>
  </si>
  <si>
    <t>Étiage</t>
  </si>
  <si>
    <t>Étiologie</t>
  </si>
  <si>
    <t>Étiquetage</t>
  </si>
  <si>
    <t>Étude de bureau</t>
  </si>
  <si>
    <t>Étude de danger</t>
  </si>
  <si>
    <t>Étude de la lumière réfléchie</t>
  </si>
  <si>
    <t>Étude de marché</t>
  </si>
  <si>
    <t>Étude de milieu</t>
  </si>
  <si>
    <t>Étude de sûreté</t>
  </si>
  <si>
    <t>Étude de terrain</t>
  </si>
  <si>
    <t>Étude d'environnement</t>
  </si>
  <si>
    <t>Étude des risques naturels</t>
  </si>
  <si>
    <t>Étude d'impact sur l'environnement</t>
  </si>
  <si>
    <t>Étude expérimentale</t>
  </si>
  <si>
    <t>Étude sociologique</t>
  </si>
  <si>
    <t>Étude urbaine</t>
  </si>
  <si>
    <t>Étuve</t>
  </si>
  <si>
    <t>Europe de l'est</t>
  </si>
  <si>
    <t>Europe de l'ouest</t>
  </si>
  <si>
    <t>Eutrophisation</t>
  </si>
  <si>
    <t>Évacuation des eaux usées</t>
  </si>
  <si>
    <t>Évaluation</t>
  </si>
  <si>
    <t>Évaluation de l'impact</t>
  </si>
  <si>
    <t>Évaluation de l'impact des conditions de vie sur la santé</t>
  </si>
  <si>
    <t>Évaluation de l'impact sur l'environnement</t>
  </si>
  <si>
    <t>Évaluation de produits</t>
  </si>
  <si>
    <t>Évaluation de technologie</t>
  </si>
  <si>
    <t>Évaluation des dommages</t>
  </si>
  <si>
    <t>Évaluation des polluants</t>
  </si>
  <si>
    <t>Évaluation des ressources</t>
  </si>
  <si>
    <t>Évaluation des ressources forestières</t>
  </si>
  <si>
    <t>Évaluation des risques pour l'environnement</t>
  </si>
  <si>
    <t>Évaluation des technologies</t>
  </si>
  <si>
    <t>Évaluation du patrimoine naturel</t>
  </si>
  <si>
    <t>Évaluation du risque</t>
  </si>
  <si>
    <t>Évaluation écologique</t>
  </si>
  <si>
    <t>Évaluation économique environnementale</t>
  </si>
  <si>
    <t>Évaluation écotoxicologique</t>
  </si>
  <si>
    <t>Évaluation environnementale</t>
  </si>
  <si>
    <t>Évaluation monétaire</t>
  </si>
  <si>
    <t>Évaluation toxicologique</t>
  </si>
  <si>
    <t>Évaporation</t>
  </si>
  <si>
    <t>Évapotranspiration</t>
  </si>
  <si>
    <t>Évolution</t>
  </si>
  <si>
    <t>Évolution de la productivité</t>
  </si>
  <si>
    <t>Évolution démographique</t>
  </si>
  <si>
    <t>Évolution des polluants</t>
  </si>
  <si>
    <t>Évolution historique</t>
  </si>
  <si>
    <t>Expansion urbaine anarchique</t>
  </si>
  <si>
    <t>Expérience de laboratoire</t>
  </si>
  <si>
    <t>Expérience de terrain</t>
  </si>
  <si>
    <t>Expérience scientifique</t>
  </si>
  <si>
    <t>Expérience sur le long terme</t>
  </si>
  <si>
    <t>Expérimentation animale</t>
  </si>
  <si>
    <t>Expertise</t>
  </si>
  <si>
    <t>Exploitation à ciel ouvert</t>
  </si>
  <si>
    <t>Exploitation à ciel ouvert épuisée</t>
  </si>
  <si>
    <t>Exploitation agricole</t>
  </si>
  <si>
    <t>Exploitation de carrière</t>
  </si>
  <si>
    <t>Exploitation de la terre agricole</t>
  </si>
  <si>
    <t>Exploitation de nappe souterraine</t>
  </si>
  <si>
    <t>Exploitation des fonds marins</t>
  </si>
  <si>
    <t>Exploitation des océans</t>
  </si>
  <si>
    <t>Exploitation des ressources</t>
  </si>
  <si>
    <t>Exploitation forestière</t>
  </si>
  <si>
    <t>Exploitation minière de potasse et de sel gemme</t>
  </si>
  <si>
    <t>Exploitation minière par couches à ciel ouvert</t>
  </si>
  <si>
    <t>Exploitation mixte</t>
  </si>
  <si>
    <t>Exploration</t>
  </si>
  <si>
    <t>Exploration des ressources de gaz naturel</t>
  </si>
  <si>
    <t>Exploration des ressources pétrolières</t>
  </si>
  <si>
    <t>Explosif</t>
  </si>
  <si>
    <t>Explosion</t>
  </si>
  <si>
    <t>Explosion nucléaire (accident)</t>
  </si>
  <si>
    <t>Exportation</t>
  </si>
  <si>
    <t>Exportation de déchets</t>
  </si>
  <si>
    <t>Exportation de déchets dangereux</t>
  </si>
  <si>
    <t>Exportation de produits chimiques dangereux</t>
  </si>
  <si>
    <t>Exposition</t>
  </si>
  <si>
    <t>Exposition aux polluants</t>
  </si>
  <si>
    <t>Exposition aux rayonnements</t>
  </si>
  <si>
    <t>Exposition aux risques</t>
  </si>
  <si>
    <t>Exposition des personnes aux polluants</t>
  </si>
  <si>
    <t>Expropriation</t>
  </si>
  <si>
    <t>Externalité économique</t>
  </si>
  <si>
    <t>Extinction</t>
  </si>
  <si>
    <t>Extraction</t>
  </si>
  <si>
    <t>Extraction de charbon</t>
  </si>
  <si>
    <t>Extraction de gaz naturel</t>
  </si>
  <si>
    <t>Extraction de granulat</t>
  </si>
  <si>
    <t>Extraction de gravier</t>
  </si>
  <si>
    <t>Extraction de mineraux</t>
  </si>
  <si>
    <t>Extraction de pétrole</t>
  </si>
  <si>
    <t>Extraction de sable</t>
  </si>
  <si>
    <t>Extraction de tourbe</t>
  </si>
  <si>
    <t>Extraction d'eau</t>
  </si>
  <si>
    <t>Extraction des nutriments</t>
  </si>
  <si>
    <t>Extraction en mer</t>
  </si>
  <si>
    <t>Extraction minière sur le fonds marin</t>
  </si>
  <si>
    <t>Extraction pétrolière en mer</t>
  </si>
  <si>
    <t>Fabrication industrielle</t>
  </si>
  <si>
    <t>Facteur abiotique</t>
  </si>
  <si>
    <t>Facteur anthropique</t>
  </si>
  <si>
    <t>Facteur biotique</t>
  </si>
  <si>
    <t>Facteur climatique</t>
  </si>
  <si>
    <t>Facteur de bioconcentration</t>
  </si>
  <si>
    <t>Facteur d'émission</t>
  </si>
  <si>
    <t>Facteur écologique</t>
  </si>
  <si>
    <t>Facteur géogénique</t>
  </si>
  <si>
    <t>Facteur socio-économique</t>
  </si>
  <si>
    <t>Fagne</t>
  </si>
  <si>
    <t>Faille</t>
  </si>
  <si>
    <t>Falaise</t>
  </si>
  <si>
    <t>Famille</t>
  </si>
  <si>
    <t>Famine</t>
  </si>
  <si>
    <t>Faucardage</t>
  </si>
  <si>
    <t>Fauchage</t>
  </si>
  <si>
    <t>Faune</t>
  </si>
  <si>
    <t>Faune marine</t>
  </si>
  <si>
    <t>Faune sauvage</t>
  </si>
  <si>
    <t>Favorable à l'environnement</t>
  </si>
  <si>
    <t>Félidé</t>
  </si>
  <si>
    <t>Femme</t>
  </si>
  <si>
    <t>Fer</t>
  </si>
  <si>
    <t>Ferme (bâtiment)</t>
  </si>
  <si>
    <t>Ferme (exploitation)</t>
  </si>
  <si>
    <t>Ferme avicole</t>
  </si>
  <si>
    <t>Fermentation</t>
  </si>
  <si>
    <t>Fermeture</t>
  </si>
  <si>
    <t>Fermeture d'une entreprise</t>
  </si>
  <si>
    <t>Ferraille</t>
  </si>
  <si>
    <t>Ferraille électronique</t>
  </si>
  <si>
    <t>Fertilisation</t>
  </si>
  <si>
    <t>Fertilité du sol</t>
  </si>
  <si>
    <t>Feu de prairie</t>
  </si>
  <si>
    <t>Feuillage</t>
  </si>
  <si>
    <t>Feuille</t>
  </si>
  <si>
    <t>Feuillu</t>
  </si>
  <si>
    <t>Fibre</t>
  </si>
  <si>
    <t>Fibre de verre</t>
  </si>
  <si>
    <t>Fibre minérale</t>
  </si>
  <si>
    <t>Fibre naturelle</t>
  </si>
  <si>
    <t>Fibre textile d'origine animale</t>
  </si>
  <si>
    <t>Fibre textile synthétique</t>
  </si>
  <si>
    <t>Fibre textile végétale</t>
  </si>
  <si>
    <t>Filière bois</t>
  </si>
  <si>
    <t>Film</t>
  </si>
  <si>
    <t>Film cinématographique</t>
  </si>
  <si>
    <t>Film documentaire</t>
  </si>
  <si>
    <t>Filtrage d'image</t>
  </si>
  <si>
    <t>Filtration</t>
  </si>
  <si>
    <t>Filtre</t>
  </si>
  <si>
    <t>Filtre acoustique</t>
  </si>
  <si>
    <t>Financement</t>
  </si>
  <si>
    <t>Financement  immobilier</t>
  </si>
  <si>
    <t>Financement public</t>
  </si>
  <si>
    <t>Finances</t>
  </si>
  <si>
    <t>Finances communautaires</t>
  </si>
  <si>
    <t>Finances locales</t>
  </si>
  <si>
    <t>Finances publiques</t>
  </si>
  <si>
    <t>Fine poussière</t>
  </si>
  <si>
    <t>Fioul</t>
  </si>
  <si>
    <t>Fioul domestique</t>
  </si>
  <si>
    <t>Firme</t>
  </si>
  <si>
    <t>Firme multinationale</t>
  </si>
  <si>
    <t>Fiscalité</t>
  </si>
  <si>
    <t>Fission nucléaire</t>
  </si>
  <si>
    <t>Fixation biologique de l'azote</t>
  </si>
  <si>
    <t>Fixation de l'azote</t>
  </si>
  <si>
    <t>Fixation des dunes de sable</t>
  </si>
  <si>
    <t>Fleur</t>
  </si>
  <si>
    <t>Fleuve</t>
  </si>
  <si>
    <t>Floculant</t>
  </si>
  <si>
    <t>Floculation</t>
  </si>
  <si>
    <t>Flore</t>
  </si>
  <si>
    <t>Flore et faune sauvages</t>
  </si>
  <si>
    <t>Flottation</t>
  </si>
  <si>
    <t>Fluidique</t>
  </si>
  <si>
    <t>Fluidisation</t>
  </si>
  <si>
    <t>Fluor</t>
  </si>
  <si>
    <t>Fluoration</t>
  </si>
  <si>
    <t>Flux de polluant</t>
  </si>
  <si>
    <t>Flux urbains</t>
  </si>
  <si>
    <t>Folklore</t>
  </si>
  <si>
    <t>Fonction du sol</t>
  </si>
  <si>
    <t>Fonction publique</t>
  </si>
  <si>
    <t>Fonctionnement du  monde du travail</t>
  </si>
  <si>
    <t>Fond de l'eau</t>
  </si>
  <si>
    <t>Fond marin</t>
  </si>
  <si>
    <t>Fonds d'intervention</t>
  </si>
  <si>
    <t>Fonds financier</t>
  </si>
  <si>
    <t>Fonds pour l'environnement</t>
  </si>
  <si>
    <t>Fongicide</t>
  </si>
  <si>
    <t>Fontaine</t>
  </si>
  <si>
    <t>Forage</t>
  </si>
  <si>
    <t>Forage pétrolier</t>
  </si>
  <si>
    <t>Forces armées</t>
  </si>
  <si>
    <t>Forêt</t>
  </si>
  <si>
    <t>Forêt de conifères</t>
  </si>
  <si>
    <t>Forêt de feuillus</t>
  </si>
  <si>
    <t>Forêt de montagne</t>
  </si>
  <si>
    <t>Forêt des zones tempérées</t>
  </si>
  <si>
    <t>Forêt domaniale</t>
  </si>
  <si>
    <t>Forêt méditérranéenne</t>
  </si>
  <si>
    <t>Forêt mixte</t>
  </si>
  <si>
    <t>Forêt naturelle</t>
  </si>
  <si>
    <t>Forêt pluviale</t>
  </si>
  <si>
    <t>Forêt primaire</t>
  </si>
  <si>
    <t>Forêt privée</t>
  </si>
  <si>
    <t>Forêt tropicale</t>
  </si>
  <si>
    <t>Forêt tropicale humide</t>
  </si>
  <si>
    <t>Format électronique de données géo-référencées</t>
  </si>
  <si>
    <t>Formation</t>
  </si>
  <si>
    <t>Formation continue</t>
  </si>
  <si>
    <t>Formation des polluants</t>
  </si>
  <si>
    <t>Formation du sol</t>
  </si>
  <si>
    <t>Formation en matière d'environnement</t>
  </si>
  <si>
    <t>Formation initiale</t>
  </si>
  <si>
    <t>Formation pour adultes</t>
  </si>
  <si>
    <t>Formation professionnelle</t>
  </si>
  <si>
    <t>Forme de gouvernement</t>
  </si>
  <si>
    <t>Forme de marché</t>
  </si>
  <si>
    <t>Forme juridique de l'entreprise</t>
  </si>
  <si>
    <t>Forum</t>
  </si>
  <si>
    <t>Fossé</t>
  </si>
  <si>
    <t>Fosse septique</t>
  </si>
  <si>
    <t>Fossile</t>
  </si>
  <si>
    <t>Fougère</t>
  </si>
  <si>
    <t>Four de cuisine</t>
  </si>
  <si>
    <t>Four industriel</t>
  </si>
  <si>
    <t>Four tournant</t>
  </si>
  <si>
    <t>Fournisseur de services internet</t>
  </si>
  <si>
    <t>Fourniture de chaleur</t>
  </si>
  <si>
    <t>Fourniture locale de chaleur</t>
  </si>
  <si>
    <t>Fourrage</t>
  </si>
  <si>
    <t>Fourrière (culture des champs)</t>
  </si>
  <si>
    <t>Fourrure</t>
  </si>
  <si>
    <t>Frais administratifs</t>
  </si>
  <si>
    <t>Frais de remplacement</t>
  </si>
  <si>
    <t>Frais de voyage</t>
  </si>
  <si>
    <t>Frais d'élimination des déchets</t>
  </si>
  <si>
    <t>Frayère</t>
  </si>
  <si>
    <t>Fréon</t>
  </si>
  <si>
    <t>Fréquentation du public</t>
  </si>
  <si>
    <t>Fréquentation touristique</t>
  </si>
  <si>
    <t>Friche agricole</t>
  </si>
  <si>
    <t>Friche industrielle</t>
  </si>
  <si>
    <t>Frittage</t>
  </si>
  <si>
    <t>Froid</t>
  </si>
  <si>
    <t>Frontière infranationale</t>
  </si>
  <si>
    <t>Frontière nationale</t>
  </si>
  <si>
    <t>Fruit</t>
  </si>
  <si>
    <t>Fuite</t>
  </si>
  <si>
    <t>Fuite et écoulement accidentels</t>
  </si>
  <si>
    <t>Fumée</t>
  </si>
  <si>
    <t>Fumée de tabac</t>
  </si>
  <si>
    <t>Fumée industrielle</t>
  </si>
  <si>
    <t>Fumier</t>
  </si>
  <si>
    <t>Fumier semi-liquide</t>
  </si>
  <si>
    <t>Fumigation</t>
  </si>
  <si>
    <t>Furanne</t>
  </si>
  <si>
    <t>Fusion</t>
  </si>
  <si>
    <t>Fusion du coeur</t>
  </si>
  <si>
    <t>Fusion du métal</t>
  </si>
  <si>
    <t>Fusion nucléaire</t>
  </si>
  <si>
    <t>Futaie</t>
  </si>
  <si>
    <t>Gallinacé</t>
  </si>
  <si>
    <t>Galvanisation</t>
  </si>
  <si>
    <t>Garantie produits</t>
  </si>
  <si>
    <t>Garde-côtière</t>
  </si>
  <si>
    <t>Garder en stock</t>
  </si>
  <si>
    <t>Gare</t>
  </si>
  <si>
    <t>Gare de triage</t>
  </si>
  <si>
    <t>Gare ferroviaire</t>
  </si>
  <si>
    <t>Gare routière</t>
  </si>
  <si>
    <t>Garrigue</t>
  </si>
  <si>
    <t>Gaspillage</t>
  </si>
  <si>
    <t>Gastéropode</t>
  </si>
  <si>
    <t>Gâteau de filtration</t>
  </si>
  <si>
    <t>Gaz</t>
  </si>
  <si>
    <t>Gaz à effet de serre</t>
  </si>
  <si>
    <t>Gaz de carneau</t>
  </si>
  <si>
    <t>Gaz de combustion</t>
  </si>
  <si>
    <t>Gaz de décharge</t>
  </si>
  <si>
    <t>Gaz d'échappement</t>
  </si>
  <si>
    <t>Gaz d'échappement automobile</t>
  </si>
  <si>
    <t>Gaz liquéfié</t>
  </si>
  <si>
    <t>Gaz naturel</t>
  </si>
  <si>
    <t>Gaz propulseur</t>
  </si>
  <si>
    <t>Gazéification</t>
  </si>
  <si>
    <t>Gazéification du charbon</t>
  </si>
  <si>
    <t>Gazoduc</t>
  </si>
  <si>
    <t>Gazohol</t>
  </si>
  <si>
    <t>Gazole</t>
  </si>
  <si>
    <t>Gel</t>
  </si>
  <si>
    <t>Gène</t>
  </si>
  <si>
    <t>Générateur de vapeur</t>
  </si>
  <si>
    <t>Génétique</t>
  </si>
  <si>
    <t>Génétique animale</t>
  </si>
  <si>
    <t>Génétique végétale</t>
  </si>
  <si>
    <t>Génie agricole</t>
  </si>
  <si>
    <t>Génie biologique</t>
  </si>
  <si>
    <t>Génie chimique</t>
  </si>
  <si>
    <t>Génie civil</t>
  </si>
  <si>
    <t>Génie de la circulation routière</t>
  </si>
  <si>
    <t>Génie de l'infrastructure routière</t>
  </si>
  <si>
    <t>Génie électrique</t>
  </si>
  <si>
    <t>Génie génétique</t>
  </si>
  <si>
    <t>Génie hydraulique</t>
  </si>
  <si>
    <t>Génie marin</t>
  </si>
  <si>
    <t>Génie mécanique</t>
  </si>
  <si>
    <t>Génie parasismique</t>
  </si>
  <si>
    <t>Génie urbain</t>
  </si>
  <si>
    <t>Génotoxicité</t>
  </si>
  <si>
    <t>Géodésie</t>
  </si>
  <si>
    <t>Géographie économique</t>
  </si>
  <si>
    <t>Géographie physique</t>
  </si>
  <si>
    <t>Géographie politique</t>
  </si>
  <si>
    <t>Géologie des ressources pétrolières</t>
  </si>
  <si>
    <t>Géologie marine</t>
  </si>
  <si>
    <t>Géologie minière</t>
  </si>
  <si>
    <t>Géomorphologie</t>
  </si>
  <si>
    <t>Géophysique</t>
  </si>
  <si>
    <t>Géotechnique</t>
  </si>
  <si>
    <t>Géotechnologie</t>
  </si>
  <si>
    <t>Germe</t>
  </si>
  <si>
    <t>Germination</t>
  </si>
  <si>
    <t>Gestion</t>
  </si>
  <si>
    <t>Gestion agricole</t>
  </si>
  <si>
    <t>Gestion commune des déchets banals et spéciaux</t>
  </si>
  <si>
    <t>Gestion comptable</t>
  </si>
  <si>
    <t>Gestion de cours d'eau</t>
  </si>
  <si>
    <t>Gestion de crise</t>
  </si>
  <si>
    <t>Gestion de la pêche</t>
  </si>
  <si>
    <t>Gestion de la qualité de l'air</t>
  </si>
  <si>
    <t>Gestion de la qualité de l'eau</t>
  </si>
  <si>
    <t>Gestion de la quantité d'eau</t>
  </si>
  <si>
    <t>Gestion de l'eau</t>
  </si>
  <si>
    <t>Gestion de l'électricité</t>
  </si>
  <si>
    <t>Gestion de l'énergie</t>
  </si>
  <si>
    <t>Gestion déléguée</t>
  </si>
  <si>
    <t>Gestion des déchets</t>
  </si>
  <si>
    <t>Gestion des déchets radioactifs</t>
  </si>
  <si>
    <t>Gestion des eaux superficielles</t>
  </si>
  <si>
    <t>Gestion des eaux urbaines</t>
  </si>
  <si>
    <t>Gestion des établissements humains</t>
  </si>
  <si>
    <t>Gestion des ressources</t>
  </si>
  <si>
    <t>Gestion des ressources en eau</t>
  </si>
  <si>
    <t>Gestion des ressources naturelles</t>
  </si>
  <si>
    <t>Gestion des stocks</t>
  </si>
  <si>
    <t>Gestion du littoral</t>
  </si>
  <si>
    <t>Gestion du paysage</t>
  </si>
  <si>
    <t>Gestion du recyclage</t>
  </si>
  <si>
    <t>Gestion du risque</t>
  </si>
  <si>
    <t>Gestion et planification rurale</t>
  </si>
  <si>
    <t>Gestion financière</t>
  </si>
  <si>
    <t>Gestion forestière</t>
  </si>
  <si>
    <t>Gestion intégrée</t>
  </si>
  <si>
    <t>Gestion patrimoniale</t>
  </si>
  <si>
    <t>Gestion urbaine</t>
  </si>
  <si>
    <t>Gibier</t>
  </si>
  <si>
    <t>Gisement</t>
  </si>
  <si>
    <t>Gisement minéral dans le fond marin</t>
  </si>
  <si>
    <t>Gîte rural</t>
  </si>
  <si>
    <t>Glace</t>
  </si>
  <si>
    <t>Glacier</t>
  </si>
  <si>
    <t>Glaciologie</t>
  </si>
  <si>
    <t>Glossaire</t>
  </si>
  <si>
    <t>Golf</t>
  </si>
  <si>
    <t>Golfe</t>
  </si>
  <si>
    <t>Gorge</t>
  </si>
  <si>
    <t>Goudron</t>
  </si>
  <si>
    <t>Goût de l'eau</t>
  </si>
  <si>
    <t>Gouvernement</t>
  </si>
  <si>
    <t>Gouvernement fédéral</t>
  </si>
  <si>
    <t>Graine</t>
  </si>
  <si>
    <t>Graisse alimentaire</t>
  </si>
  <si>
    <t>Graminée</t>
  </si>
  <si>
    <t>Grand fond marin</t>
  </si>
  <si>
    <t>Grand gibier</t>
  </si>
  <si>
    <t>Grande installation de combustion</t>
  </si>
  <si>
    <t>Granulométrie</t>
  </si>
  <si>
    <t>Gravier</t>
  </si>
  <si>
    <t>Gravière</t>
  </si>
  <si>
    <t>Gravure</t>
  </si>
  <si>
    <t>Grêle</t>
  </si>
  <si>
    <t>Grenouille</t>
  </si>
  <si>
    <t>Grotte</t>
  </si>
  <si>
    <t>Groupe d'action</t>
  </si>
  <si>
    <t>Groupe de pression</t>
  </si>
  <si>
    <t>Groupe d'intérêt</t>
  </si>
  <si>
    <t>Groupe social</t>
  </si>
  <si>
    <t>Groupe socio-culturel</t>
  </si>
  <si>
    <t>Groupe-cible</t>
  </si>
  <si>
    <t>Groupement de consommateurs</t>
  </si>
  <si>
    <t>Groupement forestier</t>
  </si>
  <si>
    <t>Guerre</t>
  </si>
  <si>
    <t>Guerre mésologique</t>
  </si>
  <si>
    <t>Gymnosperme</t>
  </si>
  <si>
    <t>Gypse</t>
  </si>
  <si>
    <t>Habillement</t>
  </si>
  <si>
    <t>Habitant</t>
  </si>
  <si>
    <t>Habitat</t>
  </si>
  <si>
    <t>Habitat animal</t>
  </si>
  <si>
    <t>Habitat de la faune sauvage</t>
  </si>
  <si>
    <t>Habitat humain</t>
  </si>
  <si>
    <t>Habitat rural</t>
  </si>
  <si>
    <t>Habitat urbain</t>
  </si>
  <si>
    <t>Habitation</t>
  </si>
  <si>
    <t>Habitation à loyer modéré (hlm)</t>
  </si>
  <si>
    <t>Haie</t>
  </si>
  <si>
    <t>Haloforme</t>
  </si>
  <si>
    <t>Harmonisation des lois</t>
  </si>
  <si>
    <t>Harmonisation internationale</t>
  </si>
  <si>
    <t>Haut fourneau</t>
  </si>
  <si>
    <t>Haute mer</t>
  </si>
  <si>
    <t>Haute montagne</t>
  </si>
  <si>
    <t>Hauteur de cheminée</t>
  </si>
  <si>
    <t>Hauteur excessive des cheminées d'usine</t>
  </si>
  <si>
    <t>Hébergement</t>
  </si>
  <si>
    <t>Hébergement d'urgence</t>
  </si>
  <si>
    <t>Hématologie</t>
  </si>
  <si>
    <t>Herbe</t>
  </si>
  <si>
    <t>Herbicide</t>
  </si>
  <si>
    <t>Herbier</t>
  </si>
  <si>
    <t>Herbivore</t>
  </si>
  <si>
    <t>Hétérocycle</t>
  </si>
  <si>
    <t>Heures de travail</t>
  </si>
  <si>
    <t>Histoire</t>
  </si>
  <si>
    <t>Histoire de l'écologie</t>
  </si>
  <si>
    <t>Hivernage</t>
  </si>
  <si>
    <t>Homme</t>
  </si>
  <si>
    <t>Homologation</t>
  </si>
  <si>
    <t>Homologation d'installations</t>
  </si>
  <si>
    <t>Hôpital</t>
  </si>
  <si>
    <t>Hors site</t>
  </si>
  <si>
    <t>Horticulture</t>
  </si>
  <si>
    <t>Horticulture en serre</t>
  </si>
  <si>
    <t>Houle</t>
  </si>
  <si>
    <t>Huile de fond de cale</t>
  </si>
  <si>
    <t>Huile de refroidissement</t>
  </si>
  <si>
    <t>Huile minérale</t>
  </si>
  <si>
    <t>Huile usagée</t>
  </si>
  <si>
    <t>Huile végétale</t>
  </si>
  <si>
    <t>Humidité</t>
  </si>
  <si>
    <t>Humidité de l'air</t>
  </si>
  <si>
    <t>Humidité du sol</t>
  </si>
  <si>
    <t>Humus</t>
  </si>
  <si>
    <t>Hybridation</t>
  </si>
  <si>
    <t>Hydrate de carbone</t>
  </si>
  <si>
    <t>Hydraulique</t>
  </si>
  <si>
    <t>Hydraulique agricole</t>
  </si>
  <si>
    <t>Hydrobiologie</t>
  </si>
  <si>
    <t>Hydrocarbure</t>
  </si>
  <si>
    <t>Hydrocarbure aromatique</t>
  </si>
  <si>
    <t>Hydrocarbure aromatique polycyclique</t>
  </si>
  <si>
    <t>Hydrocarbure chloré</t>
  </si>
  <si>
    <t>Hydrocarbure halogéné</t>
  </si>
  <si>
    <t>Hydrocarbure polycyclique</t>
  </si>
  <si>
    <t>Hydrocarbures aliphatiques</t>
  </si>
  <si>
    <t>Hydrocarbures chlorofluorés</t>
  </si>
  <si>
    <t>Hydrocarbures cycloaliphatiques</t>
  </si>
  <si>
    <t>Hydro-écologie</t>
  </si>
  <si>
    <t>Hydrogène</t>
  </si>
  <si>
    <t>Hydrogéologie</t>
  </si>
  <si>
    <t>Hydrologie</t>
  </si>
  <si>
    <t>Hydrolyse</t>
  </si>
  <si>
    <t>Hydrométéorologie</t>
  </si>
  <si>
    <t>Hydrométrie</t>
  </si>
  <si>
    <t>Hydrosphère</t>
  </si>
  <si>
    <t>Hygiène</t>
  </si>
  <si>
    <t>Hygiène alimentaire</t>
  </si>
  <si>
    <t>Hygiène de l'environnement</t>
  </si>
  <si>
    <t>Hygiène du travail</t>
  </si>
  <si>
    <t>Hygiène environnementale</t>
  </si>
  <si>
    <t>Hymenoptère</t>
  </si>
  <si>
    <t>Hypertexte</t>
  </si>
  <si>
    <t>Iceberg</t>
  </si>
  <si>
    <t>Identification de la source de pollution</t>
  </si>
  <si>
    <t>Identification de produits</t>
  </si>
  <si>
    <t>Identification des polluants</t>
  </si>
  <si>
    <t>Identification du lieu (sig)</t>
  </si>
  <si>
    <t>Idéologie</t>
  </si>
  <si>
    <t>Idéologie politique</t>
  </si>
  <si>
    <t>Île</t>
  </si>
  <si>
    <t>Image satellite</t>
  </si>
  <si>
    <t>Immersion des déchets</t>
  </si>
  <si>
    <t>Immeuble de grande hauteur</t>
  </si>
  <si>
    <t>Immeuble en copropriété</t>
  </si>
  <si>
    <t>Immeuble ministériel</t>
  </si>
  <si>
    <t>Immission</t>
  </si>
  <si>
    <t>Immission de poussière</t>
  </si>
  <si>
    <t>Immission des polluants</t>
  </si>
  <si>
    <t>Immobilisation des polluants</t>
  </si>
  <si>
    <t>Immunité</t>
  </si>
  <si>
    <t>Immunologie</t>
  </si>
  <si>
    <t>Impact  du tourisme sur l'environnement</t>
  </si>
  <si>
    <t>Impact de la sylviculture sur l'environnement</t>
  </si>
  <si>
    <t>Impact de l'agriculture sur l'environnement</t>
  </si>
  <si>
    <t>Impact de l'aquaculture sur l'environnement</t>
  </si>
  <si>
    <t>Impact de l'énergie sur l'environnement</t>
  </si>
  <si>
    <t>Impact de l'industrie sur l'environnement</t>
  </si>
  <si>
    <t>Impact des loisirs sur l'environnement</t>
  </si>
  <si>
    <t>Impact des ménages sur l'environnement</t>
  </si>
  <si>
    <t>Impact des transports sur l'environnement</t>
  </si>
  <si>
    <t>Impact du bruit</t>
  </si>
  <si>
    <t>Impact socio-économique des biotechnologies</t>
  </si>
  <si>
    <t>Impact sur l'environnement</t>
  </si>
  <si>
    <t>Impacteur</t>
  </si>
  <si>
    <t>Implantation des routes</t>
  </si>
  <si>
    <t>Importation</t>
  </si>
  <si>
    <t>Impôt</t>
  </si>
  <si>
    <t>Impôt sur la consommation</t>
  </si>
  <si>
    <t>Impôt sur le capital</t>
  </si>
  <si>
    <t>Impôt sur le revenu</t>
  </si>
  <si>
    <t>Imprégnation</t>
  </si>
  <si>
    <t>Imprimerie</t>
  </si>
  <si>
    <t>In situ</t>
  </si>
  <si>
    <t>Incendie</t>
  </si>
  <si>
    <t>Incendie de forêt</t>
  </si>
  <si>
    <t>Incinérateur</t>
  </si>
  <si>
    <t>Incinérateur de déchets</t>
  </si>
  <si>
    <t>Incinération</t>
  </si>
  <si>
    <t>Incinération des boues</t>
  </si>
  <si>
    <t>Incinération des déchets</t>
  </si>
  <si>
    <t>Incitation à la lutte contre la pollution</t>
  </si>
  <si>
    <t>Incitation économique</t>
  </si>
  <si>
    <t>Incitation fiscale</t>
  </si>
  <si>
    <t>Incorporation</t>
  </si>
  <si>
    <t>Indemnisation</t>
  </si>
  <si>
    <t>Index</t>
  </si>
  <si>
    <t>Index environnemental</t>
  </si>
  <si>
    <t>Index saprobie</t>
  </si>
  <si>
    <t>Indexation de la documentation</t>
  </si>
  <si>
    <t>Indicateur</t>
  </si>
  <si>
    <t>Indicateur biologique</t>
  </si>
  <si>
    <t>Indicateur culturel</t>
  </si>
  <si>
    <t>Indicateur de développement durable</t>
  </si>
  <si>
    <t>Indicateur de la qualité environnementale</t>
  </si>
  <si>
    <t>Indicateur de pollution</t>
  </si>
  <si>
    <t>Indicateur du management environnemental</t>
  </si>
  <si>
    <t>Indicateur environnemental</t>
  </si>
  <si>
    <t>Indicateur social</t>
  </si>
  <si>
    <t>Indice biotique</t>
  </si>
  <si>
    <t>Inducer indirect</t>
  </si>
  <si>
    <t>Inducteur de petite taille</t>
  </si>
  <si>
    <t>Inducteur direct</t>
  </si>
  <si>
    <t>Industrialisation</t>
  </si>
  <si>
    <t>Industrie alimentaire</t>
  </si>
  <si>
    <t>Industrie automobile</t>
  </si>
  <si>
    <t>Industrie charbonnière</t>
  </si>
  <si>
    <t>Industrie chimique</t>
  </si>
  <si>
    <t>Industrie cosmétique</t>
  </si>
  <si>
    <t>Industrie d'appareillage</t>
  </si>
  <si>
    <t>Industrie de distillation</t>
  </si>
  <si>
    <t>Industrie de la cellulose</t>
  </si>
  <si>
    <t>Industrie de la céramique</t>
  </si>
  <si>
    <t>Industrie de la communication</t>
  </si>
  <si>
    <t>Industrie de la pêche</t>
  </si>
  <si>
    <t>Industrie de la récupération</t>
  </si>
  <si>
    <t>Industrie de l'acier</t>
  </si>
  <si>
    <t>Industrie de l'aluminium</t>
  </si>
  <si>
    <t>Industrie de l'ameublement</t>
  </si>
  <si>
    <t>Industrie de l'emballage</t>
  </si>
  <si>
    <t>Industrie de l'habillement</t>
  </si>
  <si>
    <t>Industrie de traitement des déchets</t>
  </si>
  <si>
    <t>Industrie de transformation des matières synthétiques</t>
  </si>
  <si>
    <t>Industrie de véhicules</t>
  </si>
  <si>
    <t>Industrie de véhicules à moteur</t>
  </si>
  <si>
    <t>Industrie d'enlèvement des déchets</t>
  </si>
  <si>
    <t>Industrie des boissons</t>
  </si>
  <si>
    <t>Industrie des fibres synthétiques</t>
  </si>
  <si>
    <t>Industrie des huiles et graisses</t>
  </si>
  <si>
    <t>Industrie des matériaux de construction</t>
  </si>
  <si>
    <t>Industrie des métaux non ferreux</t>
  </si>
  <si>
    <t>Industrie des produits métalliques</t>
  </si>
  <si>
    <t>Industrie du bâtiment</t>
  </si>
  <si>
    <t>Industrie du béton</t>
  </si>
  <si>
    <t>Industrie du bois</t>
  </si>
  <si>
    <t>Industrie du caoutchouc</t>
  </si>
  <si>
    <t>Industrie du ciment</t>
  </si>
  <si>
    <t>Industrie du cuir</t>
  </si>
  <si>
    <t>Industrie du froid</t>
  </si>
  <si>
    <t>Industrie du sucre</t>
  </si>
  <si>
    <t>Industrie du verre</t>
  </si>
  <si>
    <t>Industrie du vide</t>
  </si>
  <si>
    <t>Industrie électrique</t>
  </si>
  <si>
    <t>Industrie électrotechnique</t>
  </si>
  <si>
    <t>Industrie énergétique</t>
  </si>
  <si>
    <t>Industrie forestière</t>
  </si>
  <si>
    <t>Industrie hôtelière</t>
  </si>
  <si>
    <t>Industrie informatique</t>
  </si>
  <si>
    <t>Industrie laitière</t>
  </si>
  <si>
    <t>Industrie manufacturière</t>
  </si>
  <si>
    <t>Industrie mécanique</t>
  </si>
  <si>
    <t>Industrie métallurgique</t>
  </si>
  <si>
    <t>Industrie minérale</t>
  </si>
  <si>
    <t>Industrie minière</t>
  </si>
  <si>
    <t>Industrie papetière</t>
  </si>
  <si>
    <t>Industrie pétrochimique</t>
  </si>
  <si>
    <t>Industrie pétrolière</t>
  </si>
  <si>
    <t>Industrie pharmaceutique</t>
  </si>
  <si>
    <t>Industrie sidérurgique</t>
  </si>
  <si>
    <t>Industrie textile</t>
  </si>
  <si>
    <t>Indutrie des biens électroménagers</t>
  </si>
  <si>
    <t>Inégalité écologique</t>
  </si>
  <si>
    <t>Inégalité sociale</t>
  </si>
  <si>
    <t>Inertage</t>
  </si>
  <si>
    <t>Infection</t>
  </si>
  <si>
    <t>Infestation des aliments</t>
  </si>
  <si>
    <t>Infestation des cultures</t>
  </si>
  <si>
    <t>Infestation parasitaire</t>
  </si>
  <si>
    <t>Infiltration</t>
  </si>
  <si>
    <t>Infiltration d'eau dans le sol</t>
  </si>
  <si>
    <t>Influence du commerce sur l'environnement</t>
  </si>
  <si>
    <t>Information bibliographique</t>
  </si>
  <si>
    <t>Information des consommateurs</t>
  </si>
  <si>
    <t>Information d'orientation</t>
  </si>
  <si>
    <t>Information du public</t>
  </si>
  <si>
    <t>Information environnementale</t>
  </si>
  <si>
    <t>Information génétique</t>
  </si>
  <si>
    <t>Information législative</t>
  </si>
  <si>
    <t>Information préventive</t>
  </si>
  <si>
    <t>Information scientifique et technique</t>
  </si>
  <si>
    <t>Information sur les produits</t>
  </si>
  <si>
    <t>Information technique</t>
  </si>
  <si>
    <t>Informations géoréférencées</t>
  </si>
  <si>
    <t>Informations statistiques</t>
  </si>
  <si>
    <t>Informatique</t>
  </si>
  <si>
    <t>Informatique environnementale</t>
  </si>
  <si>
    <t>Infraction</t>
  </si>
  <si>
    <t>Infrason</t>
  </si>
  <si>
    <t>Infrastructure</t>
  </si>
  <si>
    <t>Infrastructure de l'information</t>
  </si>
  <si>
    <t>Infrastructure de loisirs aquatiques</t>
  </si>
  <si>
    <t>Infrastructure routière</t>
  </si>
  <si>
    <t>Infrastructure sportive</t>
  </si>
  <si>
    <t>Ingéniérie</t>
  </si>
  <si>
    <t>Ingéniérie de l'environnement</t>
  </si>
  <si>
    <t>Ingéniérie minière</t>
  </si>
  <si>
    <t>Initiative du citoyen</t>
  </si>
  <si>
    <t>Innovation</t>
  </si>
  <si>
    <t>Inondation</t>
  </si>
  <si>
    <t>Inquiétude environnementale</t>
  </si>
  <si>
    <t>Insecte</t>
  </si>
  <si>
    <t>Insecticide</t>
  </si>
  <si>
    <t>Insectivores</t>
  </si>
  <si>
    <t>Insonorisation</t>
  </si>
  <si>
    <t>Inspection</t>
  </si>
  <si>
    <t>Inspection des registres</t>
  </si>
  <si>
    <t>Inspection des véhicules</t>
  </si>
  <si>
    <t>Installation à haut risque</t>
  </si>
  <si>
    <t>Installation ancienne</t>
  </si>
  <si>
    <t>Installation chimique</t>
  </si>
  <si>
    <t>Installation classée</t>
  </si>
  <si>
    <t>Installation dangereuse</t>
  </si>
  <si>
    <t>Installation de forage</t>
  </si>
  <si>
    <t>Installation de réservoir à carburant</t>
  </si>
  <si>
    <t>Installation industrielle</t>
  </si>
  <si>
    <t>Installation nécessitant une habilitation</t>
  </si>
  <si>
    <t>Installation nucléaire</t>
  </si>
  <si>
    <t>Installation pilote</t>
  </si>
  <si>
    <t>Installation urbaine</t>
  </si>
  <si>
    <t>Institution sanitaire</t>
  </si>
  <si>
    <t>Institutionnalisation</t>
  </si>
  <si>
    <t>Instruction (droit)</t>
  </si>
  <si>
    <t>Instruction administrative</t>
  </si>
  <si>
    <t>Instruction administrative générale</t>
  </si>
  <si>
    <t>Instruction technique</t>
  </si>
  <si>
    <t>Instrument de gestion de l'environnement</t>
  </si>
  <si>
    <t>Instrument de gestion économique</t>
  </si>
  <si>
    <t>Instrument de mesure</t>
  </si>
  <si>
    <t>Instrument économique</t>
  </si>
  <si>
    <t>Instrument financier</t>
  </si>
  <si>
    <t>Instrument politique</t>
  </si>
  <si>
    <t>Instrumentation</t>
  </si>
  <si>
    <t>Instruments de fiscalité &amp;quot;verte&amp;quot;</t>
  </si>
  <si>
    <t>Intégration stratégique</t>
  </si>
  <si>
    <t>Intensification des précipitations</t>
  </si>
  <si>
    <t>Interaction air/eau</t>
  </si>
  <si>
    <t>Interaction des pesticides</t>
  </si>
  <si>
    <t>Interdiction</t>
  </si>
  <si>
    <t>Interdiction d'épandre les eaux usées</t>
  </si>
  <si>
    <t>Interdiction des c.f.c. et haloalcalines</t>
  </si>
  <si>
    <t>Intérêts</t>
  </si>
  <si>
    <t>Interface air mer</t>
  </si>
  <si>
    <t>Internalisation des coûts environnementaux</t>
  </si>
  <si>
    <t>Internalisation des coûts externes</t>
  </si>
  <si>
    <t>Internet</t>
  </si>
  <si>
    <t>Interpolation</t>
  </si>
  <si>
    <t>Intervention au niveau de la nature et des paysages</t>
  </si>
  <si>
    <t>Intervention sur les terres</t>
  </si>
  <si>
    <t>Intoxication</t>
  </si>
  <si>
    <t>Introduction d'espèces animales</t>
  </si>
  <si>
    <t>Introduction d'espèces animales étrangères</t>
  </si>
  <si>
    <t>Introduction d'espèces végétales</t>
  </si>
  <si>
    <t>Introduction d'espèces végétales étrangères</t>
  </si>
  <si>
    <t>Inventaire (du stock)</t>
  </si>
  <si>
    <t>Inventaire (environnement)</t>
  </si>
  <si>
    <t>Inventaire des dégâts forestiers</t>
  </si>
  <si>
    <t>Inventaire écologique</t>
  </si>
  <si>
    <t>Inversion</t>
  </si>
  <si>
    <t>Inversion de l'impact</t>
  </si>
  <si>
    <t>Inversion thermique</t>
  </si>
  <si>
    <t>Invertébré</t>
  </si>
  <si>
    <t>Investigation</t>
  </si>
  <si>
    <t>Investissement</t>
  </si>
  <si>
    <t>Investissement antipollution</t>
  </si>
  <si>
    <t>Investissement environnemental</t>
  </si>
  <si>
    <t>Iode</t>
  </si>
  <si>
    <t>Ion</t>
  </si>
  <si>
    <t>Ionosphère</t>
  </si>
  <si>
    <t>Irradiation</t>
  </si>
  <si>
    <t>Irradiation des aliments</t>
  </si>
  <si>
    <t>Irréversibilité du phénomène</t>
  </si>
  <si>
    <t>Irrigation</t>
  </si>
  <si>
    <t>Irrigation goutte par goutte</t>
  </si>
  <si>
    <t>Isolation (procédé)</t>
  </si>
  <si>
    <t>Isolation acoustique</t>
  </si>
  <si>
    <t>Isolation thermique</t>
  </si>
  <si>
    <t>Isomère</t>
  </si>
  <si>
    <t>Isotope</t>
  </si>
  <si>
    <t>Itinéraire</t>
  </si>
  <si>
    <t>Itinéraire à grande circulation</t>
  </si>
  <si>
    <t>Ivoire</t>
  </si>
  <si>
    <t>Jacinthe d'eau</t>
  </si>
  <si>
    <t>Jardin</t>
  </si>
  <si>
    <t>Jardin à la française</t>
  </si>
  <si>
    <t>Jardin à l'anglaise</t>
  </si>
  <si>
    <t>Jardin botanique</t>
  </si>
  <si>
    <t>Jardin en terrasses</t>
  </si>
  <si>
    <t>Jardin familial</t>
  </si>
  <si>
    <t>Jeu</t>
  </si>
  <si>
    <t>Jeune</t>
  </si>
  <si>
    <t>Jeunesse</t>
  </si>
  <si>
    <t>Juridiction</t>
  </si>
  <si>
    <t>Juridiction administrative</t>
  </si>
  <si>
    <t>Jurisprudence</t>
  </si>
  <si>
    <t>Justice</t>
  </si>
  <si>
    <t>Karst</t>
  </si>
  <si>
    <t>Kérosène</t>
  </si>
  <si>
    <t>Laboratoire</t>
  </si>
  <si>
    <t>Laboratoire sig</t>
  </si>
  <si>
    <t>Lac</t>
  </si>
  <si>
    <t>Lac artificiel</t>
  </si>
  <si>
    <t>Lactosérum</t>
  </si>
  <si>
    <t>Lagon</t>
  </si>
  <si>
    <t>Lagunage</t>
  </si>
  <si>
    <t>Lagune</t>
  </si>
  <si>
    <t>Laine</t>
  </si>
  <si>
    <t>Laine de roche</t>
  </si>
  <si>
    <t>Lait</t>
  </si>
  <si>
    <t>Lait maternel</t>
  </si>
  <si>
    <t>Laiterie</t>
  </si>
  <si>
    <t>Lampe</t>
  </si>
  <si>
    <t>Lande</t>
  </si>
  <si>
    <t>Laque</t>
  </si>
  <si>
    <t>Laser</t>
  </si>
  <si>
    <t>Latitude</t>
  </si>
  <si>
    <t>Législation agricole</t>
  </si>
  <si>
    <t>Législation cadre</t>
  </si>
  <si>
    <t>Législation des matières dangereuses</t>
  </si>
  <si>
    <t>Législation en matière de bruit</t>
  </si>
  <si>
    <t>Législation en matière de déchets</t>
  </si>
  <si>
    <t>Législation en matière de génie génétique</t>
  </si>
  <si>
    <t>Législation en matière de pollution</t>
  </si>
  <si>
    <t>Législation en matière de préservation de la nature</t>
  </si>
  <si>
    <t>Législation en matière de protection de l'eau</t>
  </si>
  <si>
    <t>Législation en matière de protection du sol</t>
  </si>
  <si>
    <t>Législation en matière de responsabilité</t>
  </si>
  <si>
    <t>Législation en matière de ressources en eau</t>
  </si>
  <si>
    <t>Législation en matière d'eaux usées</t>
  </si>
  <si>
    <t>Législation en matière d'émission</t>
  </si>
  <si>
    <t>Législation en matière d'énergie</t>
  </si>
  <si>
    <t>Législation en matière d'énergie nucléaire</t>
  </si>
  <si>
    <t>Législation en matière d'environnement</t>
  </si>
  <si>
    <t>Législation en matière des produits chimiques présents dans l'environnement</t>
  </si>
  <si>
    <t>Législation environnementale sur l'agriculture</t>
  </si>
  <si>
    <t>Législation forestière</t>
  </si>
  <si>
    <t>Législation immobilière</t>
  </si>
  <si>
    <t>Législation industrielle</t>
  </si>
  <si>
    <t>Législation nationale</t>
  </si>
  <si>
    <t>Législation régionale</t>
  </si>
  <si>
    <t>Législation sanitaire</t>
  </si>
  <si>
    <t>Législation sur la planification</t>
  </si>
  <si>
    <t>Légume</t>
  </si>
  <si>
    <t>Légume vert</t>
  </si>
  <si>
    <t>Lépidoptère</t>
  </si>
  <si>
    <t>Les amériques</t>
  </si>
  <si>
    <t>Lessivage du sol</t>
  </si>
  <si>
    <t>Lessive</t>
  </si>
  <si>
    <t>Lettre d'informations</t>
  </si>
  <si>
    <t>Leucémie</t>
  </si>
  <si>
    <t>Levure</t>
  </si>
  <si>
    <t>Lexique</t>
  </si>
  <si>
    <t>Lézard</t>
  </si>
  <si>
    <t>Libellule</t>
  </si>
  <si>
    <t>Liberté</t>
  </si>
  <si>
    <t>Libre circulation des capitaux</t>
  </si>
  <si>
    <t>Libre échange</t>
  </si>
  <si>
    <t>Lichen</t>
  </si>
  <si>
    <t>Liège</t>
  </si>
  <si>
    <t>Lies d'huile</t>
  </si>
  <si>
    <t>Lieu de travail</t>
  </si>
  <si>
    <t>Ligne</t>
  </si>
  <si>
    <t>Ligne à haute tension</t>
  </si>
  <si>
    <t>Ligne de partage des eaux</t>
  </si>
  <si>
    <t>Ligne électrique</t>
  </si>
  <si>
    <t>Ligne électrique aérienne</t>
  </si>
  <si>
    <t>Lignite</t>
  </si>
  <si>
    <t>Limitation de production</t>
  </si>
  <si>
    <t>Limitation de vitesse</t>
  </si>
  <si>
    <t>Limitation des immissions</t>
  </si>
  <si>
    <t>Limite acceptable d'exposition</t>
  </si>
  <si>
    <t>Limite administrative</t>
  </si>
  <si>
    <t>Limnologie</t>
  </si>
  <si>
    <t>Limon</t>
  </si>
  <si>
    <t>Lipide</t>
  </si>
  <si>
    <t>Liquéfaction de gaz</t>
  </si>
  <si>
    <t>Liquéfaction du charbon</t>
  </si>
  <si>
    <t>Liste de diffusion</t>
  </si>
  <si>
    <t>Liste rouge</t>
  </si>
  <si>
    <t>Lit bactérien</t>
  </si>
  <si>
    <t>Lit de cours d'eau</t>
  </si>
  <si>
    <t>Lit fluidisé</t>
  </si>
  <si>
    <t>Lithosphère</t>
  </si>
  <si>
    <t>Littérature</t>
  </si>
  <si>
    <t>Littoral</t>
  </si>
  <si>
    <t>Littoral maritime</t>
  </si>
  <si>
    <t>Livre</t>
  </si>
  <si>
    <t>Lixiviat de décharge</t>
  </si>
  <si>
    <t>Lixiviation</t>
  </si>
  <si>
    <t>Localisation du transport</t>
  </si>
  <si>
    <t>Location immobilière</t>
  </si>
  <si>
    <t>Locomotive</t>
  </si>
  <si>
    <t>Logement</t>
  </si>
  <si>
    <t>Logement locatif</t>
  </si>
  <si>
    <t>Logement pour animaux</t>
  </si>
  <si>
    <t>Logement provisoire</t>
  </si>
  <si>
    <t>Logiciel</t>
  </si>
  <si>
    <t>Loi</t>
  </si>
  <si>
    <t>Loi de contrôle des immissions</t>
  </si>
  <si>
    <t>Loi de finances</t>
  </si>
  <si>
    <t>Loi de mise en oeuvre</t>
  </si>
  <si>
    <t>Loi de navigation aérienne</t>
  </si>
  <si>
    <t>Loi de police</t>
  </si>
  <si>
    <t>Loi fédérale (d)</t>
  </si>
  <si>
    <t>Loi fédérale de l'aviation</t>
  </si>
  <si>
    <t>Loi fiscale</t>
  </si>
  <si>
    <t>Loi normative</t>
  </si>
  <si>
    <t>Loi régionale</t>
  </si>
  <si>
    <t>Loi relative à la protection contre le rayonnement</t>
  </si>
  <si>
    <t>Loi relative à l'élimination des déchets</t>
  </si>
  <si>
    <t>Loi spéciale</t>
  </si>
  <si>
    <t>Loi sur la gestion du recyclage et les déchets</t>
  </si>
  <si>
    <t>Loi sur la nature</t>
  </si>
  <si>
    <t>Loi sur la pêche</t>
  </si>
  <si>
    <t>Loi sur l'alimentation des animaux d'élevage</t>
  </si>
  <si>
    <t>Loi sur le voisinage</t>
  </si>
  <si>
    <t>Loi sur l'eie (evaluation de l'impact sur l'environnement)</t>
  </si>
  <si>
    <t>Loi sur les engrais</t>
  </si>
  <si>
    <t>Loi sur les matières dangereuses</t>
  </si>
  <si>
    <t>Loi sur les produits chimiques</t>
  </si>
  <si>
    <t>Loi sur les recours collectifs</t>
  </si>
  <si>
    <t>Loi sur l'essence chargée en plomb</t>
  </si>
  <si>
    <t>Loi sur l'indépendance naturelle</t>
  </si>
  <si>
    <t>Loisir de masse</t>
  </si>
  <si>
    <t>Loisirs</t>
  </si>
  <si>
    <t>Loisirs locaux</t>
  </si>
  <si>
    <t>Lombric</t>
  </si>
  <si>
    <t>Longitude</t>
  </si>
  <si>
    <t>Lubrifiant</t>
  </si>
  <si>
    <t>Lumière</t>
  </si>
  <si>
    <t>Luminosité</t>
  </si>
  <si>
    <t>Lutte antiparasitaire</t>
  </si>
  <si>
    <t>Lutte contre la désertification</t>
  </si>
  <si>
    <t>Lutte contre la pollution</t>
  </si>
  <si>
    <t>Lutte contre la sécheresse</t>
  </si>
  <si>
    <t>Lutte contre le bruit</t>
  </si>
  <si>
    <t>Lutte contre le bruit routier</t>
  </si>
  <si>
    <t>Lutte contre les inondations</t>
  </si>
  <si>
    <t>Lutte intégrée contre les nuisibles</t>
  </si>
  <si>
    <t>Lysimétrie</t>
  </si>
  <si>
    <t>Machine</t>
  </si>
  <si>
    <t>Machine agricole</t>
  </si>
  <si>
    <t>Maçonnerie</t>
  </si>
  <si>
    <t>Macro-économie</t>
  </si>
  <si>
    <t>Macrophyte</t>
  </si>
  <si>
    <t>Magasin</t>
  </si>
  <si>
    <t>Magasin de peinture</t>
  </si>
  <si>
    <t>Magnétisme</t>
  </si>
  <si>
    <t>Maillage</t>
  </si>
  <si>
    <t>Main-d'oeuvre</t>
  </si>
  <si>
    <t>Maintenance</t>
  </si>
  <si>
    <t>Maintenance de l'environnement</t>
  </si>
  <si>
    <t>Maintien de la paix</t>
  </si>
  <si>
    <t>Maison individuelle</t>
  </si>
  <si>
    <t>Maladie</t>
  </si>
  <si>
    <t>Maladie animale</t>
  </si>
  <si>
    <t>Maladie cardiovasculaire</t>
  </si>
  <si>
    <t>Maladie de chagas</t>
  </si>
  <si>
    <t>Maladie due aux radiations</t>
  </si>
  <si>
    <t>Maladie humaine</t>
  </si>
  <si>
    <t>Maladie ichtyologique</t>
  </si>
  <si>
    <t>Maladie immunologique</t>
  </si>
  <si>
    <t>Maladie infectieuse</t>
  </si>
  <si>
    <t>Maladie liée au milieu environnant</t>
  </si>
  <si>
    <t>Maladie professionnelle</t>
  </si>
  <si>
    <t>Maladie psychosomatique</t>
  </si>
  <si>
    <t>Maladie pulmonaire</t>
  </si>
  <si>
    <t>Maladie respiratoire</t>
  </si>
  <si>
    <t>Malformation</t>
  </si>
  <si>
    <t>Malnutrition</t>
  </si>
  <si>
    <t>Mammifère</t>
  </si>
  <si>
    <t>Mammifère aquatique</t>
  </si>
  <si>
    <t>Mammifère marin</t>
  </si>
  <si>
    <t>Mammifère terrestre</t>
  </si>
  <si>
    <t>Management environnemental</t>
  </si>
  <si>
    <t>Mandat</t>
  </si>
  <si>
    <t>Mandat exécutif</t>
  </si>
  <si>
    <t>Mangrove</t>
  </si>
  <si>
    <t>Manipulation génétique</t>
  </si>
  <si>
    <t>Maquis</t>
  </si>
  <si>
    <t>Marais</t>
  </si>
  <si>
    <t>Marais de mangrove</t>
  </si>
  <si>
    <t>Marais salant</t>
  </si>
  <si>
    <t>Marbre</t>
  </si>
  <si>
    <t>Marchandise d'occasion</t>
  </si>
  <si>
    <t>Marché</t>
  </si>
  <si>
    <t>Marché de l'énergie</t>
  </si>
  <si>
    <t>Marché de l'environnement</t>
  </si>
  <si>
    <t>Marché des facteurs de production</t>
  </si>
  <si>
    <t>Marché des matériaux de rebut</t>
  </si>
  <si>
    <t>Marché du travail</t>
  </si>
  <si>
    <t>Marché financier</t>
  </si>
  <si>
    <t>Marché intérieur européen</t>
  </si>
  <si>
    <t>Marché monétaire</t>
  </si>
  <si>
    <t>Marché public</t>
  </si>
  <si>
    <t>Mare</t>
  </si>
  <si>
    <t>Marée</t>
  </si>
  <si>
    <t>Marée haute</t>
  </si>
  <si>
    <t>Marée noire</t>
  </si>
  <si>
    <t>Marée rouge</t>
  </si>
  <si>
    <t>Marée verte</t>
  </si>
  <si>
    <t>Mariculture</t>
  </si>
  <si>
    <t>Marine marchande</t>
  </si>
  <si>
    <t>Marketing</t>
  </si>
  <si>
    <t>Marqueur</t>
  </si>
  <si>
    <t>Marsupiaux</t>
  </si>
  <si>
    <t>Mass media</t>
  </si>
  <si>
    <t>Massif montagneux</t>
  </si>
  <si>
    <t>Matériau</t>
  </si>
  <si>
    <t>Matériau alternatif</t>
  </si>
  <si>
    <t>Matériau de construction</t>
  </si>
  <si>
    <t>Matériau de construction local</t>
  </si>
  <si>
    <t>Matériau de rebut</t>
  </si>
  <si>
    <t>Matériau de remplissage</t>
  </si>
  <si>
    <t>Matériau dragué</t>
  </si>
  <si>
    <t>Matériau industriel</t>
  </si>
  <si>
    <t>Matériau isolant</t>
  </si>
  <si>
    <t>Matériau nouveau</t>
  </si>
  <si>
    <t>Matériau routier</t>
  </si>
  <si>
    <t>Matériaux naturels</t>
  </si>
  <si>
    <t>Matériel audiovisuel</t>
  </si>
  <si>
    <t>Matériel d'enseignement</t>
  </si>
  <si>
    <t>Matériel électronique</t>
  </si>
  <si>
    <t>Matériel mécanique</t>
  </si>
  <si>
    <t>Matériel militaire</t>
  </si>
  <si>
    <t>Matière dangereuse</t>
  </si>
  <si>
    <t>Matière minérale</t>
  </si>
  <si>
    <t>Matière organique</t>
  </si>
  <si>
    <t>Matière oxydable</t>
  </si>
  <si>
    <t>Matière polluée</t>
  </si>
  <si>
    <t>Matière première</t>
  </si>
  <si>
    <t>Matière première renouvelable</t>
  </si>
  <si>
    <t>Matière première végétale</t>
  </si>
  <si>
    <t>Matière recyclée</t>
  </si>
  <si>
    <t>Matière solide</t>
  </si>
  <si>
    <t>Matière synthétique</t>
  </si>
  <si>
    <t>Matières brutes énergétiques</t>
  </si>
  <si>
    <t>Matières dangereuses</t>
  </si>
  <si>
    <t>Matières en suspension</t>
  </si>
  <si>
    <t>Mauvaise herbe</t>
  </si>
  <si>
    <t>Mazout de chauffage</t>
  </si>
  <si>
    <t>Mécanique de précision</t>
  </si>
  <si>
    <t>Mécanique des roches</t>
  </si>
  <si>
    <t>Mécanique des sols</t>
  </si>
  <si>
    <t>Mécénat</t>
  </si>
  <si>
    <t>Médecine</t>
  </si>
  <si>
    <t>Médecine du travail</t>
  </si>
  <si>
    <t>Médecine du travail en industrie</t>
  </si>
  <si>
    <t>Médecine environnementale</t>
  </si>
  <si>
    <t>Médecine sociale</t>
  </si>
  <si>
    <t>Médecine traditionnelle</t>
  </si>
  <si>
    <t>Médecine vétérinaire</t>
  </si>
  <si>
    <t>Médicament</t>
  </si>
  <si>
    <t>Médicament éliminé</t>
  </si>
  <si>
    <t>Méfait écologique</t>
  </si>
  <si>
    <t>Mélange gazeux</t>
  </si>
  <si>
    <t>Mélanger</t>
  </si>
  <si>
    <t>Membrane</t>
  </si>
  <si>
    <t>Ménage</t>
  </si>
  <si>
    <t>Ménage particulier</t>
  </si>
  <si>
    <t>Mer</t>
  </si>
  <si>
    <t>Mer caspienne</t>
  </si>
  <si>
    <t>Mer des wadden</t>
  </si>
  <si>
    <t>Mercure</t>
  </si>
  <si>
    <t>Mesure (méthode analytique)</t>
  </si>
  <si>
    <t>Mesure compensatoire</t>
  </si>
  <si>
    <t>Mesure d'aménagement du territoire</t>
  </si>
  <si>
    <t>Mesure d'atténuation</t>
  </si>
  <si>
    <t>Mesure de contrôle</t>
  </si>
  <si>
    <t>Mesure de lutte contre la pollution</t>
  </si>
  <si>
    <t>Mesure de pollution</t>
  </si>
  <si>
    <t>Mesure de prévention</t>
  </si>
  <si>
    <t>Mesure de protection</t>
  </si>
  <si>
    <t>Mesure de restauration</t>
  </si>
  <si>
    <t>Mesure de secours d'urgence</t>
  </si>
  <si>
    <t>Mesure de sécurité</t>
  </si>
  <si>
    <t>Mesure du bruit</t>
  </si>
  <si>
    <t>Mesure du courant (dans un cours d'eau)</t>
  </si>
  <si>
    <t>Mesure du niveau sonore</t>
  </si>
  <si>
    <t>Mesure en faveur d'une consigne sur les emballages</t>
  </si>
  <si>
    <t>Mesure physique de la pollution</t>
  </si>
  <si>
    <t>Mesure pour le contrôle de la circulation</t>
  </si>
  <si>
    <t>Mesure préventive en matière de santé</t>
  </si>
  <si>
    <t>Mesures de réduction de vitesse en zone résidentielle</t>
  </si>
  <si>
    <t>Métabolisme</t>
  </si>
  <si>
    <t>Métabolisme des pesticides</t>
  </si>
  <si>
    <t>Métabolite</t>
  </si>
  <si>
    <t>Méta-informations</t>
  </si>
  <si>
    <t>Métal</t>
  </si>
  <si>
    <t>Métal lourd</t>
  </si>
  <si>
    <t>Métal non ferreux</t>
  </si>
  <si>
    <t>Métal toxique</t>
  </si>
  <si>
    <t>Métalloïde</t>
  </si>
  <si>
    <t>Météorologie</t>
  </si>
  <si>
    <t>Méthane</t>
  </si>
  <si>
    <t>Méthanisation</t>
  </si>
  <si>
    <t>Méthode</t>
  </si>
  <si>
    <t>Méthode analytique</t>
  </si>
  <si>
    <t>Méthode biochimique</t>
  </si>
  <si>
    <t>Méthode biologique de lutte contre les nuisibles</t>
  </si>
  <si>
    <t>Méthode chimique de mesure de la pollution</t>
  </si>
  <si>
    <t>Méthode culturale</t>
  </si>
  <si>
    <t>Méthode de calcul</t>
  </si>
  <si>
    <t>Méthode de détermination</t>
  </si>
  <si>
    <t>Méthode de mesure</t>
  </si>
  <si>
    <t>Méthode de test</t>
  </si>
  <si>
    <t>Méthode d'enseignement</t>
  </si>
  <si>
    <t>Méthode d'évaluation</t>
  </si>
  <si>
    <t>Méthode d'interprétation</t>
  </si>
  <si>
    <t>Méthode mathématique</t>
  </si>
  <si>
    <t>Méthodes agricoles</t>
  </si>
  <si>
    <t>Méthodologie</t>
  </si>
  <si>
    <t>Métier de l'environnement</t>
  </si>
  <si>
    <t>Métro</t>
  </si>
  <si>
    <t>Métrologie</t>
  </si>
  <si>
    <t>Métropole</t>
  </si>
  <si>
    <t>Meubles</t>
  </si>
  <si>
    <t>Microbiologie</t>
  </si>
  <si>
    <t>Microcentrale</t>
  </si>
  <si>
    <t>Microclimat</t>
  </si>
  <si>
    <t>Microclimatologie</t>
  </si>
  <si>
    <t>Microécosystème</t>
  </si>
  <si>
    <t>Microélectronique</t>
  </si>
  <si>
    <t>Microfiltration</t>
  </si>
  <si>
    <t>Micro-ordinateur</t>
  </si>
  <si>
    <t>Micro-organisme</t>
  </si>
  <si>
    <t>Micro-organisme aquatique</t>
  </si>
  <si>
    <t>Micropolluant</t>
  </si>
  <si>
    <t>Microscopie</t>
  </si>
  <si>
    <t>Migration animale</t>
  </si>
  <si>
    <t>Migration de polluant</t>
  </si>
  <si>
    <t>Migration des travailleurs</t>
  </si>
  <si>
    <t>Migration humaine</t>
  </si>
  <si>
    <t>Migration intérieure</t>
  </si>
  <si>
    <t>Migration pendulaire</t>
  </si>
  <si>
    <t>Migration saisonnière</t>
  </si>
  <si>
    <t>Milieu abiotique</t>
  </si>
  <si>
    <t>Milieu aquatique</t>
  </si>
  <si>
    <t>Milieu de culture (microbiologie)</t>
  </si>
  <si>
    <t>Milieu géophysique</t>
  </si>
  <si>
    <t>Milieu marin</t>
  </si>
  <si>
    <t>Milieu naturel</t>
  </si>
  <si>
    <t>Milieu rural</t>
  </si>
  <si>
    <t>Milieu sensible</t>
  </si>
  <si>
    <t>Milieu terrestre</t>
  </si>
  <si>
    <t>Mine</t>
  </si>
  <si>
    <t>Mine de lignite</t>
  </si>
  <si>
    <t>Minerai</t>
  </si>
  <si>
    <t>Minéral</t>
  </si>
  <si>
    <t>Mineral métallique</t>
  </si>
  <si>
    <t>Minéral non métallique</t>
  </si>
  <si>
    <t>Minéralisation</t>
  </si>
  <si>
    <t>Minéralogie</t>
  </si>
  <si>
    <t>Minéralogie du sol</t>
  </si>
  <si>
    <t>Minimisation de l'impact</t>
  </si>
  <si>
    <t>Minimisation des déchets</t>
  </si>
  <si>
    <t>Minimisation des dommages</t>
  </si>
  <si>
    <t>Ministère</t>
  </si>
  <si>
    <t>Minorité</t>
  </si>
  <si>
    <t>Miscibilité</t>
  </si>
  <si>
    <t>Mise en application commune (conférence de rio)</t>
  </si>
  <si>
    <t>Mise en décharge de déchets solides</t>
  </si>
  <si>
    <t>Mise en décharge des déchets</t>
  </si>
  <si>
    <t>Mise en réserve de crédits pour la réduction des émissions</t>
  </si>
  <si>
    <t>Mise en valeur des rives</t>
  </si>
  <si>
    <t>Mise en valeur des terres</t>
  </si>
  <si>
    <t>Mise sous écran protecteur</t>
  </si>
  <si>
    <t>Mise sous sequestre</t>
  </si>
  <si>
    <t>Mobilisation de sédiments</t>
  </si>
  <si>
    <t>Mobilisation des polluants</t>
  </si>
  <si>
    <t>Mobilité spatiale</t>
  </si>
  <si>
    <t>Mode de consommation</t>
  </si>
  <si>
    <t>Mode de faire-valoir</t>
  </si>
  <si>
    <t>Mode de transport</t>
  </si>
  <si>
    <t>Mode de vie</t>
  </si>
  <si>
    <t>Mode d'utilisation de l'énergie</t>
  </si>
  <si>
    <t>Modèle</t>
  </si>
  <si>
    <t>Modèle atmosphérique</t>
  </si>
  <si>
    <t>Modèle de comportement</t>
  </si>
  <si>
    <t>Modèle de développement</t>
  </si>
  <si>
    <t>Modèle global</t>
  </si>
  <si>
    <t>Modèle terrestre numérique</t>
  </si>
  <si>
    <t>Modélisation</t>
  </si>
  <si>
    <t>Modification du paysage</t>
  </si>
  <si>
    <t>Modification génétique</t>
  </si>
  <si>
    <t>Modification météorologique</t>
  </si>
  <si>
    <t>Mollusque</t>
  </si>
  <si>
    <t>Monde</t>
  </si>
  <si>
    <t>Monopole</t>
  </si>
  <si>
    <t>Monoxyde d'azote</t>
  </si>
  <si>
    <t>Monoxyde de carbone</t>
  </si>
  <si>
    <t>Monoxyde de soufre</t>
  </si>
  <si>
    <t>Montagne</t>
  </si>
  <si>
    <t>Montée (géologique)</t>
  </si>
  <si>
    <t>Monument</t>
  </si>
  <si>
    <t>Monument historique</t>
  </si>
  <si>
    <t>Monument naturel</t>
  </si>
  <si>
    <t>Morphologie</t>
  </si>
  <si>
    <t>Morphologie sous-marine</t>
  </si>
  <si>
    <t>Mortalité</t>
  </si>
  <si>
    <t>Mortalité infantile</t>
  </si>
  <si>
    <t>Mosaïque</t>
  </si>
  <si>
    <t>Moteur</t>
  </si>
  <si>
    <t>Moteur à combustion</t>
  </si>
  <si>
    <t>Moteur à deux temps</t>
  </si>
  <si>
    <t>Moteur à essence</t>
  </si>
  <si>
    <t>Moteur à gaz</t>
  </si>
  <si>
    <t>Moteur à quatre temps</t>
  </si>
  <si>
    <t>Moteur diesel</t>
  </si>
  <si>
    <t>Motivation des actes administratifs</t>
  </si>
  <si>
    <t>Moulin</t>
  </si>
  <si>
    <t>Moulin à eau</t>
  </si>
  <si>
    <t>Moulin à vent</t>
  </si>
  <si>
    <t>Mousse végétale</t>
  </si>
  <si>
    <t>Mouvement de population</t>
  </si>
  <si>
    <t>Mouvement écologiste</t>
  </si>
  <si>
    <t>Mouvement planétaire des masses d'air</t>
  </si>
  <si>
    <t>Mouvement social</t>
  </si>
  <si>
    <t>Moyen de communication</t>
  </si>
  <si>
    <t>Moyen de production agricole</t>
  </si>
  <si>
    <t>Moyen de transport</t>
  </si>
  <si>
    <t>Moyens de réduction de la pollution</t>
  </si>
  <si>
    <t>Mpact de la pêche sur l'environnement</t>
  </si>
  <si>
    <t>Mulch</t>
  </si>
  <si>
    <t>Municipalité</t>
  </si>
  <si>
    <t>Mur</t>
  </si>
  <si>
    <t>Musée</t>
  </si>
  <si>
    <t>Musique</t>
  </si>
  <si>
    <t>Mustélidés</t>
  </si>
  <si>
    <t>Mutagénicité</t>
  </si>
  <si>
    <t>Mutant</t>
  </si>
  <si>
    <t>Mutation</t>
  </si>
  <si>
    <t>Mycète</t>
  </si>
  <si>
    <t>Mycologie</t>
  </si>
  <si>
    <t>Mycorhize</t>
  </si>
  <si>
    <t>Mythe</t>
  </si>
  <si>
    <t>Mytiliculture</t>
  </si>
  <si>
    <t>Nappe de pétrole</t>
  </si>
  <si>
    <t>Nappe phréatique</t>
  </si>
  <si>
    <t>Nationalisation</t>
  </si>
  <si>
    <t>Nations unies</t>
  </si>
  <si>
    <t>Nausée</t>
  </si>
  <si>
    <t>Navigation</t>
  </si>
  <si>
    <t>Navigation aérienne civile</t>
  </si>
  <si>
    <t>Navigation de plaisance</t>
  </si>
  <si>
    <t>Navigation fluviale</t>
  </si>
  <si>
    <t>Navigation maritime</t>
  </si>
  <si>
    <t>Navire dépollueur</t>
  </si>
  <si>
    <t>Navire-citerne</t>
  </si>
  <si>
    <t>Nécrose</t>
  </si>
  <si>
    <t>Négociation informelle</t>
  </si>
  <si>
    <t>Neige</t>
  </si>
  <si>
    <t>Nématodes</t>
  </si>
  <si>
    <t>Nettoiement des plages</t>
  </si>
  <si>
    <t>Nettoyage</t>
  </si>
  <si>
    <t>Nettoyage à sec</t>
  </si>
  <si>
    <t>Nettoyage des rues</t>
  </si>
  <si>
    <t>Nettoyage municipal</t>
  </si>
  <si>
    <t>Neurotoxicité</t>
  </si>
  <si>
    <t>Neutralisation</t>
  </si>
  <si>
    <t>Niche écologique</t>
  </si>
  <si>
    <t>Nickel</t>
  </si>
  <si>
    <t>Nidification</t>
  </si>
  <si>
    <t>Nitrate</t>
  </si>
  <si>
    <t>Nitrate de peroxyacétyle</t>
  </si>
  <si>
    <t>Nitrification</t>
  </si>
  <si>
    <t>Nitrite</t>
  </si>
  <si>
    <t>Nitrosamine</t>
  </si>
  <si>
    <t>Niveau acoustique</t>
  </si>
  <si>
    <t>Niveau critique</t>
  </si>
  <si>
    <t>Niveau de développement</t>
  </si>
  <si>
    <t>Niveau de la mer</t>
  </si>
  <si>
    <t>Niveau de présence d'un polluant</t>
  </si>
  <si>
    <t>Niveau de risque acceptable</t>
  </si>
  <si>
    <t>Niveau de vie</t>
  </si>
  <si>
    <t>Niveau d'eau</t>
  </si>
  <si>
    <t>Niveau d'efficacité</t>
  </si>
  <si>
    <t>Niveau d'études</t>
  </si>
  <si>
    <t>Niveau municipal</t>
  </si>
  <si>
    <t>Niveau sonore</t>
  </si>
  <si>
    <t>Niveau trophique</t>
  </si>
  <si>
    <t>Nomade</t>
  </si>
  <si>
    <t>Nomenclature</t>
  </si>
  <si>
    <t>Normalisation</t>
  </si>
  <si>
    <t>Normalisation internationale</t>
  </si>
  <si>
    <t>Norme</t>
  </si>
  <si>
    <t>Norme de contrôle des pesticides</t>
  </si>
  <si>
    <t>Norme de pollution</t>
  </si>
  <si>
    <t>Norme de produit</t>
  </si>
  <si>
    <t>Norme de qualité</t>
  </si>
  <si>
    <t>Norme de qualité de l'environnement</t>
  </si>
  <si>
    <t>Norme de qualité des logements</t>
  </si>
  <si>
    <t>Norme de rejet</t>
  </si>
  <si>
    <t>Norme de sécurité</t>
  </si>
  <si>
    <t>Norme de sécurité des bâtiments</t>
  </si>
  <si>
    <t>Norme européenne</t>
  </si>
  <si>
    <t>Norme iso</t>
  </si>
  <si>
    <t>Normes et règles de l'industrie du bâtiment</t>
  </si>
  <si>
    <t>Notification</t>
  </si>
  <si>
    <t>Notion juridique indéfinie</t>
  </si>
  <si>
    <t>Nourisson</t>
  </si>
  <si>
    <t>Nouvelle communauté</t>
  </si>
  <si>
    <t>Nouvelle installation</t>
  </si>
  <si>
    <t>Nouvelle technologie</t>
  </si>
  <si>
    <t>Nuage</t>
  </si>
  <si>
    <t>Nuisance</t>
  </si>
  <si>
    <t>Nuisance sonore</t>
  </si>
  <si>
    <t>Nutriment</t>
  </si>
  <si>
    <t>Nutrition</t>
  </si>
  <si>
    <t>Nutrition animale</t>
  </si>
  <si>
    <t>Nutrition appliquée</t>
  </si>
  <si>
    <t>Objectif de qualité</t>
  </si>
  <si>
    <t>Objectif de qualité environnementale</t>
  </si>
  <si>
    <t>Objectif environnemental</t>
  </si>
  <si>
    <t>Objectif macroéconomique</t>
  </si>
  <si>
    <t>Objectifs des entreprises</t>
  </si>
  <si>
    <t>Objection</t>
  </si>
  <si>
    <t>Obligation d'enregistrement</t>
  </si>
  <si>
    <t>Obligation d'étiquetage</t>
  </si>
  <si>
    <t>Obligation d'information</t>
  </si>
  <si>
    <t>Occupation du sol</t>
  </si>
  <si>
    <t>Occupation sauvage de logement</t>
  </si>
  <si>
    <t>Océan</t>
  </si>
  <si>
    <t>Océan antarctique</t>
  </si>
  <si>
    <t>Océan arctique</t>
  </si>
  <si>
    <t>Océan atlantique nord</t>
  </si>
  <si>
    <t>Océan atlantique sud</t>
  </si>
  <si>
    <t>Océan pacifique nord</t>
  </si>
  <si>
    <t>Océan pacifique sud</t>
  </si>
  <si>
    <t>Océanographie</t>
  </si>
  <si>
    <t>Océanographie chimique</t>
  </si>
  <si>
    <t>Océanographie estuarienne</t>
  </si>
  <si>
    <t>Océanographie physique</t>
  </si>
  <si>
    <t>Odeur</t>
  </si>
  <si>
    <t>Odonates</t>
  </si>
  <si>
    <t>Oeuf</t>
  </si>
  <si>
    <t>Offre</t>
  </si>
  <si>
    <t>Offre et demande</t>
  </si>
  <si>
    <t>Oiseau</t>
  </si>
  <si>
    <t>Oiseau migrateur</t>
  </si>
  <si>
    <t>Oiseaux nicheurs</t>
  </si>
  <si>
    <t>Oléoduc</t>
  </si>
  <si>
    <t>Olfactométrie</t>
  </si>
  <si>
    <t>Onchocercose</t>
  </si>
  <si>
    <t>Oncologie</t>
  </si>
  <si>
    <t>Onde à hyperfréquences</t>
  </si>
  <si>
    <t>Ongulé</t>
  </si>
  <si>
    <t>Ontogenèse</t>
  </si>
  <si>
    <t>Opinion</t>
  </si>
  <si>
    <t>Opinion publique</t>
  </si>
  <si>
    <t>Optimisation des installations</t>
  </si>
  <si>
    <t>Orage</t>
  </si>
  <si>
    <t>Ordonnance</t>
  </si>
  <si>
    <t>Ordonnance des  biotopes</t>
  </si>
  <si>
    <t>Ordre</t>
  </si>
  <si>
    <t>Ordre juridique communautaire</t>
  </si>
  <si>
    <t>Ordures</t>
  </si>
  <si>
    <t>Ordures des navires</t>
  </si>
  <si>
    <t>Ordures ménagères</t>
  </si>
  <si>
    <t>Organe</t>
  </si>
  <si>
    <t>Organe de conseil auprès du gouvernement</t>
  </si>
  <si>
    <t>Organe judiciaire</t>
  </si>
  <si>
    <t>Organisation administrative</t>
  </si>
  <si>
    <t>Organisation de la justice</t>
  </si>
  <si>
    <t>Organisation de l'enseignement</t>
  </si>
  <si>
    <t>Organisation de l'entreprise</t>
  </si>
  <si>
    <t>Organisation de l'espace aérien</t>
  </si>
  <si>
    <t>Organisation de protection de la nature</t>
  </si>
  <si>
    <t>Organisation de protection de l'environnement</t>
  </si>
  <si>
    <t>Organisation du travail</t>
  </si>
  <si>
    <t>Organisation internationale</t>
  </si>
  <si>
    <t>Organisation judiciaire</t>
  </si>
  <si>
    <t>Organisation non gouvernementale</t>
  </si>
  <si>
    <t>Organisation politique</t>
  </si>
  <si>
    <t>Organisme</t>
  </si>
  <si>
    <t>Organisme administratif a compétence environnementale</t>
  </si>
  <si>
    <t>Organisme aquatique</t>
  </si>
  <si>
    <t>Organisme de test</t>
  </si>
  <si>
    <t>Organisme d'eau douce</t>
  </si>
  <si>
    <t>Organisme du sol</t>
  </si>
  <si>
    <t>Organisme génétiquement modifié</t>
  </si>
  <si>
    <t>Organisme marin</t>
  </si>
  <si>
    <t>Organisme non cible</t>
  </si>
  <si>
    <t>Organisme pathogène</t>
  </si>
  <si>
    <t>Organisme utile</t>
  </si>
  <si>
    <t>Ornithologie</t>
  </si>
  <si>
    <t>Orographie</t>
  </si>
  <si>
    <t>Orthoptère</t>
  </si>
  <si>
    <t>Osmose</t>
  </si>
  <si>
    <t>Osmose inverse</t>
  </si>
  <si>
    <t>Ostréiculture</t>
  </si>
  <si>
    <t>Ouvrage d'art</t>
  </si>
  <si>
    <t>Ovidé</t>
  </si>
  <si>
    <t>Oxydant photochimique</t>
  </si>
  <si>
    <t>Oxydation</t>
  </si>
  <si>
    <t>Oxyde</t>
  </si>
  <si>
    <t>Oxyde d'azote</t>
  </si>
  <si>
    <t>Oxyde de soufre</t>
  </si>
  <si>
    <t>Oxyde métallique</t>
  </si>
  <si>
    <t>Oxydes d'azote</t>
  </si>
  <si>
    <t>Oxydoréduction</t>
  </si>
  <si>
    <t>Oxygénation</t>
  </si>
  <si>
    <t>Oxygène</t>
  </si>
  <si>
    <t>Oxygène dissous</t>
  </si>
  <si>
    <t>Ozonation</t>
  </si>
  <si>
    <t>Ozone</t>
  </si>
  <si>
    <t>Ozone atmosphérique</t>
  </si>
  <si>
    <t>Ozone troposphérique</t>
  </si>
  <si>
    <t>Page d'accueil</t>
  </si>
  <si>
    <t>Paléoclimatologie</t>
  </si>
  <si>
    <t>Paléoécologie</t>
  </si>
  <si>
    <t>Paléontologie</t>
  </si>
  <si>
    <t>Paludisme</t>
  </si>
  <si>
    <t>Papier</t>
  </si>
  <si>
    <t>Papier recyclé</t>
  </si>
  <si>
    <t>Papier usagé</t>
  </si>
  <si>
    <t>Papillon</t>
  </si>
  <si>
    <t>Parachimie</t>
  </si>
  <si>
    <t>Paramètre</t>
  </si>
  <si>
    <t>Paramètre écologique</t>
  </si>
  <si>
    <t>Paramètre météorologique</t>
  </si>
  <si>
    <t>Paramètre total</t>
  </si>
  <si>
    <t>Parasite</t>
  </si>
  <si>
    <t>Parasites agricoles</t>
  </si>
  <si>
    <t>Parasitologie</t>
  </si>
  <si>
    <t>Parc de loisirs</t>
  </si>
  <si>
    <t>Parc de stationnement</t>
  </si>
  <si>
    <t>Parc de stockage</t>
  </si>
  <si>
    <t>Parc marin</t>
  </si>
  <si>
    <t>Parc national</t>
  </si>
  <si>
    <t>Parc naturel</t>
  </si>
  <si>
    <t>Parc naturel régional</t>
  </si>
  <si>
    <t>Parc zoologique</t>
  </si>
  <si>
    <t>Parcs et jardins publics</t>
  </si>
  <si>
    <t>Parlement européen</t>
  </si>
  <si>
    <t>Parquet</t>
  </si>
  <si>
    <t>Partenariat public / privé</t>
  </si>
  <si>
    <t>Parti politique</t>
  </si>
  <si>
    <t>Participation</t>
  </si>
  <si>
    <t>Participation active</t>
  </si>
  <si>
    <t>Participation communautaire</t>
  </si>
  <si>
    <t>Participation publique</t>
  </si>
  <si>
    <t>Participation sociale</t>
  </si>
  <si>
    <t>Particule</t>
  </si>
  <si>
    <t>Particule atmosphérique</t>
  </si>
  <si>
    <t>Particule solide</t>
  </si>
  <si>
    <t>Partie de la plante</t>
  </si>
  <si>
    <t>Passage</t>
  </si>
  <si>
    <t>Passereaux (passeriformes)</t>
  </si>
  <si>
    <t>Pâte à papier</t>
  </si>
  <si>
    <t>Pathologie</t>
  </si>
  <si>
    <t>Pathologie humaine</t>
  </si>
  <si>
    <t>Pathologie végétale</t>
  </si>
  <si>
    <t>Patrimoine animal</t>
  </si>
  <si>
    <t>Patrimoine biologique</t>
  </si>
  <si>
    <t>Patrimoine culturel</t>
  </si>
  <si>
    <t>Patrimoine génétique</t>
  </si>
  <si>
    <t>Patrimoine naturel</t>
  </si>
  <si>
    <t>Patrimoine végétal</t>
  </si>
  <si>
    <t>Pâturage</t>
  </si>
  <si>
    <t>Pauvreté</t>
  </si>
  <si>
    <t>Pavillon de complaisance</t>
  </si>
  <si>
    <t>Pays développé</t>
  </si>
  <si>
    <t>Pays en développement</t>
  </si>
  <si>
    <t>Pays moins avancé</t>
  </si>
  <si>
    <t>Paysage</t>
  </si>
  <si>
    <t>Paysage cultivé</t>
  </si>
  <si>
    <t>Paysage en terrasses</t>
  </si>
  <si>
    <t>Paysage minier</t>
  </si>
  <si>
    <t>Paysage urbain</t>
  </si>
  <si>
    <t>Peau</t>
  </si>
  <si>
    <t>Pêche (action)</t>
  </si>
  <si>
    <t>Pêche (général)</t>
  </si>
  <si>
    <t>Pêche à la baleine</t>
  </si>
  <si>
    <t>Pêche à la ligne</t>
  </si>
  <si>
    <t>Pêche aux filets dérivants</t>
  </si>
  <si>
    <t>Pêche côtière</t>
  </si>
  <si>
    <t>Pêche en eau douce</t>
  </si>
  <si>
    <t>Pêche en haute mer</t>
  </si>
  <si>
    <t>Pêche maritime</t>
  </si>
  <si>
    <t>Pêche professionnelle</t>
  </si>
  <si>
    <t>Pédagogie</t>
  </si>
  <si>
    <t>Pédosphère</t>
  </si>
  <si>
    <t>Peinture</t>
  </si>
  <si>
    <t>Pelleterie</t>
  </si>
  <si>
    <t>Pelouse</t>
  </si>
  <si>
    <t>Pelouse sèche</t>
  </si>
  <si>
    <t>Pénalité</t>
  </si>
  <si>
    <t>Pentachlorophénol</t>
  </si>
  <si>
    <t>Pente</t>
  </si>
  <si>
    <t>Pépinière</t>
  </si>
  <si>
    <t>Perce-oreille</t>
  </si>
  <si>
    <t>Perception de l'environnement</t>
  </si>
  <si>
    <t>Perception du risque</t>
  </si>
  <si>
    <t>Perchloroéthylène</t>
  </si>
  <si>
    <t>Percolat</t>
  </si>
  <si>
    <t>Percolation</t>
  </si>
  <si>
    <t>Performance environnementale</t>
  </si>
  <si>
    <t>Période d'adaptation</t>
  </si>
  <si>
    <t>Périphyton</t>
  </si>
  <si>
    <t>Perméabilité</t>
  </si>
  <si>
    <t>Permis applicable à l'environnement</t>
  </si>
  <si>
    <t>Permis d'aménagement</t>
  </si>
  <si>
    <t>Permis de chasse</t>
  </si>
  <si>
    <t>Permis de construire</t>
  </si>
  <si>
    <t>Permis de pêche</t>
  </si>
  <si>
    <t>Permis d'exportation</t>
  </si>
  <si>
    <t>Permis d'importation</t>
  </si>
  <si>
    <t>Permis d'importation des déchets</t>
  </si>
  <si>
    <t>Permis négociable</t>
  </si>
  <si>
    <t>Persistance</t>
  </si>
  <si>
    <t>Persistance des pesticides</t>
  </si>
  <si>
    <t>Personne agée</t>
  </si>
  <si>
    <t>Personne déplacée</t>
  </si>
  <si>
    <t>Personne handicapée</t>
  </si>
  <si>
    <t>Persuasion morale</t>
  </si>
  <si>
    <t>Perte</t>
  </si>
  <si>
    <t>Perte de biotope</t>
  </si>
  <si>
    <t>Pesticide</t>
  </si>
  <si>
    <t>Petites et moyennes industries</t>
  </si>
  <si>
    <t>Petites îles</t>
  </si>
  <si>
    <t>Pétrole</t>
  </si>
  <si>
    <t>Pétrole brut</t>
  </si>
  <si>
    <t>Pétrolier</t>
  </si>
  <si>
    <t>Pétrolier à réservoir d'entrepont</t>
  </si>
  <si>
    <t>Peuplement (biologique)</t>
  </si>
  <si>
    <t>Phanérogame</t>
  </si>
  <si>
    <t>Pharmacocinétique</t>
  </si>
  <si>
    <t>Pharmacologie</t>
  </si>
  <si>
    <t>Phénol</t>
  </si>
  <si>
    <t>Phenol halogéné</t>
  </si>
  <si>
    <t>Phénomène atmosphérique</t>
  </si>
  <si>
    <t>Phénomène météorologique</t>
  </si>
  <si>
    <t>Phérormone</t>
  </si>
  <si>
    <t>Philosophie</t>
  </si>
  <si>
    <t>Phosphate</t>
  </si>
  <si>
    <t>Phosphore</t>
  </si>
  <si>
    <t>Photo</t>
  </si>
  <si>
    <t>Photodécomposition</t>
  </si>
  <si>
    <t>Photogrammétrie</t>
  </si>
  <si>
    <t>Photographie</t>
  </si>
  <si>
    <t>Photographie aérienne</t>
  </si>
  <si>
    <t>Photosynthèse</t>
  </si>
  <si>
    <t>Physicochimie</t>
  </si>
  <si>
    <t>Physiologie</t>
  </si>
  <si>
    <t>Physiologie animale</t>
  </si>
  <si>
    <t>Physiologie des plantes</t>
  </si>
  <si>
    <t>Physiologie humaine</t>
  </si>
  <si>
    <t>Physique atmosphérique</t>
  </si>
  <si>
    <t>Physique des rayonnements</t>
  </si>
  <si>
    <t>Physique nucléaire</t>
  </si>
  <si>
    <t>Phytomasse</t>
  </si>
  <si>
    <t>Phytopathologie</t>
  </si>
  <si>
    <t>Phytoplancton</t>
  </si>
  <si>
    <t>Phytosanitaire</t>
  </si>
  <si>
    <t>Phytosociologie</t>
  </si>
  <si>
    <t>Phytotoxicité</t>
  </si>
  <si>
    <t>Pièce d'exposition</t>
  </si>
  <si>
    <t>Piégeage</t>
  </si>
  <si>
    <t>Piégeage de particules par des gouttes</t>
  </si>
  <si>
    <t>Pierre</t>
  </si>
  <si>
    <t>Pierre naturelle</t>
  </si>
  <si>
    <t>Pile alcaline</t>
  </si>
  <si>
    <t>Pile bouton</t>
  </si>
  <si>
    <t>Pile électrique</t>
  </si>
  <si>
    <t>Pilotage</t>
  </si>
  <si>
    <t>Pinnipèdes</t>
  </si>
  <si>
    <t>Pipeline</t>
  </si>
  <si>
    <t>Pisciculture</t>
  </si>
  <si>
    <t>Piste cyclable</t>
  </si>
  <si>
    <t>Piste de ski</t>
  </si>
  <si>
    <t>Pixel</t>
  </si>
  <si>
    <t>Place de stationnement</t>
  </si>
  <si>
    <t>Plage</t>
  </si>
  <si>
    <t>Plaine</t>
  </si>
  <si>
    <t>Plaine alluviale</t>
  </si>
  <si>
    <t>Plan</t>
  </si>
  <si>
    <t>Plan cadre de l'agriculture</t>
  </si>
  <si>
    <t>Plan catastrophe</t>
  </si>
  <si>
    <t>Plan d'affectation</t>
  </si>
  <si>
    <t>Plan d'alerte</t>
  </si>
  <si>
    <t>Plan d'amélioration du voisinage</t>
  </si>
  <si>
    <t>Plan d'aménagement</t>
  </si>
  <si>
    <t>Plan d'assainissement</t>
  </si>
  <si>
    <t>Plan de développement</t>
  </si>
  <si>
    <t>Plan de développement urbain</t>
  </si>
  <si>
    <t>Plan de gestion</t>
  </si>
  <si>
    <t>Plan d'échelonnement des coûts</t>
  </si>
  <si>
    <t>Plan d'exposition au bruit</t>
  </si>
  <si>
    <t>Plan d'exposition aux risques</t>
  </si>
  <si>
    <t>Plan d'intervention en cas de catastrophe</t>
  </si>
  <si>
    <t>Plan d'occupation des sols</t>
  </si>
  <si>
    <t>Plan d'urgence</t>
  </si>
  <si>
    <t>Plan écologique</t>
  </si>
  <si>
    <t>Plan économique</t>
  </si>
  <si>
    <t>Plan municipal d'environnement</t>
  </si>
  <si>
    <t>Plancton</t>
  </si>
  <si>
    <t>Planification</t>
  </si>
  <si>
    <t>Planification de la construction</t>
  </si>
  <si>
    <t>Planification de l'enseignement</t>
  </si>
  <si>
    <t>Planification de l'espace physique</t>
  </si>
  <si>
    <t>Planification de l'itinéraire</t>
  </si>
  <si>
    <t>Planification des transports</t>
  </si>
  <si>
    <t>Planification écologique</t>
  </si>
  <si>
    <t>Planification économique</t>
  </si>
  <si>
    <t>Planification et développement urbain</t>
  </si>
  <si>
    <t>Planification nationale</t>
  </si>
  <si>
    <t>Planification politique</t>
  </si>
  <si>
    <t>Planification régionale</t>
  </si>
  <si>
    <t>Planification rurale</t>
  </si>
  <si>
    <t>Planification urbaine</t>
  </si>
  <si>
    <t>Planning familial</t>
  </si>
  <si>
    <t>Planning industriel</t>
  </si>
  <si>
    <t>Plantation (d'arbres)</t>
  </si>
  <si>
    <t>Plante</t>
  </si>
  <si>
    <t>Plante à fleur</t>
  </si>
  <si>
    <t>Plante aquatique</t>
  </si>
  <si>
    <t>Plante cultivée</t>
  </si>
  <si>
    <t>Plante fourragère</t>
  </si>
  <si>
    <t>Plante grimpante (mur)</t>
  </si>
  <si>
    <t>Plante médicinale</t>
  </si>
  <si>
    <t>Plante sarclée</t>
  </si>
  <si>
    <t>Plante sauvage</t>
  </si>
  <si>
    <t>Plante textile</t>
  </si>
  <si>
    <t>Plante tropicale</t>
  </si>
  <si>
    <t>Plantigrades</t>
  </si>
  <si>
    <t>Plastique</t>
  </si>
  <si>
    <t>Plastique recyclable</t>
  </si>
  <si>
    <t>Plate-forme continentale</t>
  </si>
  <si>
    <t>Platine</t>
  </si>
  <si>
    <t>Plomb</t>
  </si>
  <si>
    <t>Plomberie (bâtiment)</t>
  </si>
  <si>
    <t>Pluie</t>
  </si>
  <si>
    <t>Pluie acide</t>
  </si>
  <si>
    <t>Plutonium</t>
  </si>
  <si>
    <t>Pneu</t>
  </si>
  <si>
    <t>Pneu d'automobile</t>
  </si>
  <si>
    <t>Pneu usagé</t>
  </si>
  <si>
    <t>Pocessus anaérobie</t>
  </si>
  <si>
    <t>Poids</t>
  </si>
  <si>
    <t>Point</t>
  </si>
  <si>
    <t>Point d'ébullition</t>
  </si>
  <si>
    <t>Poison</t>
  </si>
  <si>
    <t>Poisson</t>
  </si>
  <si>
    <t>Poisson migrateur</t>
  </si>
  <si>
    <t>Polder</t>
  </si>
  <si>
    <t>Police</t>
  </si>
  <si>
    <t>Politique</t>
  </si>
  <si>
    <t>Politique agricole</t>
  </si>
  <si>
    <t>Politique agricole commune</t>
  </si>
  <si>
    <t>Politique budgétaire</t>
  </si>
  <si>
    <t>Politique commerciale</t>
  </si>
  <si>
    <t>Politique commerciale commune</t>
  </si>
  <si>
    <t>Politique communautaire</t>
  </si>
  <si>
    <t>Politique culturelle</t>
  </si>
  <si>
    <t>Politique d'aide</t>
  </si>
  <si>
    <t>Politique de compensation (commerce des permis d'émissions)</t>
  </si>
  <si>
    <t>Politique de conservation de la nature</t>
  </si>
  <si>
    <t>Politique de coopération</t>
  </si>
  <si>
    <t>Politique de crédit</t>
  </si>
  <si>
    <t>Politique de la &amp;quot;bulle&amp;quot; (permis d'émissions négociables)</t>
  </si>
  <si>
    <t>Politique de la communication</t>
  </si>
  <si>
    <t>Politique de la construction</t>
  </si>
  <si>
    <t>Politique de la pêche</t>
  </si>
  <si>
    <t>Politique de la recherche</t>
  </si>
  <si>
    <t>Politique de l'entreprise</t>
  </si>
  <si>
    <t>Politique de l'environnement</t>
  </si>
  <si>
    <t>Politique de l'espace</t>
  </si>
  <si>
    <t>Politique de préservation des paysages</t>
  </si>
  <si>
    <t>Politique de prix des ressources</t>
  </si>
  <si>
    <t>Politique de production</t>
  </si>
  <si>
    <t>Politique de protection de la nature</t>
  </si>
  <si>
    <t>Politique d'élargissement</t>
  </si>
  <si>
    <t>Politique d'entreprise</t>
  </si>
  <si>
    <t>Politique des administrations locales</t>
  </si>
  <si>
    <t>Politique des changes</t>
  </si>
  <si>
    <t>Politique des prix</t>
  </si>
  <si>
    <t>Politique des salaires</t>
  </si>
  <si>
    <t>Politique du transport</t>
  </si>
  <si>
    <t>Politique économique</t>
  </si>
  <si>
    <t>Politique en matière de produits chimiques</t>
  </si>
  <si>
    <t>Politique en matière d'éducation</t>
  </si>
  <si>
    <t>Politique énergétique</t>
  </si>
  <si>
    <t>Politique environnementale industrielle</t>
  </si>
  <si>
    <t>Politique étrangère</t>
  </si>
  <si>
    <t>Politique fiscale</t>
  </si>
  <si>
    <t>Politique forestière</t>
  </si>
  <si>
    <t>Politique gouvernementale</t>
  </si>
  <si>
    <t>Politique industrielle</t>
  </si>
  <si>
    <t>Politique internationale</t>
  </si>
  <si>
    <t>Politique municipale de l'environnement</t>
  </si>
  <si>
    <t>Politique scientifique</t>
  </si>
  <si>
    <t>Politique sociale</t>
  </si>
  <si>
    <t>Politique tarifaire commune</t>
  </si>
  <si>
    <t>Politique territoriale</t>
  </si>
  <si>
    <t>Politique urbaine</t>
  </si>
  <si>
    <t>Pollen</t>
  </si>
  <si>
    <t>Polluant</t>
  </si>
  <si>
    <t>Polluant atmosphérique</t>
  </si>
  <si>
    <t>Polluant atmosphérique gazeux</t>
  </si>
  <si>
    <t>Polluant bioaccumulatif</t>
  </si>
  <si>
    <t>Polluant biodégradable</t>
  </si>
  <si>
    <t>Polluant biologique</t>
  </si>
  <si>
    <t>Polluant chimique</t>
  </si>
  <si>
    <t>Polluant de l'eau</t>
  </si>
  <si>
    <t>Polluant des sols</t>
  </si>
  <si>
    <t>Polluant halogéné</t>
  </si>
  <si>
    <t>Polluant inorganique</t>
  </si>
  <si>
    <t>Polluant non biodégradable</t>
  </si>
  <si>
    <t>Polluant organique</t>
  </si>
  <si>
    <t>Polluant organique persistant</t>
  </si>
  <si>
    <t>Polluant physique</t>
  </si>
  <si>
    <t>Polluant radioactif</t>
  </si>
  <si>
    <t>Polluant sonore</t>
  </si>
  <si>
    <t>Polluant urbain</t>
  </si>
  <si>
    <t>Pollution accidentelle</t>
  </si>
  <si>
    <t>Pollution agricole</t>
  </si>
  <si>
    <t>Pollution atmosphérique</t>
  </si>
  <si>
    <t>Pollution atmosphérique intérieure</t>
  </si>
  <si>
    <t>Pollution automobile</t>
  </si>
  <si>
    <t>Pollution bactériologique</t>
  </si>
  <si>
    <t>Pollution biologique</t>
  </si>
  <si>
    <t>Pollution chimique</t>
  </si>
  <si>
    <t>Pollution composite</t>
  </si>
  <si>
    <t>Pollution de cours d'eau</t>
  </si>
  <si>
    <t>Pollution de la mer</t>
  </si>
  <si>
    <t>Pollution de la ville</t>
  </si>
  <si>
    <t>Pollution de lac</t>
  </si>
  <si>
    <t>Pollution de l'air</t>
  </si>
  <si>
    <t>Pollution de l'eau</t>
  </si>
  <si>
    <t>Pollution de l'environnement</t>
  </si>
  <si>
    <t>Pollution des eaux douces</t>
  </si>
  <si>
    <t>Pollution des eaux souterraines</t>
  </si>
  <si>
    <t>Pollution des eaux usées</t>
  </si>
  <si>
    <t>Pollution d'estuaire</t>
  </si>
  <si>
    <t>Pollution diffuse</t>
  </si>
  <si>
    <t>Pollution domestique</t>
  </si>
  <si>
    <t>Pollution du littoral</t>
  </si>
  <si>
    <t>Pollution du sol</t>
  </si>
  <si>
    <t>Pollution électromagnétique</t>
  </si>
  <si>
    <t>Pollution industrielle</t>
  </si>
  <si>
    <t>Pollution minérale</t>
  </si>
  <si>
    <t>Pollution naturelle de fond</t>
  </si>
  <si>
    <t>Pollution olfactive</t>
  </si>
  <si>
    <t>Pollution organique</t>
  </si>
  <si>
    <t>Pollution photochimique</t>
  </si>
  <si>
    <t>Pollution physique</t>
  </si>
  <si>
    <t>Pollution sonore de l'environnement</t>
  </si>
  <si>
    <t>Pollution tellurique</t>
  </si>
  <si>
    <t>Pollution thermique</t>
  </si>
  <si>
    <t>Pollution toxique</t>
  </si>
  <si>
    <t>Pollution transfrontalière</t>
  </si>
  <si>
    <t>Polybromobiphényle</t>
  </si>
  <si>
    <t>Polychlorobiphényle</t>
  </si>
  <si>
    <t>Polychlorodibenzofurane</t>
  </si>
  <si>
    <t>Polychloroterphényle</t>
  </si>
  <si>
    <t>Polychlorure de vinyle</t>
  </si>
  <si>
    <t>Polyéthylène téréphtalate</t>
  </si>
  <si>
    <t>Polygone</t>
  </si>
  <si>
    <t>Polymère</t>
  </si>
  <si>
    <t>Polymère d'addition</t>
  </si>
  <si>
    <t>Polymérisation</t>
  </si>
  <si>
    <t>Pompage</t>
  </si>
  <si>
    <t>Pompe</t>
  </si>
  <si>
    <t>Pompe à chaleur</t>
  </si>
  <si>
    <t>Pompe à eau</t>
  </si>
  <si>
    <t>Pompes funèbres</t>
  </si>
  <si>
    <t>Pont</t>
  </si>
  <si>
    <t>Population</t>
  </si>
  <si>
    <t>Population (écologique)</t>
  </si>
  <si>
    <t>Population (spécifique)</t>
  </si>
  <si>
    <t>Population active</t>
  </si>
  <si>
    <t>Population active agricole</t>
  </si>
  <si>
    <t>Population animale</t>
  </si>
  <si>
    <t>Population rurale</t>
  </si>
  <si>
    <t>Population sous-privilégiée</t>
  </si>
  <si>
    <t>Population urbaine</t>
  </si>
  <si>
    <t>Population végétale</t>
  </si>
  <si>
    <t>Porcherie</t>
  </si>
  <si>
    <t>Port</t>
  </si>
  <si>
    <t>Port de plaisance</t>
  </si>
  <si>
    <t>Porte d'écluse</t>
  </si>
  <si>
    <t>Posidonie</t>
  </si>
  <si>
    <t>Post-combustion</t>
  </si>
  <si>
    <t>Post-traitement</t>
  </si>
  <si>
    <t>Pot catalytique</t>
  </si>
  <si>
    <t>Potasse</t>
  </si>
  <si>
    <t>Potentiel d'appauvrissement de l'ozone</t>
  </si>
  <si>
    <t>Potentiel de minimisation des déchets</t>
  </si>
  <si>
    <t>Potentiel de recyclage</t>
  </si>
  <si>
    <t>Poubelle</t>
  </si>
  <si>
    <t>Poursuite</t>
  </si>
  <si>
    <t>Poussière</t>
  </si>
  <si>
    <t>Poussière d'amiante</t>
  </si>
  <si>
    <t>Pouvoir de police</t>
  </si>
  <si>
    <t>Pouvoir épurateur</t>
  </si>
  <si>
    <t>Pouvoir politique</t>
  </si>
  <si>
    <t>Prairie</t>
  </si>
  <si>
    <t>Pratique commerciale restrictive</t>
  </si>
  <si>
    <t>Pratique forestière</t>
  </si>
  <si>
    <t>Pré</t>
  </si>
  <si>
    <t>Pré salé</t>
  </si>
  <si>
    <t>Pré sous-marin</t>
  </si>
  <si>
    <t>Précipitation (chimique)</t>
  </si>
  <si>
    <t>Précipitation atmosphérique</t>
  </si>
  <si>
    <t>Prédateur</t>
  </si>
  <si>
    <t>Préemption</t>
  </si>
  <si>
    <t>Prélèvement</t>
  </si>
  <si>
    <t>Prescription</t>
  </si>
  <si>
    <t>Présentation audio-visuelle</t>
  </si>
  <si>
    <t>Préservation de la nature</t>
  </si>
  <si>
    <t>Préservation des forêts</t>
  </si>
  <si>
    <t>Préservation des réserves en eau douce</t>
  </si>
  <si>
    <t>Préservation des ressources génétiques</t>
  </si>
  <si>
    <t>Préservation des ressources hydrologiques</t>
  </si>
  <si>
    <t>Préservation des ressources marines</t>
  </si>
  <si>
    <t>Préservation des ressources pétrolières</t>
  </si>
  <si>
    <t>Pressage</t>
  </si>
  <si>
    <t>Presse écrite</t>
  </si>
  <si>
    <t>Pression</t>
  </si>
  <si>
    <t>Prêt de document</t>
  </si>
  <si>
    <t>Prêt inter-bibliothèques</t>
  </si>
  <si>
    <t>Prévention de la pollution de l'eau</t>
  </si>
  <si>
    <t>Prévention de l'impact</t>
  </si>
  <si>
    <t>Prévention des avalanches</t>
  </si>
  <si>
    <t>Prévention des catastrophes</t>
  </si>
  <si>
    <t>Prévention des dommages</t>
  </si>
  <si>
    <t>Prévention des émanations de fumée</t>
  </si>
  <si>
    <t>Prévention des incendies</t>
  </si>
  <si>
    <t>Prévention des incendies de forêt</t>
  </si>
  <si>
    <t>Prévention des pollutions</t>
  </si>
  <si>
    <t>Prévention des risques naturels</t>
  </si>
  <si>
    <t>Prévision</t>
  </si>
  <si>
    <t>Prévision à long terme</t>
  </si>
  <si>
    <t>Prévision d'émission</t>
  </si>
  <si>
    <t>Prévision des crues</t>
  </si>
  <si>
    <t>Prévision économique</t>
  </si>
  <si>
    <t>Prévision météorologique</t>
  </si>
  <si>
    <t>Prévisions des immissions</t>
  </si>
  <si>
    <t>Prévoyance en cas de catastrophe</t>
  </si>
  <si>
    <t>Primates</t>
  </si>
  <si>
    <t>Prime</t>
  </si>
  <si>
    <t>Prime antipollution</t>
  </si>
  <si>
    <t>Principe de coopération</t>
  </si>
  <si>
    <t>Principe de durabilité</t>
  </si>
  <si>
    <t>Principe de paiement communautaire</t>
  </si>
  <si>
    <t>Principe de précaution</t>
  </si>
  <si>
    <t>Principe de subsidiarité</t>
  </si>
  <si>
    <t>Principe pollueur payeur</t>
  </si>
  <si>
    <t>Priorité environnementale</t>
  </si>
  <si>
    <t>Privatisation</t>
  </si>
  <si>
    <t>Prix</t>
  </si>
  <si>
    <t>Prix agricole</t>
  </si>
  <si>
    <t>Prix de marché</t>
  </si>
  <si>
    <t>Prix de transport</t>
  </si>
  <si>
    <t>Prix des matériaux de rebut</t>
  </si>
  <si>
    <t>Problème social</t>
  </si>
  <si>
    <t>Proboscidiens</t>
  </si>
  <si>
    <t>Procaryotes</t>
  </si>
  <si>
    <t>Procédé &amp;quot;thermosélect&amp;quot;</t>
  </si>
  <si>
    <t>Procédé chimique</t>
  </si>
  <si>
    <t>Procédé chimique de lutte contre les nuisibles</t>
  </si>
  <si>
    <t>Procédé discontinu</t>
  </si>
  <si>
    <t>Procédé par voie humide</t>
  </si>
  <si>
    <t>Procédé technologique</t>
  </si>
  <si>
    <t>Procédure administrative</t>
  </si>
  <si>
    <t>Procédure d'appel</t>
  </si>
  <si>
    <t>Procédure d'audition</t>
  </si>
  <si>
    <t>Procédure de définition</t>
  </si>
  <si>
    <t>Procédure de test recommandée</t>
  </si>
  <si>
    <t>Procédure d'enregistrement</t>
  </si>
  <si>
    <t>Procédure judiciaire</t>
  </si>
  <si>
    <t>Procédure législative</t>
  </si>
  <si>
    <t>Procédure législative en matière d'environnement</t>
  </si>
  <si>
    <t>Procédure pénale</t>
  </si>
  <si>
    <t>Procédure pour l'obtention d'un permis</t>
  </si>
  <si>
    <t>Procédure préliminaire</t>
  </si>
  <si>
    <t>Procès</t>
  </si>
  <si>
    <t>Processus aérobie</t>
  </si>
  <si>
    <t>Processus biochimique</t>
  </si>
  <si>
    <t>Processus biologique</t>
  </si>
  <si>
    <t>Processus de blanchiment</t>
  </si>
  <si>
    <t>Processus de décision</t>
  </si>
  <si>
    <t>Processus de propagation</t>
  </si>
  <si>
    <t>Processus de suivi</t>
  </si>
  <si>
    <t>Processus du sol</t>
  </si>
  <si>
    <t>Processus énergétique</t>
  </si>
  <si>
    <t>Processus géologique</t>
  </si>
  <si>
    <t>Processus géomorphologique</t>
  </si>
  <si>
    <t>Processus industriel</t>
  </si>
  <si>
    <t>Processus législatif</t>
  </si>
  <si>
    <t>Processus physico-chimique</t>
  </si>
  <si>
    <t>Processus physique</t>
  </si>
  <si>
    <t>Processus sociaux</t>
  </si>
  <si>
    <t>Procréacion artificielle</t>
  </si>
  <si>
    <t>Production agricole</t>
  </si>
  <si>
    <t>Production alimentaire (agriculture)</t>
  </si>
  <si>
    <t>Production animale</t>
  </si>
  <si>
    <t>Production biologique</t>
  </si>
  <si>
    <t>Production de goudron</t>
  </si>
  <si>
    <t>Production de purin</t>
  </si>
  <si>
    <t>Production d'énergie</t>
  </si>
  <si>
    <t>Production d'énergie électrique</t>
  </si>
  <si>
    <t>Production forestière</t>
  </si>
  <si>
    <t>Production industrielle</t>
  </si>
  <si>
    <t>Production végétale</t>
  </si>
  <si>
    <t>Productivité</t>
  </si>
  <si>
    <t>Produit</t>
  </si>
  <si>
    <t>Produit agricole</t>
  </si>
  <si>
    <t>Produit agricole transformé</t>
  </si>
  <si>
    <t>Produit agrochimique</t>
  </si>
  <si>
    <t>Produit alimentaire</t>
  </si>
  <si>
    <t>Produit alimentaire complexe</t>
  </si>
  <si>
    <t>Produit animal</t>
  </si>
  <si>
    <t>Produit anti-corrosion</t>
  </si>
  <si>
    <t>Produit antivégétal</t>
  </si>
  <si>
    <t>Produit chimique</t>
  </si>
  <si>
    <t>Produit chimique ménager</t>
  </si>
  <si>
    <t>Produit de consommation</t>
  </si>
  <si>
    <t>Produit de dégradation</t>
  </si>
  <si>
    <t>Produit de nettoyage</t>
  </si>
  <si>
    <t>Produit du bois</t>
  </si>
  <si>
    <t>Produit forestier</t>
  </si>
  <si>
    <t>Produit industriel</t>
  </si>
  <si>
    <t>Produit inflammable</t>
  </si>
  <si>
    <t>Produit intérieur brut</t>
  </si>
  <si>
    <t>Produit intermédiaire</t>
  </si>
  <si>
    <t>Produit laitier</t>
  </si>
  <si>
    <t>Produit métallique</t>
  </si>
  <si>
    <t>Produit minier</t>
  </si>
  <si>
    <t>Produit national brut</t>
  </si>
  <si>
    <t>Produit pétrochimique</t>
  </si>
  <si>
    <t>Produit photochimique</t>
  </si>
  <si>
    <t>Produit phytosanitaire</t>
  </si>
  <si>
    <t>Produit propre</t>
  </si>
  <si>
    <t>Produit protéique</t>
  </si>
  <si>
    <t>Produit semi-manufacturé</t>
  </si>
  <si>
    <t>Produit toxique</t>
  </si>
  <si>
    <t>Produits chimiques dans l'environnement</t>
  </si>
  <si>
    <t>Produits chimiques existant</t>
  </si>
  <si>
    <t>Produits divers</t>
  </si>
  <si>
    <t>Produits intermédiaires</t>
  </si>
  <si>
    <t>Produits ménagers</t>
  </si>
  <si>
    <t>Profession</t>
  </si>
  <si>
    <t>Profession administrative</t>
  </si>
  <si>
    <t>Profession de la santé</t>
  </si>
  <si>
    <t>Profession judiciaire</t>
  </si>
  <si>
    <t>Profil du sol</t>
  </si>
  <si>
    <t>Prognostique</t>
  </si>
  <si>
    <t>Programme</t>
  </si>
  <si>
    <t>Programme d'action urbaine</t>
  </si>
  <si>
    <t>Programme d'ajustement structurel</t>
  </si>
  <si>
    <t>Programme d'analyse</t>
  </si>
  <si>
    <t>Programme d'auto-aide</t>
  </si>
  <si>
    <t>Programme de conservation des espèces</t>
  </si>
  <si>
    <t>Programme de mesure</t>
  </si>
  <si>
    <t>Programme de protection de la nature</t>
  </si>
  <si>
    <t>Programme de suivi</t>
  </si>
  <si>
    <t>Programme d'élargissement</t>
  </si>
  <si>
    <t>Programme d'études</t>
  </si>
  <si>
    <t>Programme environnemental</t>
  </si>
  <si>
    <t>Programme immobilier</t>
  </si>
  <si>
    <t>Programme national de protection de l'environnement</t>
  </si>
  <si>
    <t>Programme radio</t>
  </si>
  <si>
    <t>Programme télévisé</t>
  </si>
  <si>
    <t>Projection géographique</t>
  </si>
  <si>
    <t>Projet</t>
  </si>
  <si>
    <t>Projet d'acte législatif</t>
  </si>
  <si>
    <t>Projet de loi</t>
  </si>
  <si>
    <t>Projet de recherche</t>
  </si>
  <si>
    <t>Projet d'équipement</t>
  </si>
  <si>
    <t>Projet pilote</t>
  </si>
  <si>
    <t>Prolifération d'algues</t>
  </si>
  <si>
    <t>Promotion du commerce et de l'industrie</t>
  </si>
  <si>
    <t>Propagation du son</t>
  </si>
  <si>
    <t>Propreté</t>
  </si>
  <si>
    <t>Propriété</t>
  </si>
  <si>
    <t>Propriété acoustique</t>
  </si>
  <si>
    <t>Propriété chimique</t>
  </si>
  <si>
    <t>Propriété foncière agricole</t>
  </si>
  <si>
    <t>Propriété organoleptique</t>
  </si>
  <si>
    <t>Propriété physique</t>
  </si>
  <si>
    <t>Prospérité</t>
  </si>
  <si>
    <t>Protection civile</t>
  </si>
  <si>
    <t>Protection contre le bruit</t>
  </si>
  <si>
    <t>Protection contre le feu</t>
  </si>
  <si>
    <t>Protection contre les crues</t>
  </si>
  <si>
    <t>Protection contre les voisins</t>
  </si>
  <si>
    <t>Protection de biotope</t>
  </si>
  <si>
    <t>Protection de la faune et de la flore</t>
  </si>
  <si>
    <t>Protection de la faune sauvage</t>
  </si>
  <si>
    <t>Protection de la forêt</t>
  </si>
  <si>
    <t>Protection de la montagne</t>
  </si>
  <si>
    <t>Protection de la nature</t>
  </si>
  <si>
    <t>Protection de la propriété</t>
  </si>
  <si>
    <t>Protection de la santé</t>
  </si>
  <si>
    <t>Protection de l'eau</t>
  </si>
  <si>
    <t>Protection de l'eau de mer</t>
  </si>
  <si>
    <t>Protection de l'environnement</t>
  </si>
  <si>
    <t>Protection de l'hygiène du milieu</t>
  </si>
  <si>
    <t>Protection de l'ouïe</t>
  </si>
  <si>
    <t>Protection de zone de captage de l'eau</t>
  </si>
  <si>
    <t>Protection des abeilles</t>
  </si>
  <si>
    <t>Protection des animaux</t>
  </si>
  <si>
    <t>Protection des berges</t>
  </si>
  <si>
    <t>Protection des consommateurs</t>
  </si>
  <si>
    <t>Protection des cultures</t>
  </si>
  <si>
    <t>Protection des données</t>
  </si>
  <si>
    <t>Protection des espaces naturels</t>
  </si>
  <si>
    <t>Protection des espèces</t>
  </si>
  <si>
    <t>Protection des matières premières</t>
  </si>
  <si>
    <t>Protection des niveaux d'eau</t>
  </si>
  <si>
    <t>Protection des oiseaux</t>
  </si>
  <si>
    <t>Protection des plantes</t>
  </si>
  <si>
    <t>Protection des réserves d'eau souterraines</t>
  </si>
  <si>
    <t>Protection des sites</t>
  </si>
  <si>
    <t>Protection des terres</t>
  </si>
  <si>
    <t>Protection du climat</t>
  </si>
  <si>
    <t>Protection du littoral</t>
  </si>
  <si>
    <t>Protection du paysage</t>
  </si>
  <si>
    <t>Protection sociale</t>
  </si>
  <si>
    <t>Protéine</t>
  </si>
  <si>
    <t>Protoplasme des germes</t>
  </si>
  <si>
    <t>Protozoaire</t>
  </si>
  <si>
    <t>Province</t>
  </si>
  <si>
    <t>Psychologie</t>
  </si>
  <si>
    <t>Psychologie environnementale</t>
  </si>
  <si>
    <t>Psychosociologie</t>
  </si>
  <si>
    <t>Puanteur</t>
  </si>
  <si>
    <t>Public</t>
  </si>
  <si>
    <t>Publicité</t>
  </si>
  <si>
    <t>Publicité pour un produit</t>
  </si>
  <si>
    <t>Puce</t>
  </si>
  <si>
    <t>Puce d'eau</t>
  </si>
  <si>
    <t>Puisage des eaux souterraines</t>
  </si>
  <si>
    <t>Puits</t>
  </si>
  <si>
    <t>Puits de pollution</t>
  </si>
  <si>
    <t>Puits d'eau</t>
  </si>
  <si>
    <t>Punaise</t>
  </si>
  <si>
    <t>Purin</t>
  </si>
  <si>
    <t>Purine</t>
  </si>
  <si>
    <t>Pyralène</t>
  </si>
  <si>
    <t>Pyrolyse</t>
  </si>
  <si>
    <t>Qualité acoustique</t>
  </si>
  <si>
    <t>Qualité de l'air</t>
  </si>
  <si>
    <t>Qualité de l'eau</t>
  </si>
  <si>
    <t>Qualité de l'environnement</t>
  </si>
  <si>
    <t>Qualité de vie</t>
  </si>
  <si>
    <t>Qualité des denrées alimentaires</t>
  </si>
  <si>
    <t>Qualité des eaux souterraines</t>
  </si>
  <si>
    <t>Qualité des eaux usées</t>
  </si>
  <si>
    <t>Qualité du sol</t>
  </si>
  <si>
    <t>Quantité résiduelle d'eau</t>
  </si>
  <si>
    <t>Racine</t>
  </si>
  <si>
    <t>Radar</t>
  </si>
  <si>
    <t>Radio</t>
  </si>
  <si>
    <t>Radioactivité</t>
  </si>
  <si>
    <t>Radioactivité naturelle</t>
  </si>
  <si>
    <t>Radioélément</t>
  </si>
  <si>
    <t>Radionucléide</t>
  </si>
  <si>
    <t>Radioprotection</t>
  </si>
  <si>
    <t>Radon</t>
  </si>
  <si>
    <t>Raffinage</t>
  </si>
  <si>
    <t>Raffinage de la houille</t>
  </si>
  <si>
    <t>Raffinage de pétrole</t>
  </si>
  <si>
    <t>Raffinerie</t>
  </si>
  <si>
    <t>Raffinerie de pétrole</t>
  </si>
  <si>
    <t>Rapace</t>
  </si>
  <si>
    <t>Rapport au ministre</t>
  </si>
  <si>
    <t>Rapport de recyclage</t>
  </si>
  <si>
    <t>Rapport parlementaire</t>
  </si>
  <si>
    <t>Rapport sur l'environnement</t>
  </si>
  <si>
    <t>Rapport sur l'état de l'environnement</t>
  </si>
  <si>
    <t>Ratio chaleur/ énergie fournie</t>
  </si>
  <si>
    <t>Rationalisation des choix budgétaires</t>
  </si>
  <si>
    <t>Rayonnement</t>
  </si>
  <si>
    <t>Rayonnement alpha</t>
  </si>
  <si>
    <t>Rayonnement ambiant</t>
  </si>
  <si>
    <t>Rayonnement beta</t>
  </si>
  <si>
    <t>Rayonnement cosmique</t>
  </si>
  <si>
    <t>Rayonnement gamma</t>
  </si>
  <si>
    <t>Rayonnement infrarouge</t>
  </si>
  <si>
    <t>Rayonnement ionisant</t>
  </si>
  <si>
    <t>Rayonnement non-ionisant</t>
  </si>
  <si>
    <t>Rayonnement solaire</t>
  </si>
  <si>
    <t>Rayonnement ultraviolet</t>
  </si>
  <si>
    <t>Rayons x</t>
  </si>
  <si>
    <t>Raz de marée</t>
  </si>
  <si>
    <t>Réacteur</t>
  </si>
  <si>
    <t>Réacteur nucléaire</t>
  </si>
  <si>
    <t>Réactif photochimique</t>
  </si>
  <si>
    <t>Réaction chimique</t>
  </si>
  <si>
    <t>Réaction nucléaire</t>
  </si>
  <si>
    <t>Réaction photochimique</t>
  </si>
  <si>
    <t>Reboisement</t>
  </si>
  <si>
    <t>Recensement</t>
  </si>
  <si>
    <t>Réchauffement mondial</t>
  </si>
  <si>
    <t>Recherche appliquée</t>
  </si>
  <si>
    <t>Recherche bibliographique</t>
  </si>
  <si>
    <t>Recherche des effets</t>
  </si>
  <si>
    <t>Recherche en laboratoire</t>
  </si>
  <si>
    <t>Recherche historique</t>
  </si>
  <si>
    <t>Recherche interdisciplinaire</t>
  </si>
  <si>
    <t>Recherche météorologique</t>
  </si>
  <si>
    <t>Recherche scientifique</t>
  </si>
  <si>
    <t>Recherche spatiale</t>
  </si>
  <si>
    <t>Recherche sur l'environnement et développement</t>
  </si>
  <si>
    <t>Recherche sur les écosystèmes</t>
  </si>
  <si>
    <t>Récif</t>
  </si>
  <si>
    <t>Récif barrière</t>
  </si>
  <si>
    <t>Récif corallien</t>
  </si>
  <si>
    <t>Récipient à usage unique</t>
  </si>
  <si>
    <t>Recirculation des gaz</t>
  </si>
  <si>
    <t>Récolte</t>
  </si>
  <si>
    <t>Recommandation</t>
  </si>
  <si>
    <t>Reconnaissance de formes</t>
  </si>
  <si>
    <t>Recours</t>
  </si>
  <si>
    <t>Recours judiciaire</t>
  </si>
  <si>
    <t>Récréation</t>
  </si>
  <si>
    <t>Récupération des déchets</t>
  </si>
  <si>
    <t>Récupération des résidus de pétrole</t>
  </si>
  <si>
    <t>Récupération du solvant</t>
  </si>
  <si>
    <t>Recyclabilité</t>
  </si>
  <si>
    <t>Recyclage</t>
  </si>
  <si>
    <t>Recyclage des déchets</t>
  </si>
  <si>
    <t>Recyclage des résidus</t>
  </si>
  <si>
    <t>Redevance</t>
  </si>
  <si>
    <t>Redevance sur les déchêts</t>
  </si>
  <si>
    <t>Redevance sur les eaux usées</t>
  </si>
  <si>
    <t>Réduction (chimie)</t>
  </si>
  <si>
    <t>Réduction de la pollution</t>
  </si>
  <si>
    <t>Réduction de la pollution par le pétrole</t>
  </si>
  <si>
    <t>Réduction de la surface boisée</t>
  </si>
  <si>
    <t>Réduction d'émission</t>
  </si>
  <si>
    <t>Réduction des coûts</t>
  </si>
  <si>
    <t>Réduction des déchets</t>
  </si>
  <si>
    <t>Réduction des déchets à la source</t>
  </si>
  <si>
    <t>Réduction des émissions d'effluents gazeux</t>
  </si>
  <si>
    <t>Réduction des rejets (d'eau usée)</t>
  </si>
  <si>
    <t>Réduction des risques</t>
  </si>
  <si>
    <t>Réduction du bruit</t>
  </si>
  <si>
    <t>Réemploi de matériaux</t>
  </si>
  <si>
    <t>Réflexion</t>
  </si>
  <si>
    <t>Réfrigérant</t>
  </si>
  <si>
    <t>Réfrigérateur</t>
  </si>
  <si>
    <t>Réfrigération</t>
  </si>
  <si>
    <t>Refroidissement</t>
  </si>
  <si>
    <t>Refuge de montagne</t>
  </si>
  <si>
    <t>Refuge des oiseaux</t>
  </si>
  <si>
    <t>Réfugié</t>
  </si>
  <si>
    <t>Régénération</t>
  </si>
  <si>
    <t>Régénération d'eau</t>
  </si>
  <si>
    <t>Régénération naturelle</t>
  </si>
  <si>
    <t>Régime d'écoulement</t>
  </si>
  <si>
    <t>Régime d'humidité du sol</t>
  </si>
  <si>
    <t>Régime foncier</t>
  </si>
  <si>
    <t>Régime hydrologique</t>
  </si>
  <si>
    <t>Région</t>
  </si>
  <si>
    <t>Région à forêt tempérée</t>
  </si>
  <si>
    <t>Région antarctique</t>
  </si>
  <si>
    <t>Région arctique</t>
  </si>
  <si>
    <t>Région économique</t>
  </si>
  <si>
    <t>Région polaire</t>
  </si>
  <si>
    <t>Région volcanique</t>
  </si>
  <si>
    <t>Registre des émissions</t>
  </si>
  <si>
    <t>Règle de compensation àl'intérieur d'un groupe (permis d'émissions)</t>
  </si>
  <si>
    <t>Règle de sécurité</t>
  </si>
  <si>
    <t>Règle générale</t>
  </si>
  <si>
    <t>Règle politique</t>
  </si>
  <si>
    <t>Règlement</t>
  </si>
  <si>
    <t>Règlement (cee) en matière de management environnemental et d'audit</t>
  </si>
  <si>
    <t>Règlement (cee) en matière de substances chimiques existantes</t>
  </si>
  <si>
    <t>Règlement de la ce</t>
  </si>
  <si>
    <t>Règlement judiciaire</t>
  </si>
  <si>
    <t>Règlement municipal</t>
  </si>
  <si>
    <t>Règlement régional</t>
  </si>
  <si>
    <t>Règlement sur les mines</t>
  </si>
  <si>
    <t>Règlement sur les valeurs maximales admissibles</t>
  </si>
  <si>
    <t>Réglementation de la circulation</t>
  </si>
  <si>
    <t>Réglementation de la production agricole</t>
  </si>
  <si>
    <t>Réglementation de la protection de l'environnement</t>
  </si>
  <si>
    <t>Réglementation de lutte contre la pollution</t>
  </si>
  <si>
    <t>Réglementation de sécurité au travail</t>
  </si>
  <si>
    <t>Réglementation des matières dangereuses</t>
  </si>
  <si>
    <t>Réglementation douanière</t>
  </si>
  <si>
    <t>Réglementation du bâtiment</t>
  </si>
  <si>
    <t>Réglementation du trafic aérien</t>
  </si>
  <si>
    <t>Réglementation du transport</t>
  </si>
  <si>
    <t>Réglementation juridique</t>
  </si>
  <si>
    <t>Réglementation parasismique</t>
  </si>
  <si>
    <t>Réglementation sanitaire</t>
  </si>
  <si>
    <t>Réglementation souple de la protection de l'environnement</t>
  </si>
  <si>
    <t>Réglementation sur la ferraille électronique</t>
  </si>
  <si>
    <t>Réglementation technique</t>
  </si>
  <si>
    <t>Règles de prévention incendies</t>
  </si>
  <si>
    <t>Régulation des naissances</t>
  </si>
  <si>
    <t>Réhabilitation</t>
  </si>
  <si>
    <t>Réhabilitation du logement</t>
  </si>
  <si>
    <t>Réintroduction</t>
  </si>
  <si>
    <t>Réintroduction des espèces</t>
  </si>
  <si>
    <t>Réintroduction d'espèces animales</t>
  </si>
  <si>
    <t>Réintroduction d'espèces végétales</t>
  </si>
  <si>
    <t>Rejet accidentel d'organismes</t>
  </si>
  <si>
    <t>Rejet dans l'eau</t>
  </si>
  <si>
    <t>Rejet d'eaux usées</t>
  </si>
  <si>
    <t>Rejet en cours d'eau</t>
  </si>
  <si>
    <t>Rejet en mer</t>
  </si>
  <si>
    <t>Rejet en sous sol</t>
  </si>
  <si>
    <t>Rejets humides (industrie minière)</t>
  </si>
  <si>
    <t>Relation commerciale</t>
  </si>
  <si>
    <t>Relation coûts-bénéfices</t>
  </si>
  <si>
    <t>Relation de cause à effet</t>
  </si>
  <si>
    <t>Relation dose-effet</t>
  </si>
  <si>
    <t>Relation internationale</t>
  </si>
  <si>
    <t>Relation interraciale</t>
  </si>
  <si>
    <t>Relation monétaire</t>
  </si>
  <si>
    <t>Relation nord-sud</t>
  </si>
  <si>
    <t>Relation publique</t>
  </si>
  <si>
    <t>Relation santé-environnement</t>
  </si>
  <si>
    <t>Relation structure activité</t>
  </si>
  <si>
    <t>Relations économiques extérieures</t>
  </si>
  <si>
    <t>Relations est-ouest</t>
  </si>
  <si>
    <t>Relations homme-nature</t>
  </si>
  <si>
    <t>Relations internationales pour l'environnement</t>
  </si>
  <si>
    <t>Relations terre-soleil</t>
  </si>
  <si>
    <t>Relief</t>
  </si>
  <si>
    <t>Religion</t>
  </si>
  <si>
    <t>Relogement</t>
  </si>
  <si>
    <t>Remblayage de mines</t>
  </si>
  <si>
    <t>Remembrement</t>
  </si>
  <si>
    <t>Remise en état d'anciennes installations industrielles</t>
  </si>
  <si>
    <t>Remise en état de sites miniers</t>
  </si>
  <si>
    <t>Remise en mouvement des polluants</t>
  </si>
  <si>
    <t>Remodelage de terrain</t>
  </si>
  <si>
    <t>Remplissage de réservoir (barrage)</t>
  </si>
  <si>
    <t>Rendement</t>
  </si>
  <si>
    <t>Rendement (agriculture)</t>
  </si>
  <si>
    <t>Rendement de pêche</t>
  </si>
  <si>
    <t>Renforcement de digue</t>
  </si>
  <si>
    <t>Rénovation urbaine</t>
  </si>
  <si>
    <t>Réparation des dommages</t>
  </si>
  <si>
    <t>Répartition géographique de la population</t>
  </si>
  <si>
    <t>Répertorier les substances</t>
  </si>
  <si>
    <t>Replat sableux</t>
  </si>
  <si>
    <t>Représentation</t>
  </si>
  <si>
    <t>Représentation sociale</t>
  </si>
  <si>
    <t>Répression</t>
  </si>
  <si>
    <t>Reproduction</t>
  </si>
  <si>
    <t>Reproduction animale</t>
  </si>
  <si>
    <t>Reproduction végétale</t>
  </si>
  <si>
    <t>Reptile</t>
  </si>
  <si>
    <t>Réseau de biotope</t>
  </si>
  <si>
    <t>Réseau de canalisation combiné</t>
  </si>
  <si>
    <t>Réseau de canalisation indépendant</t>
  </si>
  <si>
    <t>Réseau de chauffage urbain</t>
  </si>
  <si>
    <t>Réseau de distribution d'eau</t>
  </si>
  <si>
    <t>Réseau de drainage</t>
  </si>
  <si>
    <t>Réseau de mesure</t>
  </si>
  <si>
    <t>Réseau d'égouts</t>
  </si>
  <si>
    <t>Réseau d'information</t>
  </si>
  <si>
    <t>Réseau d'information sur l'environnement</t>
  </si>
  <si>
    <t>Réseau d'irrigation</t>
  </si>
  <si>
    <t>Réseau électronique d'information</t>
  </si>
  <si>
    <t>Réseau ferroviaire</t>
  </si>
  <si>
    <t>Réseau gazier</t>
  </si>
  <si>
    <t>Réseau grande distance</t>
  </si>
  <si>
    <t>Réseau hydrographique</t>
  </si>
  <si>
    <t>Réseau routier</t>
  </si>
  <si>
    <t>Réserve</t>
  </si>
  <si>
    <t>Réserve anthropologique</t>
  </si>
  <si>
    <t>Réserve biologique</t>
  </si>
  <si>
    <t>Réserve biologique forestière</t>
  </si>
  <si>
    <t>Réserve biologique gouvernementale</t>
  </si>
  <si>
    <t>Réserve de biosphère</t>
  </si>
  <si>
    <t>Réserve de chasse</t>
  </si>
  <si>
    <t>Réserve de pêche</t>
  </si>
  <si>
    <t>Réserve de ressources</t>
  </si>
  <si>
    <t>Réserve forestière</t>
  </si>
  <si>
    <t>Réserve marine</t>
  </si>
  <si>
    <t>Réserve nationale de pêche</t>
  </si>
  <si>
    <t>Réserve naturelle</t>
  </si>
  <si>
    <t>Réserve naturelle européenne</t>
  </si>
  <si>
    <t>Réserve naturelle intégrale</t>
  </si>
  <si>
    <t>Réserve naturelle nationale</t>
  </si>
  <si>
    <t>Réserve naturelle volontaire</t>
  </si>
  <si>
    <t>Réserve pour animaux</t>
  </si>
  <si>
    <t>Réservoir à gaz</t>
  </si>
  <si>
    <t>Réservoir d'eau</t>
  </si>
  <si>
    <t>Résidu de broyage</t>
  </si>
  <si>
    <t>Résidu de combustion</t>
  </si>
  <si>
    <t>Résidu de pesticide</t>
  </si>
  <si>
    <t>Résidu d'épuration</t>
  </si>
  <si>
    <t>Résidu d'incinération</t>
  </si>
  <si>
    <t>Résidus de cultures</t>
  </si>
  <si>
    <t>Résiliation de contrat de travail</t>
  </si>
  <si>
    <t>Résine</t>
  </si>
  <si>
    <t>Résineux</t>
  </si>
  <si>
    <t>Résistance (biologique)</t>
  </si>
  <si>
    <t>Résistance des matériaux</t>
  </si>
  <si>
    <t>Résolution</t>
  </si>
  <si>
    <t>Résolution (paramètres)</t>
  </si>
  <si>
    <t>Résorption</t>
  </si>
  <si>
    <t>Respiration</t>
  </si>
  <si>
    <t>Responsabilité</t>
  </si>
  <si>
    <t>Responsabilité de la pollution</t>
  </si>
  <si>
    <t>Responsabilité du producteur</t>
  </si>
  <si>
    <t>Responsabilité écologique</t>
  </si>
  <si>
    <t>Responsabilité gouvernementale</t>
  </si>
  <si>
    <t>Responsabilité pénale</t>
  </si>
  <si>
    <t>Responsabilité personnelle</t>
  </si>
  <si>
    <t>Responsabilité pour les accidents en mer</t>
  </si>
  <si>
    <t>Responsabilité pour les dommages nucléaires</t>
  </si>
  <si>
    <t>Ressource animale</t>
  </si>
  <si>
    <t>Ressource biologique</t>
  </si>
  <si>
    <t>Ressource climatique</t>
  </si>
  <si>
    <t>Ressource en eau</t>
  </si>
  <si>
    <t>Ressource en eau douce</t>
  </si>
  <si>
    <t>Ressource énergétique</t>
  </si>
  <si>
    <t>Ressource forestière</t>
  </si>
  <si>
    <t>Ressource génétique</t>
  </si>
  <si>
    <t>Ressource halieutique</t>
  </si>
  <si>
    <t>Ressource marine</t>
  </si>
  <si>
    <t>Ressource microbienne</t>
  </si>
  <si>
    <t>Ressource minérale</t>
  </si>
  <si>
    <t>Ressource naturelle</t>
  </si>
  <si>
    <t>Ressource non renouvelable</t>
  </si>
  <si>
    <t>Ressource renouvelable</t>
  </si>
  <si>
    <t>Ressource végétale</t>
  </si>
  <si>
    <t>Ressources biologiques de la terre</t>
  </si>
  <si>
    <t>Ressources du sol</t>
  </si>
  <si>
    <t>Ressources fluviales</t>
  </si>
  <si>
    <t>Ressources marines biologiques</t>
  </si>
  <si>
    <t>Restauration</t>
  </si>
  <si>
    <t>Restauration après catastrophe</t>
  </si>
  <si>
    <t>Restauration de bâtiment</t>
  </si>
  <si>
    <t>Restauration de la flore</t>
  </si>
  <si>
    <t>Restauration de la vie sauvage</t>
  </si>
  <si>
    <t>Restauration de l'eau</t>
  </si>
  <si>
    <t>Restauration de site</t>
  </si>
  <si>
    <t>Restauration de terrain</t>
  </si>
  <si>
    <t>Restauration de terrain en montagne</t>
  </si>
  <si>
    <t>Restes d'animaux</t>
  </si>
  <si>
    <t>Restriction à la concurrence</t>
  </si>
  <si>
    <t>Restriction commerciale</t>
  </si>
  <si>
    <t>Restriction concernant l'utilisation</t>
  </si>
  <si>
    <t>Restriction statutaire des prescriptions</t>
  </si>
  <si>
    <t>Rétablissement de l'état naturel</t>
  </si>
  <si>
    <t>Rétablissement du paysage</t>
  </si>
  <si>
    <t>Retenue d'eau</t>
  </si>
  <si>
    <t>Retombée</t>
  </si>
  <si>
    <t>Retombée (substances chimiques)</t>
  </si>
  <si>
    <t>Retombée acide</t>
  </si>
  <si>
    <t>Retombée atmosphérique</t>
  </si>
  <si>
    <t>Rétombée atmosphérique</t>
  </si>
  <si>
    <t>Retombée des polluants</t>
  </si>
  <si>
    <t>Retombée radioactive</t>
  </si>
  <si>
    <t>Retombée sèche</t>
  </si>
  <si>
    <t>Retour à la nature</t>
  </si>
  <si>
    <t>Retour à l'état sauvage</t>
  </si>
  <si>
    <t>Retraitement du combustible irradié</t>
  </si>
  <si>
    <t>Réutilisation de l'eau</t>
  </si>
  <si>
    <t>Revenu</t>
  </si>
  <si>
    <t>Revenu issu des déchets</t>
  </si>
  <si>
    <t>Revêtement</t>
  </si>
  <si>
    <t>Revêtement d'étanchéité</t>
  </si>
  <si>
    <t>Revêtement métallique</t>
  </si>
  <si>
    <t>Révolution verte</t>
  </si>
  <si>
    <t>Richesse naturelle</t>
  </si>
  <si>
    <t>Rinçage</t>
  </si>
  <si>
    <t>Ripisylve</t>
  </si>
  <si>
    <t>Risque</t>
  </si>
  <si>
    <t>Risque chimique</t>
  </si>
  <si>
    <t>Risque de cancer</t>
  </si>
  <si>
    <t>Risque de pollution</t>
  </si>
  <si>
    <t>Risque dû aux polluants</t>
  </si>
  <si>
    <t>Risque écologique pour la santé</t>
  </si>
  <si>
    <t>Risque majeur</t>
  </si>
  <si>
    <t>Risque naturel</t>
  </si>
  <si>
    <t>Risque nucléaire</t>
  </si>
  <si>
    <t>Risque pour la santé</t>
  </si>
  <si>
    <t>Risque pour l'environnement</t>
  </si>
  <si>
    <t>Risque pour les eaux souterraines</t>
  </si>
  <si>
    <t>Risque résiduel</t>
  </si>
  <si>
    <t>Risque sur la qualité de l'eau</t>
  </si>
  <si>
    <t>Risque technologique</t>
  </si>
  <si>
    <t>Riz</t>
  </si>
  <si>
    <t>Roche</t>
  </si>
  <si>
    <t>Rongeur</t>
  </si>
  <si>
    <t>Roseau</t>
  </si>
  <si>
    <t>Rotation des cultures</t>
  </si>
  <si>
    <t>Route</t>
  </si>
  <si>
    <t>Route à grande circulation</t>
  </si>
  <si>
    <t>Route d'accès</t>
  </si>
  <si>
    <t>Ruisseau</t>
  </si>
  <si>
    <t>Ruissellement</t>
  </si>
  <si>
    <t>Ruissellement de surface</t>
  </si>
  <si>
    <t>Sable</t>
  </si>
  <si>
    <t>Sable asphaltique</t>
  </si>
  <si>
    <t>Sablière</t>
  </si>
  <si>
    <t>Saisie</t>
  </si>
  <si>
    <t>Saisie (droit)</t>
  </si>
  <si>
    <t>Saisie des bénéfices</t>
  </si>
  <si>
    <t>Saison</t>
  </si>
  <si>
    <t>Salamandre</t>
  </si>
  <si>
    <t>Salinisation du sol</t>
  </si>
  <si>
    <t>Salinité de l'eau</t>
  </si>
  <si>
    <t>Salinité du sol</t>
  </si>
  <si>
    <t>Salissure</t>
  </si>
  <si>
    <t>Salmonelle</t>
  </si>
  <si>
    <t>Sanction</t>
  </si>
  <si>
    <t>Sanction administrative</t>
  </si>
  <si>
    <t>Sanction pénale</t>
  </si>
  <si>
    <t>Sanctions pour atteinte à l'environnement</t>
  </si>
  <si>
    <t>Sanctuaire faunique</t>
  </si>
  <si>
    <t>Sang</t>
  </si>
  <si>
    <t>Santé animale</t>
  </si>
  <si>
    <t>Santé publique</t>
  </si>
  <si>
    <t>Santé publique et assainissement</t>
  </si>
  <si>
    <t>Saprobie</t>
  </si>
  <si>
    <t>Satellite</t>
  </si>
  <si>
    <t>Satellite d'observation</t>
  </si>
  <si>
    <t>Sauterelle</t>
  </si>
  <si>
    <t>Sauvegarde de l'environnement</t>
  </si>
  <si>
    <t>Savon</t>
  </si>
  <si>
    <t>Scanner à spectres multiples</t>
  </si>
  <si>
    <t>Schéma directeur d'aménagement</t>
  </si>
  <si>
    <t>Schéma d'urbanisation</t>
  </si>
  <si>
    <t>Schéma régional</t>
  </si>
  <si>
    <t>Schiste bitumineux</t>
  </si>
  <si>
    <t>Schistosomiase</t>
  </si>
  <si>
    <t>Schorre</t>
  </si>
  <si>
    <t>Science</t>
  </si>
  <si>
    <t>Science appliquée</t>
  </si>
  <si>
    <t>Science de l'atmosphère</t>
  </si>
  <si>
    <t>Science économique</t>
  </si>
  <si>
    <t>Science et technologie alimentaire</t>
  </si>
  <si>
    <t>Science exacte</t>
  </si>
  <si>
    <t>Science médicale</t>
  </si>
  <si>
    <t>Science physique</t>
  </si>
  <si>
    <t>Sciences de la terre</t>
  </si>
  <si>
    <t>Sciences de la vie</t>
  </si>
  <si>
    <t>Sciences de l'eau</t>
  </si>
  <si>
    <t>Sciences de l'environnement</t>
  </si>
  <si>
    <t>Sciences des matériaux</t>
  </si>
  <si>
    <t>Sciences du comportement</t>
  </si>
  <si>
    <t>Sciences du sol</t>
  </si>
  <si>
    <t>Sciences humaines</t>
  </si>
  <si>
    <t>Sciences naturelles</t>
  </si>
  <si>
    <t>Sciences sociales</t>
  </si>
  <si>
    <t>Sciure</t>
  </si>
  <si>
    <t>Scorie</t>
  </si>
  <si>
    <t>Séchage</t>
  </si>
  <si>
    <t>Sécheresse</t>
  </si>
  <si>
    <t>Secours d'urgence</t>
  </si>
  <si>
    <t>Secours en cas de catastrophe</t>
  </si>
  <si>
    <t>Secteur d'activité</t>
  </si>
  <si>
    <t>Secteur de brasserie</t>
  </si>
  <si>
    <t>Secteur de l'imprimerie</t>
  </si>
  <si>
    <t>Secteur des marchés publics</t>
  </si>
  <si>
    <t>Secteur des produits manufacturés</t>
  </si>
  <si>
    <t>Secteur des services</t>
  </si>
  <si>
    <t>Secteur économique</t>
  </si>
  <si>
    <t>Secteur primaire</t>
  </si>
  <si>
    <t>Secteur privé</t>
  </si>
  <si>
    <t>Secteur public</t>
  </si>
  <si>
    <t>Secteur secondaire</t>
  </si>
  <si>
    <t>Secteur tertiaire</t>
  </si>
  <si>
    <t>Sécurité</t>
  </si>
  <si>
    <t>Sécurité aérienne</t>
  </si>
  <si>
    <t>Sécurité civile</t>
  </si>
  <si>
    <t>Sécurité des installations</t>
  </si>
  <si>
    <t>Sécurité du travail</t>
  </si>
  <si>
    <t>Sécurité écologique</t>
  </si>
  <si>
    <t>Sécurité industrielle</t>
  </si>
  <si>
    <t>Sécurité internationale</t>
  </si>
  <si>
    <t>Sécurité nucléaire</t>
  </si>
  <si>
    <t>Sécurité routière</t>
  </si>
  <si>
    <t>Sécurité sociale</t>
  </si>
  <si>
    <t>Sédiment</t>
  </si>
  <si>
    <t>Sédiment marin</t>
  </si>
  <si>
    <t>Sédimentation</t>
  </si>
  <si>
    <t>Sédimentation (décantation)</t>
  </si>
  <si>
    <t>Sédimentologie</t>
  </si>
  <si>
    <t>Séisme</t>
  </si>
  <si>
    <t>Sel d'épandage</t>
  </si>
  <si>
    <t>Sélection de technologie</t>
  </si>
  <si>
    <t>Sélection des plantes</t>
  </si>
  <si>
    <t>Sélénium</t>
  </si>
  <si>
    <t>Sels</t>
  </si>
  <si>
    <t>Semence</t>
  </si>
  <si>
    <t>Semi-conducteur</t>
  </si>
  <si>
    <t>Semi-métal</t>
  </si>
  <si>
    <t>Sensibilisation du public</t>
  </si>
  <si>
    <t>Sentier</t>
  </si>
  <si>
    <t>Sentier de randonnée</t>
  </si>
  <si>
    <t>Sentier littoral</t>
  </si>
  <si>
    <t>Sentier pédagogique</t>
  </si>
  <si>
    <t>Sentier pedestre</t>
  </si>
  <si>
    <t>Sentiment de la nature</t>
  </si>
  <si>
    <t>Séparateur</t>
  </si>
  <si>
    <t>Séparateur de particules</t>
  </si>
  <si>
    <t>Séparateur pour liquides légers</t>
  </si>
  <si>
    <t>Séparation des masses (physique)</t>
  </si>
  <si>
    <t>Série statistique</t>
  </si>
  <si>
    <t>Serpent</t>
  </si>
  <si>
    <t>Service de bibliothèque</t>
  </si>
  <si>
    <t>Service de la dette</t>
  </si>
  <si>
    <t>Service de médecine du travail</t>
  </si>
  <si>
    <t>Service de nettoiement</t>
  </si>
  <si>
    <t>Service de prévention des risques</t>
  </si>
  <si>
    <t>Service de recherche sur cd-rom</t>
  </si>
  <si>
    <t>Service de recherche sur internet</t>
  </si>
  <si>
    <t>Service de référence</t>
  </si>
  <si>
    <t>Service de santé</t>
  </si>
  <si>
    <t>Service de secours</t>
  </si>
  <si>
    <t>Service d'incendie</t>
  </si>
  <si>
    <t>Service d'information</t>
  </si>
  <si>
    <t>Service d'inspection</t>
  </si>
  <si>
    <t>Service en ligne</t>
  </si>
  <si>
    <t>Service municipal de nettoyage</t>
  </si>
  <si>
    <t>Service public</t>
  </si>
  <si>
    <t>Service social</t>
  </si>
  <si>
    <t>Servitude</t>
  </si>
  <si>
    <t>Seuil (valeur)</t>
  </si>
  <si>
    <t>Seuil de mesures d'urgence</t>
  </si>
  <si>
    <t>Sida</t>
  </si>
  <si>
    <t>Silencieux</t>
  </si>
  <si>
    <t>Silicium</t>
  </si>
  <si>
    <t>Silo</t>
  </si>
  <si>
    <t>Simulation</t>
  </si>
  <si>
    <t>Site abandonné</t>
  </si>
  <si>
    <t>Site ancien dangereux</t>
  </si>
  <si>
    <t>Site archéologique</t>
  </si>
  <si>
    <t>Site classé</t>
  </si>
  <si>
    <t>Site de patrimoine mondial</t>
  </si>
  <si>
    <t>Site historique</t>
  </si>
  <si>
    <t>Site industriel</t>
  </si>
  <si>
    <t>Site inscrit</t>
  </si>
  <si>
    <t>Site naturel</t>
  </si>
  <si>
    <t>Site naturel protégé</t>
  </si>
  <si>
    <t>Site pollué</t>
  </si>
  <si>
    <t>Situation de famille</t>
  </si>
  <si>
    <t>Situation économique</t>
  </si>
  <si>
    <t>Skier</t>
  </si>
  <si>
    <t>Smog</t>
  </si>
  <si>
    <t>Smog photochimique</t>
  </si>
  <si>
    <t>Société (humaine)</t>
  </si>
  <si>
    <t>Société (organisme)</t>
  </si>
  <si>
    <t>Société de conseil</t>
  </si>
  <si>
    <t>Société de distribution d'eau</t>
  </si>
  <si>
    <t>Société industrielle</t>
  </si>
  <si>
    <t>Socio-économie</t>
  </si>
  <si>
    <t>Sociologie</t>
  </si>
  <si>
    <t>Soins de santé</t>
  </si>
  <si>
    <t>Sol alcalin</t>
  </si>
  <si>
    <t>Sol contaminé</t>
  </si>
  <si>
    <t>Sol saturé (engorgé) d'eau</t>
  </si>
  <si>
    <t>Solubilité</t>
  </si>
  <si>
    <t>Solvant</t>
  </si>
  <si>
    <t>Solvant organique</t>
  </si>
  <si>
    <t>Sommeil</t>
  </si>
  <si>
    <t>Son</t>
  </si>
  <si>
    <t>Sondage d'opinion</t>
  </si>
  <si>
    <t>Sonorité</t>
  </si>
  <si>
    <t>Sorption</t>
  </si>
  <si>
    <t>Soudage</t>
  </si>
  <si>
    <t>Soufre</t>
  </si>
  <si>
    <t>Soumission à autorisation</t>
  </si>
  <si>
    <t>Source</t>
  </si>
  <si>
    <t>Source (d'émissions) ponctuelle</t>
  </si>
  <si>
    <t>Source d'accident</t>
  </si>
  <si>
    <t>Source de pollution</t>
  </si>
  <si>
    <t>Source de pollution diffuse</t>
  </si>
  <si>
    <t>Source d'émission</t>
  </si>
  <si>
    <t>Source d'énergie</t>
  </si>
  <si>
    <t>Source d'énergie non polluante</t>
  </si>
  <si>
    <t>Source d'énergie non renouvelable</t>
  </si>
  <si>
    <t>Source d'énergie renouvelable</t>
  </si>
  <si>
    <t>Source d'information</t>
  </si>
  <si>
    <t>Source linéaire (de pollution)</t>
  </si>
  <si>
    <t>Source linéaire de son</t>
  </si>
  <si>
    <t>Source plane (d'émissions)</t>
  </si>
  <si>
    <t>Sources d'immission</t>
  </si>
  <si>
    <t>Sous-estimation agricole</t>
  </si>
  <si>
    <t>Sous-marin</t>
  </si>
  <si>
    <t>Sous-produit</t>
  </si>
  <si>
    <t>Sous-sol</t>
  </si>
  <si>
    <t>Soutien économique</t>
  </si>
  <si>
    <t>Spécialisation (biologique)</t>
  </si>
  <si>
    <t>Spectacle</t>
  </si>
  <si>
    <t>Spectre de bruit</t>
  </si>
  <si>
    <t>Spectroscopie</t>
  </si>
  <si>
    <t>Sport</t>
  </si>
  <si>
    <t>Stabilisation des boues</t>
  </si>
  <si>
    <t>Stabilisation du sol</t>
  </si>
  <si>
    <t>Stabilité du sol</t>
  </si>
  <si>
    <t>Stand de tir</t>
  </si>
  <si>
    <t>Station balnéaire</t>
  </si>
  <si>
    <t>Station de montagne</t>
  </si>
  <si>
    <t>Station de référence de surveillance</t>
  </si>
  <si>
    <t>Station de sports d'hiver</t>
  </si>
  <si>
    <t>Station de surveillance</t>
  </si>
  <si>
    <t>Station d'épuration</t>
  </si>
  <si>
    <t>Station d'épuration des eaux usées</t>
  </si>
  <si>
    <t>Station-service</t>
  </si>
  <si>
    <t>Statistiques</t>
  </si>
  <si>
    <t>Statistiques de la production industrielle</t>
  </si>
  <si>
    <t>Statistiques de l'environnement</t>
  </si>
  <si>
    <t>Statistiques portant sur l'eau</t>
  </si>
  <si>
    <t>Statistiques portant sur les déchets</t>
  </si>
  <si>
    <t>Statistiques régionales</t>
  </si>
  <si>
    <t>Statistiques sur les eaux usées</t>
  </si>
  <si>
    <t>Statistiques sur les populations d'animaux sauvages</t>
  </si>
  <si>
    <t>Statut des femmes</t>
  </si>
  <si>
    <t>Statut professionnel</t>
  </si>
  <si>
    <t>Stérilisation (biologique)</t>
  </si>
  <si>
    <t>Stérilisation (processus)</t>
  </si>
  <si>
    <t>Stéroïde</t>
  </si>
  <si>
    <t>Stock (commercial)</t>
  </si>
  <si>
    <t>Stock de poisson</t>
  </si>
  <si>
    <t>Stockage</t>
  </si>
  <si>
    <t>Stockage de chaleur</t>
  </si>
  <si>
    <t>Stockage d'énergie</t>
  </si>
  <si>
    <t>Stockage des aliments</t>
  </si>
  <si>
    <t>Stockage des déchets</t>
  </si>
  <si>
    <t>Stockage des produits agricoles</t>
  </si>
  <si>
    <t>Stockage final</t>
  </si>
  <si>
    <t>Stockage souterrain</t>
  </si>
  <si>
    <t>Stockage temporaire</t>
  </si>
  <si>
    <t>Stratégie de minimisation des coûts</t>
  </si>
  <si>
    <t>Stratégie de recyclage</t>
  </si>
  <si>
    <t>Stratification</t>
  </si>
  <si>
    <t>Stratification atmosphérique</t>
  </si>
  <si>
    <t>Stratosphère</t>
  </si>
  <si>
    <t>Stress</t>
  </si>
  <si>
    <t>Stress psychologique</t>
  </si>
  <si>
    <t>Stress urbain</t>
  </si>
  <si>
    <t>Strontium</t>
  </si>
  <si>
    <t>Structure agricole</t>
  </si>
  <si>
    <t>Structure atmosphérique</t>
  </si>
  <si>
    <t>Structure bâtie</t>
  </si>
  <si>
    <t>Structure chimique</t>
  </si>
  <si>
    <t>Structure de la population</t>
  </si>
  <si>
    <t>Structure de l'emploi</t>
  </si>
  <si>
    <t>Structure de l'entreprise</t>
  </si>
  <si>
    <t>Structure du sol</t>
  </si>
  <si>
    <t>Structure économique</t>
  </si>
  <si>
    <t>Structure industrielle</t>
  </si>
  <si>
    <t>Structure institutionnelle</t>
  </si>
  <si>
    <t>Structure régionale</t>
  </si>
  <si>
    <t>Structure sociale</t>
  </si>
  <si>
    <t>Structure urbaine</t>
  </si>
  <si>
    <t>Substance aromatique</t>
  </si>
  <si>
    <t>Substance biochimique</t>
  </si>
  <si>
    <t>Substance chimique</t>
  </si>
  <si>
    <t>Substance corrosive</t>
  </si>
  <si>
    <t>Substance dangereuse à manipuler</t>
  </si>
  <si>
    <t>Substance dangereuse pour l'environnement</t>
  </si>
  <si>
    <t>Substance fonctionnelle</t>
  </si>
  <si>
    <t>Substance inflammable</t>
  </si>
  <si>
    <t>Substance inorganique</t>
  </si>
  <si>
    <t>Substance insoluble</t>
  </si>
  <si>
    <t>Substance lipophile</t>
  </si>
  <si>
    <t>Substance mutagène</t>
  </si>
  <si>
    <t>Substance non volatile</t>
  </si>
  <si>
    <t>Substance organique</t>
  </si>
  <si>
    <t>Substance peu dégradable</t>
  </si>
  <si>
    <t>Substance radioactive</t>
  </si>
  <si>
    <t>Substance teratogène</t>
  </si>
  <si>
    <t>Substance toxique</t>
  </si>
  <si>
    <t>Substance volatile</t>
  </si>
  <si>
    <t>Substance xénobiotique</t>
  </si>
  <si>
    <t>Substances mutagènes</t>
  </si>
  <si>
    <t>Substances-traces et résidus</t>
  </si>
  <si>
    <t>Substituabilité</t>
  </si>
  <si>
    <t>Substitut du phosphate</t>
  </si>
  <si>
    <t>Substitution</t>
  </si>
  <si>
    <t>Substitution de composés halogénés</t>
  </si>
  <si>
    <t>Substitution des phosphates</t>
  </si>
  <si>
    <t>Subvention</t>
  </si>
  <si>
    <t>Sucre</t>
  </si>
  <si>
    <t>Suie</t>
  </si>
  <si>
    <t>Sujet</t>
  </si>
  <si>
    <t>Sulfure</t>
  </si>
  <si>
    <t>Sulfure d'hydrogène</t>
  </si>
  <si>
    <t>Sulphate</t>
  </si>
  <si>
    <t>Supervision de travaux de construction</t>
  </si>
  <si>
    <t>Support de données</t>
  </si>
  <si>
    <t>Surcharge</t>
  </si>
  <si>
    <t>Surélever un site</t>
  </si>
  <si>
    <t>Sûreté des réacteurs</t>
  </si>
  <si>
    <t>Surexploitation</t>
  </si>
  <si>
    <t>Surfertilisation</t>
  </si>
  <si>
    <t>Surgénérateur</t>
  </si>
  <si>
    <t>Surpâturage</t>
  </si>
  <si>
    <t>Surpêche</t>
  </si>
  <si>
    <t>Surplus</t>
  </si>
  <si>
    <t>Surpopulation</t>
  </si>
  <si>
    <t>Surveillance</t>
  </si>
  <si>
    <t>Surveillance biologique</t>
  </si>
  <si>
    <t>Surveillance de la pollution</t>
  </si>
  <si>
    <t>Surveillance de l'atmosphère</t>
  </si>
  <si>
    <t>Surveillance de l'eau</t>
  </si>
  <si>
    <t>Surveillance de l'environnement</t>
  </si>
  <si>
    <t>Surveillance des activités sismiques</t>
  </si>
  <si>
    <t>Surveillance des polluants</t>
  </si>
  <si>
    <t>Surveillance des radiations</t>
  </si>
  <si>
    <t>Surveillance d'installations</t>
  </si>
  <si>
    <t>Surveillance du milieu marin</t>
  </si>
  <si>
    <t>Surveillance du trafic</t>
  </si>
  <si>
    <t>Surveillance météorologique</t>
  </si>
  <si>
    <t>Survie</t>
  </si>
  <si>
    <t>Suveillance du bruit</t>
  </si>
  <si>
    <t>Symbiose</t>
  </si>
  <si>
    <t>Symptôme clinique</t>
  </si>
  <si>
    <t>Syndicat</t>
  </si>
  <si>
    <t>Syndicat des eaux</t>
  </si>
  <si>
    <t>Syndicat professionnel</t>
  </si>
  <si>
    <t>Syndrome de l'immeuble insalubre</t>
  </si>
  <si>
    <t>Synécologie</t>
  </si>
  <si>
    <t>Synergie</t>
  </si>
  <si>
    <t>Systématisation de l'affectation des sols</t>
  </si>
  <si>
    <t>Système auditif</t>
  </si>
  <si>
    <t>Système cardiovasculaire</t>
  </si>
  <si>
    <t>Système d'aide à la décision</t>
  </si>
  <si>
    <t>Système d'alerte</t>
  </si>
  <si>
    <t>Système d'alerte rapide</t>
  </si>
  <si>
    <t>Système de canalisation des eaux de pluie</t>
  </si>
  <si>
    <t>Système de communication</t>
  </si>
  <si>
    <t>Système de comptabilité</t>
  </si>
  <si>
    <t>Système de coordonnées</t>
  </si>
  <si>
    <t>Système de culture</t>
  </si>
  <si>
    <t>Système de distribution énergétique</t>
  </si>
  <si>
    <t>Système de drainage bâti</t>
  </si>
  <si>
    <t>Système de protection</t>
  </si>
  <si>
    <t>Système de renseignements bibliographiques</t>
  </si>
  <si>
    <t>Système de salaires</t>
  </si>
  <si>
    <t>Système de secours</t>
  </si>
  <si>
    <t>Système de sécurité</t>
  </si>
  <si>
    <t>Système de surveillance</t>
  </si>
  <si>
    <t>Système de transport</t>
  </si>
  <si>
    <t>Système d'épuration des eaux usées</t>
  </si>
  <si>
    <t>Système d'information</t>
  </si>
  <si>
    <t>Système d'information géographique</t>
  </si>
  <si>
    <t>Système d'information sur l'environnement</t>
  </si>
  <si>
    <t>Système d'informations de référence</t>
  </si>
  <si>
    <t>Système d'informations statistiques</t>
  </si>
  <si>
    <t>Système documentaire</t>
  </si>
  <si>
    <t>Système économique</t>
  </si>
  <si>
    <t>Système éducatif</t>
  </si>
  <si>
    <t>Système endocrinien</t>
  </si>
  <si>
    <t>Système expert</t>
  </si>
  <si>
    <t>Système immunitaire</t>
  </si>
  <si>
    <t>Système informatique</t>
  </si>
  <si>
    <t>Système judiciaire</t>
  </si>
  <si>
    <t>Système lymphatique</t>
  </si>
  <si>
    <t>Système monétaire européen</t>
  </si>
  <si>
    <t>Système municipal de distribution de l'eau</t>
  </si>
  <si>
    <t>Système musculaire</t>
  </si>
  <si>
    <t>Système naturel de drainage</t>
  </si>
  <si>
    <t>Système nerveux</t>
  </si>
  <si>
    <t>Système numérique de traitement d'images</t>
  </si>
  <si>
    <t>Système numérique sig</t>
  </si>
  <si>
    <t>Système respiratoire</t>
  </si>
  <si>
    <t>Système social</t>
  </si>
  <si>
    <t>Tabac</t>
  </si>
  <si>
    <t>Tabagisme</t>
  </si>
  <si>
    <t>Tableau électronique d'affichage et d'information</t>
  </si>
  <si>
    <t>Taille d'entreprise</t>
  </si>
  <si>
    <t>Taillis</t>
  </si>
  <si>
    <t>Taillis sous futaie</t>
  </si>
  <si>
    <t>Talus</t>
  </si>
  <si>
    <t>Tamisage</t>
  </si>
  <si>
    <t>Tannin</t>
  </si>
  <si>
    <t>Tarif</t>
  </si>
  <si>
    <t>Tarif douanier</t>
  </si>
  <si>
    <t>Tarification de l'eau</t>
  </si>
  <si>
    <t>Tas de déblai</t>
  </si>
  <si>
    <t>Tassement</t>
  </si>
  <si>
    <t>Taux</t>
  </si>
  <si>
    <t>Taux de plomb dans le sang</t>
  </si>
  <si>
    <t>Taxation</t>
  </si>
  <si>
    <t>Taxe</t>
  </si>
  <si>
    <t>Taxe compensatoire</t>
  </si>
  <si>
    <t>Taxe foncière</t>
  </si>
  <si>
    <t>Taxe parafiscale</t>
  </si>
  <si>
    <t>Taxe sur le bruit</t>
  </si>
  <si>
    <t>Taxe sur le dioxyde de carbone</t>
  </si>
  <si>
    <t>Taxonomie</t>
  </si>
  <si>
    <t>Technique culturale</t>
  </si>
  <si>
    <t>Technique de conversion des déchets</t>
  </si>
  <si>
    <t>Technique de gestion</t>
  </si>
  <si>
    <t>Technique de laboratoire</t>
  </si>
  <si>
    <t>Technique de propulsion</t>
  </si>
  <si>
    <t>Technique de surveillance</t>
  </si>
  <si>
    <t>Technique de traitement numérique des images</t>
  </si>
  <si>
    <t>Technique d'échantillonnage</t>
  </si>
  <si>
    <t>Technique d'élevage</t>
  </si>
  <si>
    <t>Technique d'enregistrement des données</t>
  </si>
  <si>
    <t>Technique digitale sig</t>
  </si>
  <si>
    <t>Technique du traceur radioactif</t>
  </si>
  <si>
    <t>Technologie</t>
  </si>
  <si>
    <t>Technologie &amp;quot;end-of-pipe&amp;quot;</t>
  </si>
  <si>
    <t>Technologie &amp;quot;propre&amp;quot;</t>
  </si>
  <si>
    <t>Technologie alimentaire</t>
  </si>
  <si>
    <t>Technologie appropriée</t>
  </si>
  <si>
    <t>Technologie de  lutte contre la pollution</t>
  </si>
  <si>
    <t>Technologie de base</t>
  </si>
  <si>
    <t>Technologie de l'adn recombinant</t>
  </si>
  <si>
    <t>Technologie de l'énergie solaire</t>
  </si>
  <si>
    <t>Technologie de l'environnement</t>
  </si>
  <si>
    <t>Technologie de l'information</t>
  </si>
  <si>
    <t>Technologie de protection de l'environnement</t>
  </si>
  <si>
    <t>Technologie de protection environnementale intégrée</t>
  </si>
  <si>
    <t>Technologie des matériaux</t>
  </si>
  <si>
    <t>Technologie des processus</t>
  </si>
  <si>
    <t>Technologie du bâtiment</t>
  </si>
  <si>
    <t>Technologie du charbon</t>
  </si>
  <si>
    <t>Technologie du plasma</t>
  </si>
  <si>
    <t>Technologie énergétique</t>
  </si>
  <si>
    <t>Technologie indigène</t>
  </si>
  <si>
    <t>Technologie multimédia</t>
  </si>
  <si>
    <t>Technologie propre</t>
  </si>
  <si>
    <t>Technologie silencieuse</t>
  </si>
  <si>
    <t>Tectonique</t>
  </si>
  <si>
    <t>Teinture</t>
  </si>
  <si>
    <t>Télécommunication</t>
  </si>
  <si>
    <t>Télédétection</t>
  </si>
  <si>
    <t>Télématique</t>
  </si>
  <si>
    <t>Télémétrie</t>
  </si>
  <si>
    <t>Télévision</t>
  </si>
  <si>
    <t>Température</t>
  </si>
  <si>
    <t>Température de l'air</t>
  </si>
  <si>
    <t>Température de l'océan</t>
  </si>
  <si>
    <t>Tempête</t>
  </si>
  <si>
    <t>Temps (durée)</t>
  </si>
  <si>
    <t>Temps (météo)</t>
  </si>
  <si>
    <t>Temps libre</t>
  </si>
  <si>
    <t>Tendance</t>
  </si>
  <si>
    <t>Tendance à long terme</t>
  </si>
  <si>
    <t>Tendance d'opinion</t>
  </si>
  <si>
    <t>Teneur en aluminium</t>
  </si>
  <si>
    <t>Teneur en calcium</t>
  </si>
  <si>
    <t>Teneur en nutriments</t>
  </si>
  <si>
    <t>Teneur en oxygène</t>
  </si>
  <si>
    <t>Teneur en sels</t>
  </si>
  <si>
    <t>Tension de vapeur</t>
  </si>
  <si>
    <t>Tension superficielle</t>
  </si>
  <si>
    <t>Tératogenèse</t>
  </si>
  <si>
    <t>Teratogénicité</t>
  </si>
  <si>
    <t>Terminologie</t>
  </si>
  <si>
    <t>Terminologie de l'environnement</t>
  </si>
  <si>
    <t>Termites</t>
  </si>
  <si>
    <t>Terphenyl halogéné</t>
  </si>
  <si>
    <t>Terrain de déblayement</t>
  </si>
  <si>
    <t>Terrain de jeu</t>
  </si>
  <si>
    <t>Terrain militaire désaffecté</t>
  </si>
  <si>
    <t>Terre agricole</t>
  </si>
  <si>
    <t>Terre alcaline</t>
  </si>
  <si>
    <t>Terre aride</t>
  </si>
  <si>
    <t>Terre décolorante</t>
  </si>
  <si>
    <t>Terres marginales</t>
  </si>
  <si>
    <t>Territoire</t>
  </si>
  <si>
    <t>Test</t>
  </si>
  <si>
    <t>Test aléatoire</t>
  </si>
  <si>
    <t>Test biologique</t>
  </si>
  <si>
    <t>Test climatique</t>
  </si>
  <si>
    <t>Test comparatif</t>
  </si>
  <si>
    <t>Test de ames</t>
  </si>
  <si>
    <t>Test de cancérigénicité</t>
  </si>
  <si>
    <t>Test de laboratoire</t>
  </si>
  <si>
    <t>Test de mutagénicité</t>
  </si>
  <si>
    <t>Test immunologique</t>
  </si>
  <si>
    <t>Test in vitro</t>
  </si>
  <si>
    <t>Test in vivo</t>
  </si>
  <si>
    <t>Test rapide</t>
  </si>
  <si>
    <t>Test toxicologique</t>
  </si>
  <si>
    <t>Texte juridique</t>
  </si>
  <si>
    <t>Texte réglementaire</t>
  </si>
  <si>
    <t>Textile</t>
  </si>
  <si>
    <t>Texture du sol</t>
  </si>
  <si>
    <t>Thallium</t>
  </si>
  <si>
    <t>Théorie de l'environnement</t>
  </si>
  <si>
    <t>Théorie de l'etat providence</t>
  </si>
  <si>
    <t>Théorie des systèmes</t>
  </si>
  <si>
    <t>Théorie économique</t>
  </si>
  <si>
    <t>Théorie monétaire</t>
  </si>
  <si>
    <t>Thérapie</t>
  </si>
  <si>
    <t>Thermodynamique</t>
  </si>
  <si>
    <t>Thésaurus</t>
  </si>
  <si>
    <t>Thèse</t>
  </si>
  <si>
    <t>Tissu</t>
  </si>
  <si>
    <t>Tissu (corporel)</t>
  </si>
  <si>
    <t>Titane</t>
  </si>
  <si>
    <t>Tolérance de charge (eau)</t>
  </si>
  <si>
    <t>Tornade</t>
  </si>
  <si>
    <t>Tortue terrestre</t>
  </si>
  <si>
    <t>Toundra</t>
  </si>
  <si>
    <t>Tour de refroidissement</t>
  </si>
  <si>
    <t>Tourbe</t>
  </si>
  <si>
    <t>Tourbière</t>
  </si>
  <si>
    <t>Tourisme rural</t>
  </si>
  <si>
    <t>Toxicité</t>
  </si>
  <si>
    <t>Toxicité des pesticides</t>
  </si>
  <si>
    <t>Toxicité des poissons</t>
  </si>
  <si>
    <t>Toxicologie</t>
  </si>
  <si>
    <t>Toxicomanie</t>
  </si>
  <si>
    <t>Toxine</t>
  </si>
  <si>
    <t>Traceur</t>
  </si>
  <si>
    <t>Traceur radioactif</t>
  </si>
  <si>
    <t>Trachéophyte</t>
  </si>
  <si>
    <t>Tradition populaire</t>
  </si>
  <si>
    <t>Trafic</t>
  </si>
  <si>
    <t>Trafic à grande distance</t>
  </si>
  <si>
    <t>Trafic à grande vitesse</t>
  </si>
  <si>
    <t>Trafic aérien</t>
  </si>
  <si>
    <t>Trafic aérien militaire</t>
  </si>
  <si>
    <t>Trafic commercial</t>
  </si>
  <si>
    <t>Trafic ferroviaire</t>
  </si>
  <si>
    <t>Trafic fluvial</t>
  </si>
  <si>
    <t>Trafic local</t>
  </si>
  <si>
    <t>Trafic routier</t>
  </si>
  <si>
    <t>Trafic urbain</t>
  </si>
  <si>
    <t>Trafic voyageurs à courte distance</t>
  </si>
  <si>
    <t>Train</t>
  </si>
  <si>
    <t>Train à grande vitesse</t>
  </si>
  <si>
    <t>Train interurbain rapide</t>
  </si>
  <si>
    <t>Traité</t>
  </si>
  <si>
    <t>Traité ce</t>
  </si>
  <si>
    <t>Traitement</t>
  </si>
  <si>
    <t>Traitement aérobie</t>
  </si>
  <si>
    <t>Traitement anaérobie</t>
  </si>
  <si>
    <t>Traitement biologique</t>
  </si>
  <si>
    <t>Traitement biologique des déchets</t>
  </si>
  <si>
    <t>Traitement chimique</t>
  </si>
  <si>
    <t>Traitement chimique des déchets</t>
  </si>
  <si>
    <t>Traitement de l'eau</t>
  </si>
  <si>
    <t>Traitement de l'eau potable</t>
  </si>
  <si>
    <t>Traitement de l'image</t>
  </si>
  <si>
    <t>Traitement de l'information</t>
  </si>
  <si>
    <t>Traitement de surface</t>
  </si>
  <si>
    <t>Traitement des boues</t>
  </si>
  <si>
    <t>Traitement des cultures</t>
  </si>
  <si>
    <t>Traitement des déchets</t>
  </si>
  <si>
    <t>Traitement des données</t>
  </si>
  <si>
    <t>Traitement des eaux usées</t>
  </si>
  <si>
    <t>Traitement des eaux usées sur site</t>
  </si>
  <si>
    <t>Traitement des effluents gazeux</t>
  </si>
  <si>
    <t>Traitement des gaz</t>
  </si>
  <si>
    <t>Traitement du caoutchouc</t>
  </si>
  <si>
    <t>Traitement 'end of pipe'</t>
  </si>
  <si>
    <t>Traitement physicochimique</t>
  </si>
  <si>
    <t>Traitement physique</t>
  </si>
  <si>
    <t>Traitement phytosanitaire</t>
  </si>
  <si>
    <t>Traitement primaire</t>
  </si>
  <si>
    <t>Traitement secondaire</t>
  </si>
  <si>
    <t>Traitement tertiaire</t>
  </si>
  <si>
    <t>Traitement thermique</t>
  </si>
  <si>
    <t>Trajectoire</t>
  </si>
  <si>
    <t>Trame</t>
  </si>
  <si>
    <t>Trame en vecteur</t>
  </si>
  <si>
    <t>Transfert de l'information</t>
  </si>
  <si>
    <t>Transfert de technologie</t>
  </si>
  <si>
    <t>Transfert transfrontalier</t>
  </si>
  <si>
    <t>Transhumance</t>
  </si>
  <si>
    <t>Transmission du son</t>
  </si>
  <si>
    <t>Transpiration</t>
  </si>
  <si>
    <t>Transport (physique)</t>
  </si>
  <si>
    <t>Transport aérien</t>
  </si>
  <si>
    <t>Transport alimentaire</t>
  </si>
  <si>
    <t>Transport combiné</t>
  </si>
  <si>
    <t>Transport de déchets</t>
  </si>
  <si>
    <t>Transport de marchandises</t>
  </si>
  <si>
    <t>Transport de marchandises lourdes</t>
  </si>
  <si>
    <t>Transport de masse</t>
  </si>
  <si>
    <t>Transport de matières dangereuses</t>
  </si>
  <si>
    <t>Transport de solides</t>
  </si>
  <si>
    <t>Transport de voyageurs</t>
  </si>
  <si>
    <t>Transport en commun</t>
  </si>
  <si>
    <t>Transport ferroviaire</t>
  </si>
  <si>
    <t>Transport fluvial</t>
  </si>
  <si>
    <t>Transport long courrier</t>
  </si>
  <si>
    <t>Transport maritime</t>
  </si>
  <si>
    <t>Transport par pipeline</t>
  </si>
  <si>
    <t>Transport par voies navigables</t>
  </si>
  <si>
    <t>Transport privé</t>
  </si>
  <si>
    <t>Transport quotidien en heures creuses</t>
  </si>
  <si>
    <t>Transport routier</t>
  </si>
  <si>
    <t>Transport spatial</t>
  </si>
  <si>
    <t>Transport terrestre</t>
  </si>
  <si>
    <t>Transporteur</t>
  </si>
  <si>
    <t>Transposition de directive</t>
  </si>
  <si>
    <t>Travail</t>
  </si>
  <si>
    <t>Travail des jeunes</t>
  </si>
  <si>
    <t>Travail du métal</t>
  </si>
  <si>
    <t>Travail du sol</t>
  </si>
  <si>
    <t>Travail en heure creuse</t>
  </si>
  <si>
    <t>Travail scolaire</t>
  </si>
  <si>
    <t>Travaux de construction</t>
  </si>
  <si>
    <t>Travaux publics</t>
  </si>
  <si>
    <t>Trempage</t>
  </si>
  <si>
    <t>Trgs</t>
  </si>
  <si>
    <t>Tri à la source</t>
  </si>
  <si>
    <t>Tri des déchets</t>
  </si>
  <si>
    <t>Tri sélectif à la source</t>
  </si>
  <si>
    <t>Triazine</t>
  </si>
  <si>
    <t>Tribunal</t>
  </si>
  <si>
    <t>Trinité de principes</t>
  </si>
  <si>
    <t>Tritium</t>
  </si>
  <si>
    <t>Tropiques</t>
  </si>
  <si>
    <t>Troposphère</t>
  </si>
  <si>
    <t>Trouble de l'audition</t>
  </si>
  <si>
    <t>Trouble du sommeil</t>
  </si>
  <si>
    <t>Tumeur</t>
  </si>
  <si>
    <t>Tunnel</t>
  </si>
  <si>
    <t>Turbidité</t>
  </si>
  <si>
    <t>Turbine</t>
  </si>
  <si>
    <t>Tuyau</t>
  </si>
  <si>
    <t>Type d'affaires</t>
  </si>
  <si>
    <t>Type de bruit</t>
  </si>
  <si>
    <t>Type de climat</t>
  </si>
  <si>
    <t>Type de demande</t>
  </si>
  <si>
    <t>Type de document</t>
  </si>
  <si>
    <t>Type de management</t>
  </si>
  <si>
    <t>Type de pollution</t>
  </si>
  <si>
    <t>Type de sol</t>
  </si>
  <si>
    <t>Type de végétation</t>
  </si>
  <si>
    <t>Type d'écosystème</t>
  </si>
  <si>
    <t>Type d'énergie</t>
  </si>
  <si>
    <t>Type d'entreprise</t>
  </si>
  <si>
    <t>Typhon</t>
  </si>
  <si>
    <t>Ultrafiltration</t>
  </si>
  <si>
    <t>Ultrason</t>
  </si>
  <si>
    <t>Unité touristique</t>
  </si>
  <si>
    <t>Uranium</t>
  </si>
  <si>
    <t>Uranium enrichi</t>
  </si>
  <si>
    <t>Urbanisation</t>
  </si>
  <si>
    <t>Urbanisme</t>
  </si>
  <si>
    <t>Us et coutumes</t>
  </si>
  <si>
    <t>Usage de l'énergie nucléaire</t>
  </si>
  <si>
    <t>Usage incompatible</t>
  </si>
  <si>
    <t>Usage obligatoire</t>
  </si>
  <si>
    <t>Usine à gaz</t>
  </si>
  <si>
    <t>Usine chimique</t>
  </si>
  <si>
    <t>Usine de déssalement</t>
  </si>
  <si>
    <t>Usine de potabilisation de l'eau</t>
  </si>
  <si>
    <t>Usine de traitement des déchets</t>
  </si>
  <si>
    <t>Utilisation de la chaleur résiduelle</t>
  </si>
  <si>
    <t>Utilisation de l'énergie</t>
  </si>
  <si>
    <t>Utilisation d'eau</t>
  </si>
  <si>
    <t>Utilisation des déchets</t>
  </si>
  <si>
    <t>Utilisation des pesticides</t>
  </si>
  <si>
    <t>Utilisation des ressources</t>
  </si>
  <si>
    <t>Utilisation des ressources locales</t>
  </si>
  <si>
    <t>Utilisation du fumier (séché) comme carburant</t>
  </si>
  <si>
    <t>Utilisation du paysage</t>
  </si>
  <si>
    <t>Utilisation du sol</t>
  </si>
  <si>
    <t>Utilisation du temps libre</t>
  </si>
  <si>
    <t>Utilisation durable</t>
  </si>
  <si>
    <t>Utlisation du pouvoir calorifique</t>
  </si>
  <si>
    <t>Vacances</t>
  </si>
  <si>
    <t>Vague</t>
  </si>
  <si>
    <t>Valeur agronomique</t>
  </si>
  <si>
    <t>Valeur de la terre</t>
  </si>
  <si>
    <t>Valeur des composés organo-halogénés adsorbables</t>
  </si>
  <si>
    <t>Valeur limite</t>
  </si>
  <si>
    <t>Valeur nutritive</t>
  </si>
  <si>
    <t>Valeur ph</t>
  </si>
  <si>
    <t>Valeur sociale</t>
  </si>
  <si>
    <t>Vallée</t>
  </si>
  <si>
    <t>Valorisation de terres</t>
  </si>
  <si>
    <t>Valorisation des déchets</t>
  </si>
  <si>
    <t>Valorisation des matières de déchets</t>
  </si>
  <si>
    <t>Valorisation énergétique</t>
  </si>
  <si>
    <t>Valorisation énergétique des déchets</t>
  </si>
  <si>
    <t>Vanadium</t>
  </si>
  <si>
    <t>Vandalisme</t>
  </si>
  <si>
    <t>Vandalisme environnemental</t>
  </si>
  <si>
    <t>Variation génétique</t>
  </si>
  <si>
    <t>Variation saisonnière</t>
  </si>
  <si>
    <t>Vase</t>
  </si>
  <si>
    <t>Vasière</t>
  </si>
  <si>
    <t>Vecteur en trame</t>
  </si>
  <si>
    <t>Vecteurs de maladies humaines</t>
  </si>
  <si>
    <t>Végétalisation</t>
  </si>
  <si>
    <t>Végétation</t>
  </si>
  <si>
    <t>Véhicule</t>
  </si>
  <si>
    <t>Véhicule à moteur</t>
  </si>
  <si>
    <t>Véhicule abandonné</t>
  </si>
  <si>
    <t>Véhicule commercial</t>
  </si>
  <si>
    <t>Véhicule de collecte des ordures</t>
  </si>
  <si>
    <t>Véhicule de transport en commun</t>
  </si>
  <si>
    <t>Véhicule électrique</t>
  </si>
  <si>
    <t>Véhicule ferroviaire</t>
  </si>
  <si>
    <t>Véhicule personnel</t>
  </si>
  <si>
    <t>Véhicule tout terrain</t>
  </si>
  <si>
    <t>Vélomoteur</t>
  </si>
  <si>
    <t>Vent</t>
  </si>
  <si>
    <t>Ventilation</t>
  </si>
  <si>
    <t>Verglas</t>
  </si>
  <si>
    <t>Vermine</t>
  </si>
  <si>
    <t>Vernis</t>
  </si>
  <si>
    <t>Verre</t>
  </si>
  <si>
    <t>Verre usagé</t>
  </si>
  <si>
    <t>Vertébré</t>
  </si>
  <si>
    <t>Viabilisation</t>
  </si>
  <si>
    <t>Viabilité économique</t>
  </si>
  <si>
    <t>Viaduc</t>
  </si>
  <si>
    <t>Viande</t>
  </si>
  <si>
    <t>Vibration</t>
  </si>
  <si>
    <t>Vibration mécanique</t>
  </si>
  <si>
    <t>Victime de guerre</t>
  </si>
  <si>
    <t>Vidange de barrage</t>
  </si>
  <si>
    <t>Vidéo</t>
  </si>
  <si>
    <t>Vie animale</t>
  </si>
  <si>
    <t>Vie institutionnelle</t>
  </si>
  <si>
    <t>Vie scolaire</t>
  </si>
  <si>
    <t>Vie végétale</t>
  </si>
  <si>
    <t>Village</t>
  </si>
  <si>
    <t>Ville nouvelle</t>
  </si>
  <si>
    <t>Vinasse</t>
  </si>
  <si>
    <t>Virologie</t>
  </si>
  <si>
    <t>Virus</t>
  </si>
  <si>
    <t>Viscosité</t>
  </si>
  <si>
    <t>Vitamine</t>
  </si>
  <si>
    <t>Vitesse</t>
  </si>
  <si>
    <t>Viticulture</t>
  </si>
  <si>
    <t>Vitrification</t>
  </si>
  <si>
    <t>Vocabulaire</t>
  </si>
  <si>
    <t>Voie ferrée</t>
  </si>
  <si>
    <t>Voie ferrée à grande vitesse</t>
  </si>
  <si>
    <t>Voie navigable</t>
  </si>
  <si>
    <t>Voie respiratoire</t>
  </si>
  <si>
    <t>Voiture propre</t>
  </si>
  <si>
    <t>Vol à basse altitude</t>
  </si>
  <si>
    <t>Volaille</t>
  </si>
  <si>
    <t>Volatilité</t>
  </si>
  <si>
    <t>Volcan</t>
  </si>
  <si>
    <t>Volcanisme</t>
  </si>
  <si>
    <t>Volcanologie</t>
  </si>
  <si>
    <t>Volume des déchets</t>
  </si>
  <si>
    <t>Vote</t>
  </si>
  <si>
    <t>Voyage</t>
  </si>
  <si>
    <t>Voyage en période creuse</t>
  </si>
  <si>
    <t>Vulcanisation</t>
  </si>
  <si>
    <t>Zinc</t>
  </si>
  <si>
    <t>Zonage</t>
  </si>
  <si>
    <t>Zonage économique</t>
  </si>
  <si>
    <t>Zonage industriel</t>
  </si>
  <si>
    <t>Zone</t>
  </si>
  <si>
    <t>Zone à risque</t>
  </si>
  <si>
    <t>Zone centrale de parc</t>
  </si>
  <si>
    <t>Zone climatique</t>
  </si>
  <si>
    <t>Zone constructible</t>
  </si>
  <si>
    <t>Zone construite</t>
  </si>
  <si>
    <t>Zone contaminée</t>
  </si>
  <si>
    <t>Zone côtière</t>
  </si>
  <si>
    <t>Zone d'air pur</t>
  </si>
  <si>
    <t>Zone d'aménagement concerté</t>
  </si>
  <si>
    <t>Zone d'aménagement mixte</t>
  </si>
  <si>
    <t>Zone de captage d'eau potable</t>
  </si>
  <si>
    <t>Zone de chasse contrôlée</t>
  </si>
  <si>
    <t>Zone de développement</t>
  </si>
  <si>
    <t>Zone de montagne</t>
  </si>
  <si>
    <t>Zone de pêche</t>
  </si>
  <si>
    <t>Zone de pollution potentielle</t>
  </si>
  <si>
    <t>Zone de préemption</t>
  </si>
  <si>
    <t>Zone de protection du paysage</t>
  </si>
  <si>
    <t>Zone de protection marine</t>
  </si>
  <si>
    <t>Zone de refuge</t>
  </si>
  <si>
    <t>Zone de service</t>
  </si>
  <si>
    <t>Zone d'intervention foncière</t>
  </si>
  <si>
    <t>Zone en friche</t>
  </si>
  <si>
    <t>Zone humide</t>
  </si>
  <si>
    <t>Zone industrielle</t>
  </si>
  <si>
    <t>Zone intertidale</t>
  </si>
  <si>
    <t>Zone marine protégée</t>
  </si>
  <si>
    <t>Zone méditerranéenne</t>
  </si>
  <si>
    <t>Zone militaire</t>
  </si>
  <si>
    <t>Zone périphérique de parc</t>
  </si>
  <si>
    <t>Zone peu construite</t>
  </si>
  <si>
    <t>Zone piétonnière</t>
  </si>
  <si>
    <t>Zone préservée de l'estuaire</t>
  </si>
  <si>
    <t>Zone protégée de captage d'eau</t>
  </si>
  <si>
    <t>Zone résidentielle</t>
  </si>
  <si>
    <t>Zone riveraine</t>
  </si>
  <si>
    <t>Zone sensible</t>
  </si>
  <si>
    <t>Zone sensible (écologie)</t>
  </si>
  <si>
    <t>Zone sinistrée</t>
  </si>
  <si>
    <t>Zone sous tension (environnementale)</t>
  </si>
  <si>
    <t>Zone terrestre</t>
  </si>
  <si>
    <t>Zone touristique</t>
  </si>
  <si>
    <t>Zone urbaine</t>
  </si>
  <si>
    <t>Zoologie</t>
  </si>
  <si>
    <t>Zoonose</t>
  </si>
  <si>
    <t xml:space="preserve">(3030) Voies navigables </t>
  </si>
  <si>
    <t>Secret</t>
  </si>
  <si>
    <t>Confidentiel</t>
  </si>
  <si>
    <t>Non classifié</t>
  </si>
  <si>
    <t>otherConstraints1</t>
  </si>
  <si>
    <t>otherConstraints2</t>
  </si>
  <si>
    <t>useLimitation1</t>
  </si>
  <si>
    <t>useLimitation2</t>
  </si>
  <si>
    <t>useLimitation3</t>
  </si>
  <si>
    <t>Pas repris</t>
  </si>
  <si>
    <t>Élément de métadonnée</t>
  </si>
  <si>
    <t>Instructions</t>
  </si>
  <si>
    <t>Acronyme</t>
  </si>
  <si>
    <t>Millésime (version)</t>
  </si>
  <si>
    <t>Zone géographique concernée</t>
  </si>
  <si>
    <t>Explications détaillées (Wiki)</t>
  </si>
  <si>
    <t>acronym</t>
  </si>
  <si>
    <t>AOI</t>
  </si>
  <si>
    <t>versionYear</t>
  </si>
  <si>
    <t>Accroche</t>
  </si>
  <si>
    <t>Corps de texte</t>
  </si>
  <si>
    <t>Date de…</t>
  </si>
  <si>
    <t>...création de la géodonnée</t>
  </si>
  <si>
    <t>Langue de la géodonnée</t>
  </si>
  <si>
    <t>Etendue temporelle de la géodonnée</t>
  </si>
  <si>
    <t>Date de début</t>
  </si>
  <si>
    <t>Date de fin</t>
  </si>
  <si>
    <t>Nom de la base de données</t>
  </si>
  <si>
    <t>Nom du schéma</t>
  </si>
  <si>
    <t>Nom de la table</t>
  </si>
  <si>
    <t>Représentation spatiale</t>
  </si>
  <si>
    <t>Pour aller plus loin…</t>
  </si>
  <si>
    <t>Note sur la maintenance et la mise à jour</t>
  </si>
  <si>
    <t>abstractBody</t>
  </si>
  <si>
    <t>Mots-clés obligatoires</t>
  </si>
  <si>
    <t>Mots-clés recommandés</t>
  </si>
  <si>
    <t>Thèmes_ISO19115</t>
  </si>
  <si>
    <t>Thèmes_Géoportail</t>
  </si>
  <si>
    <t>Thèmes_GEMET</t>
  </si>
  <si>
    <t>Thèmes_INSPIRE</t>
  </si>
  <si>
    <t>Thèmes_GEMET_Concepts</t>
  </si>
  <si>
    <t>Identifiant de la donnée (Code d'identification local)</t>
  </si>
  <si>
    <t>Base de données dans laquelle est stockée la géodonnée.</t>
  </si>
  <si>
    <t>Le schéma utilisé pour décrire la géodonnée.</t>
  </si>
  <si>
    <t>La nom de la table dans laquelle la gédonnée est enregistrée.</t>
  </si>
  <si>
    <t>ADMSDE_SOLS_CNSW</t>
  </si>
  <si>
    <t>ADMSDE</t>
  </si>
  <si>
    <t>SOLS</t>
  </si>
  <si>
    <t>Méthode utilisée pour représenter spatialement l'information géographique. Doit être renseignée pour les géodonnées, mais pas pour les données localisées. Par défaut cette valeur est "Vecteur", modifier si nécessaire.</t>
  </si>
  <si>
    <t>Date de publication de la géodonnée</t>
  </si>
  <si>
    <t>dirstributionURLApp</t>
  </si>
  <si>
    <t>distributionProtocolApp</t>
  </si>
  <si>
    <t>distributionNameApp</t>
  </si>
  <si>
    <t>distributionDescriptioApp</t>
  </si>
  <si>
    <t>distributionFunctioApp</t>
  </si>
  <si>
    <t>dirstributionURLdl</t>
  </si>
  <si>
    <t>distributionProtocoldl</t>
  </si>
  <si>
    <t>distributionNamedl</t>
  </si>
  <si>
    <t>distributionDescriptiodl</t>
  </si>
  <si>
    <t>distributionFunctiodl</t>
  </si>
  <si>
    <t>dirstributionURLSe</t>
  </si>
  <si>
    <t>distributionProtocolSe</t>
  </si>
  <si>
    <t>distributionNameSe</t>
  </si>
  <si>
    <t>distributionDescriptioSe</t>
  </si>
  <si>
    <t>distributionFunctioSe</t>
  </si>
  <si>
    <t>http://geoportail.wallonie.be/</t>
  </si>
  <si>
    <t>Columname</t>
  </si>
  <si>
    <t>Précision planimétrique</t>
  </si>
  <si>
    <t>Précison altimétrique</t>
  </si>
  <si>
    <t>Exhaustivité</t>
  </si>
  <si>
    <t>Complétude</t>
  </si>
  <si>
    <t>Rapports et documents</t>
  </si>
  <si>
    <t>Modèle de la donnée</t>
  </si>
  <si>
    <t>Qualité</t>
  </si>
  <si>
    <t>Résolution spatiale: échelle (dénominateur)</t>
  </si>
  <si>
    <t>Un document en version pdf expliquant le modèle de données utilisé pour décrire la géodonnée.</t>
  </si>
  <si>
    <t>A remplir par la DIG</t>
  </si>
  <si>
    <t>Lien URL de la source en ligne ou nom du fichier joint</t>
  </si>
  <si>
    <t>URL sur les sources en ligne par lesquelles la ressource peut être obtenue. Dans le cas d'un fichier joint, celui-ci sera uploadé dans l'application Metawal.</t>
  </si>
  <si>
    <t>Lien URL de la vignette illustrative en ligne ou nom du fichier joint</t>
  </si>
  <si>
    <t>Identification de la ressource</t>
  </si>
  <si>
    <t>Plus d'informations</t>
  </si>
  <si>
    <t xml:space="preserve">URL sur les sources en ligne par lesquelles la ressource peut être obtenue. </t>
  </si>
  <si>
    <t>Site(s) connexe(s)</t>
  </si>
  <si>
    <t>dirstributionURLrapp</t>
  </si>
  <si>
    <t>distributionProtocolrapp</t>
  </si>
  <si>
    <t>distributionNamerapp</t>
  </si>
  <si>
    <t>distributionDescriptiorapp</t>
  </si>
  <si>
    <t>distributionFunctiorapp</t>
  </si>
  <si>
    <t>dirstributionURLmod</t>
  </si>
  <si>
    <t>distributionProtocolmod</t>
  </si>
  <si>
    <t>distributionNamemod</t>
  </si>
  <si>
    <t>distributionDescriptiomod</t>
  </si>
  <si>
    <t>distributionFunctiomod</t>
  </si>
  <si>
    <t>dirstributionURLsit</t>
  </si>
  <si>
    <t>distributionProtocolsit</t>
  </si>
  <si>
    <t>distributionNamesit</t>
  </si>
  <si>
    <t>distributionDescriptiosit</t>
  </si>
  <si>
    <t>distributionFunctiosit</t>
  </si>
  <si>
    <t>Vignette</t>
  </si>
  <si>
    <t>INStheme1</t>
  </si>
  <si>
    <t>INStheme2</t>
  </si>
  <si>
    <t>INStheme3</t>
  </si>
  <si>
    <t>INStheme4</t>
  </si>
  <si>
    <t>INStheme5</t>
  </si>
  <si>
    <t>INStheme6</t>
  </si>
  <si>
    <t>INStheme7</t>
  </si>
  <si>
    <t>INStheme8</t>
  </si>
  <si>
    <t>INStheme9</t>
  </si>
  <si>
    <t>INStheme10</t>
  </si>
  <si>
    <t>INStheme11</t>
  </si>
  <si>
    <t>INStheme12</t>
  </si>
  <si>
    <t>INStheme13</t>
  </si>
  <si>
    <t>INStheme14</t>
  </si>
  <si>
    <t>INStheme15</t>
  </si>
  <si>
    <t>INStheme16</t>
  </si>
  <si>
    <t>INStheme17</t>
  </si>
  <si>
    <t>INStheme18</t>
  </si>
  <si>
    <t>INStheme19</t>
  </si>
  <si>
    <t>INStheme20</t>
  </si>
  <si>
    <t>INStheme21</t>
  </si>
  <si>
    <t>INStheme22</t>
  </si>
  <si>
    <t>INStheme23</t>
  </si>
  <si>
    <t>INStheme24</t>
  </si>
  <si>
    <t>INStheme25</t>
  </si>
  <si>
    <t>INStheme26</t>
  </si>
  <si>
    <t>INStheme27</t>
  </si>
  <si>
    <t>INStheme28</t>
  </si>
  <si>
    <t>INStheme29</t>
  </si>
  <si>
    <t>INStheme30</t>
  </si>
  <si>
    <t>INStheme31</t>
  </si>
  <si>
    <t>INStheme32</t>
  </si>
  <si>
    <t>INStheme33</t>
  </si>
  <si>
    <t>INStheme34</t>
  </si>
  <si>
    <t>Site(s) internet contenant toutes informations pouvant être utiles à la description de la géodonnée.</t>
  </si>
  <si>
    <t>Rapport(s) de contrôle, cahier(s) de charges, ou tout document en pdf qui permet de comprendre la généalogie de la donnée.</t>
  </si>
  <si>
    <t>Identification de la géodonnée</t>
  </si>
  <si>
    <t>Description additionnelle de la géodonnée</t>
  </si>
  <si>
    <t xml:space="preserve">[Facultatif] </t>
  </si>
  <si>
    <t>[Facultatif]</t>
  </si>
  <si>
    <t>Thèmes du géoportail wallon</t>
  </si>
  <si>
    <t>Date à laquelle une ressource commence à exister, sans nécessairement être publiée. Elle peut être mentionnée si elle est différente de la date de dernière mise à jour. Attention, dans le cas d'un jeux de données, il s'agit de la date de création de la géodonnée et non des objets dans le monde réel. Format: aaaa-mm-jj</t>
  </si>
  <si>
    <t>Date de la dernière mise à jour de la ressource. Elle est celle qui correspond au cycle de publication et non au cycle de production. Par exemple, si une base de données de production est mise à jour tous les jours par des agents de terrain, mais n'est publiée que tous les 6 mois, la date de dernière mise à jour est celle qui correspond à la dernière publication de la base de données.</t>
  </si>
  <si>
    <t>…dernière mise à jour de la géodonnée</t>
  </si>
  <si>
    <t>Allemand</t>
  </si>
  <si>
    <t>Système de référence spatiale</t>
  </si>
  <si>
    <t>2002-12-09</t>
  </si>
  <si>
    <t>Information sur la densité des données spatiales, sous forme de résolution au sol (distance au sol, "ground sampling distance") pour un raster exprimé en mètres. Ne pas remplir ce champ si une valeur de dénominateur est fournie.</t>
  </si>
  <si>
    <t>Information sur la densité des données spatiales, sous forme d'échelle (dénominateur de l'échelle conceptuelle du jeu de données ou d'une carte). Ne pas remplir ce champ si une valeur de distance au sol est fournie (résolution au sol).</t>
  </si>
  <si>
    <t>Généalogie de la donnée</t>
  </si>
  <si>
    <t>Pouvez-vous préciser quel(s) thème(s) INSPIRE est (sont) concerné(s)?</t>
  </si>
  <si>
    <t>La donnée est-elle concernée par ce thème?</t>
  </si>
  <si>
    <t>Annexe I</t>
  </si>
  <si>
    <t>Annexe II</t>
  </si>
  <si>
    <t>Annexe III</t>
  </si>
  <si>
    <t xml:space="preserve">; </t>
  </si>
  <si>
    <t xml:space="preserve">GEMET - INSPIRE themes, version 1.0
</t>
  </si>
  <si>
    <t>abstract_body</t>
  </si>
  <si>
    <t>ger</t>
  </si>
  <si>
    <t>Lambert Belge 1972</t>
  </si>
  <si>
    <t>Conformité générale vis-à-vis d'INSPIRE</t>
  </si>
  <si>
    <t>[Obligatoire si dans le scope INSPIRE]</t>
  </si>
  <si>
    <t>La géodonnée est-elle conforme à ce thème (technical guidelines) ?</t>
  </si>
  <si>
    <t>Accès total à la donnée (téléchargement, copie…)</t>
  </si>
  <si>
    <t>Accès limité à la donnée (visualisation)</t>
  </si>
  <si>
    <t>Téléchargement direct</t>
  </si>
  <si>
    <t>Valeur 1</t>
  </si>
  <si>
    <t>Valeur 2</t>
  </si>
  <si>
    <t>list_des_distributeurs</t>
  </si>
  <si>
    <t>Choisir dans la liste déroulante créée sur base des informations introduites dans l'onglet "Contacts" le distributeur correspondant. Si le distributeur est manquant, il convient alors de d'abord l'introduire dans l'onglet "Contacts".</t>
  </si>
  <si>
    <t>Description des instructions d'accès</t>
  </si>
  <si>
    <t>orderingInstructions1</t>
  </si>
  <si>
    <t>Format de la donnée</t>
  </si>
  <si>
    <t>Description de la ressource</t>
  </si>
  <si>
    <t>Version du format</t>
  </si>
  <si>
    <t>Volume (MB)</t>
  </si>
  <si>
    <t>Accès en téléchargement direct</t>
  </si>
  <si>
    <t>Carte des sols ESRI File Geodatabase-10MB</t>
  </si>
  <si>
    <t>Téléchargement après extraction</t>
  </si>
  <si>
    <t>Description des instructions de commande</t>
  </si>
  <si>
    <t>orderingInstructions2</t>
  </si>
  <si>
    <t>Copie physique</t>
  </si>
  <si>
    <t>Service de téléchargement</t>
  </si>
  <si>
    <t>orderingInstructions3</t>
  </si>
  <si>
    <t>nameformat1</t>
  </si>
  <si>
    <t>nameformat2</t>
  </si>
  <si>
    <t>transfersize1 (créer bloc xml)</t>
  </si>
  <si>
    <t>transfersize2 (créer bloc xml)</t>
  </si>
  <si>
    <t>dirstributionURLext</t>
  </si>
  <si>
    <t>distributionProtocolext</t>
  </si>
  <si>
    <t>distributionNameext</t>
  </si>
  <si>
    <t>distributionDescriptioext</t>
  </si>
  <si>
    <t>distributionFunctioext</t>
  </si>
  <si>
    <t>nameformat3</t>
  </si>
  <si>
    <t>transfersize3 (créer bloc xml)</t>
  </si>
  <si>
    <t>Nom du média</t>
  </si>
  <si>
    <t>Type de média</t>
  </si>
  <si>
    <t>mediumName</t>
  </si>
  <si>
    <t>mediumNameCode</t>
  </si>
  <si>
    <t>Nom du média sur lequel la donnée est mise à disposition.</t>
  </si>
  <si>
    <t>Volume de données (MB).</t>
  </si>
  <si>
    <t xml:space="preserve">Version du format (date,nombre,etc) sans le mot "version". </t>
  </si>
  <si>
    <t>Version du format (date,nombre,etc) sans le mot "version".</t>
  </si>
  <si>
    <t>Type de média sur lequel la donnée est copiée.</t>
  </si>
  <si>
    <t>cdRom</t>
  </si>
  <si>
    <t>dvd</t>
  </si>
  <si>
    <t>dvdRom</t>
  </si>
  <si>
    <t>hardcopy</t>
  </si>
  <si>
    <t>CD-ROM</t>
  </si>
  <si>
    <t>DVD</t>
  </si>
  <si>
    <t>DVD-ROM</t>
  </si>
  <si>
    <t>Disque dur ou USB</t>
  </si>
  <si>
    <t>orderingInstructions4</t>
  </si>
  <si>
    <t>Distributeur (Responsable de la DB)</t>
  </si>
  <si>
    <t>nameformat4</t>
  </si>
  <si>
    <t>Type de base de données</t>
  </si>
  <si>
    <t>Version de la base de données</t>
  </si>
  <si>
    <t>11g</t>
  </si>
  <si>
    <t>dirstributionURLDB</t>
  </si>
  <si>
    <t>distributionProtocolDB</t>
  </si>
  <si>
    <t>distributionNameDB</t>
  </si>
  <si>
    <t>distributionDescriptioDB</t>
  </si>
  <si>
    <t>distributionFunctioDB</t>
  </si>
  <si>
    <t>Adresse de connexion à la base de données (Lien URL)</t>
  </si>
  <si>
    <t>versionFormat4</t>
  </si>
  <si>
    <t>transfersize4 (créer bloc xml)</t>
  </si>
  <si>
    <t>orderingInstructions5</t>
  </si>
  <si>
    <t>nameformat5</t>
  </si>
  <si>
    <t>versionFormat5</t>
  </si>
  <si>
    <t>transfersize5 (créer bloc xml)</t>
  </si>
  <si>
    <t xml:space="preserve">Version de la base de données (date,nombre,etc) sans le mot "version". </t>
  </si>
  <si>
    <t>Connexion directe à une base de données</t>
  </si>
  <si>
    <t>Connexion à une base de données</t>
  </si>
  <si>
    <t>Adresse de connexion au service de téléchargement (Lien URL)</t>
  </si>
  <si>
    <t>Quel élément ISO?</t>
  </si>
  <si>
    <t>Carte dynamique (application)</t>
  </si>
  <si>
    <t>URL sur les sources en ligne par lesquelles la ressource peut être visualisée.</t>
  </si>
  <si>
    <t>Thèmatique de la donnée</t>
  </si>
  <si>
    <t>Un site internet expliquant la thématique de la donnée</t>
  </si>
  <si>
    <t>dirstributionURLthem</t>
  </si>
  <si>
    <t>distributionProtocolthem</t>
  </si>
  <si>
    <t>distributionNamethem</t>
  </si>
  <si>
    <t>distributionDescriptiothem</t>
  </si>
  <si>
    <t>distributionFunctiothem</t>
  </si>
  <si>
    <t>La géodonnée entre-t-elle dans le scope d'INSPIRE? Si oui, veuillez cocher la case ci-jointe et remplir les éléments obligatoires ci-dessous tels que la conformirté générale vis-à-vis d'INSPIRE et la conformité par rapport à la Technical guidance des thèmes concernés que vous avez cochés.</t>
  </si>
  <si>
    <t>Référence de la fiche de métadonnées pour l'application (lien avec une fiche existante)</t>
  </si>
  <si>
    <t>useLimitation4</t>
  </si>
  <si>
    <t>Point de contact (fiche)</t>
  </si>
  <si>
    <t>Point de contact (ressource)</t>
  </si>
  <si>
    <t>Liste/cond</t>
  </si>
  <si>
    <t>Cond</t>
  </si>
  <si>
    <t>List</t>
  </si>
  <si>
    <t>SQLServer</t>
  </si>
  <si>
    <t>Oracle</t>
  </si>
  <si>
    <t>PostGRESQL</t>
  </si>
  <si>
    <t>PostGIS</t>
  </si>
  <si>
    <t>Concernée par le théme</t>
  </si>
  <si>
    <t>Conforme au thème</t>
  </si>
  <si>
    <t>Traduction</t>
  </si>
  <si>
    <t>Scope INSPIRE</t>
  </si>
  <si>
    <t>Libre métier</t>
  </si>
  <si>
    <t>Element_ISO</t>
  </si>
  <si>
    <t>ELEMENT_ISO1</t>
  </si>
  <si>
    <t>ELEMENT_ISO2</t>
  </si>
  <si>
    <t>ELEMENT_ISO3</t>
  </si>
  <si>
    <t>INSPIRE Data Specification on Addresses – Technical Guidelines 3.1</t>
  </si>
  <si>
    <t>INSPIRE Data Specification on Cadastral Parcels– Technical Guidelines 3.1</t>
  </si>
  <si>
    <t>INSPIRE Data Specification on Hydrography – Technical Guidelines 3.1</t>
  </si>
  <si>
    <t>INSPIRE Data Specification on Protected Sites – Technical Guidelines 3.1</t>
  </si>
  <si>
    <t>INSPIRE Data Specification on Administrative Units – Technical Guidelines 3.1</t>
  </si>
  <si>
    <t>INSPIRE Data Specification on Coordinate Reference Systems– Technical Guidelines 3.1</t>
  </si>
  <si>
    <t>INSPIRE Data Specification on Transport Networks – Technical Guidelines 3.1</t>
  </si>
  <si>
    <t>INSPIRE Data Specification on Geographical Names – Technical Guidelines 3.1</t>
  </si>
  <si>
    <t>INSPIRE Data Specification on Geographical Grid Systems – Technical Guidelines 3.1</t>
  </si>
  <si>
    <t>INSPIRE Data Specification on Elevation – Technical Guidelines</t>
  </si>
  <si>
    <t>INSPIRE Data Specification on Geology – Technical Guidelines</t>
  </si>
  <si>
    <t>INSPIRE Data Specification on Land Use – Technical Guidelines</t>
  </si>
  <si>
    <t>INSPIRE Data Specification on Orthoimagery – Technical Guidelines</t>
  </si>
  <si>
    <t>INSPIRE Data Specification on Buildings – Technical Guidelines</t>
  </si>
  <si>
    <t>INSPIRE Data Specification on  Atmospheric Conditions and Meteorological Geographical Features – Technical Guidelines</t>
  </si>
  <si>
    <t>INSPIRE Data Specification on Oceanographic Geographical Features – Technical Guidelines</t>
  </si>
  <si>
    <t>INSPIRE Data Specification on Habitats and Biotopes – Technical Guidelines</t>
  </si>
  <si>
    <t>INSPIRE Data Specification on Agricultural and Aquaculture Facilities – Technical Guidelines</t>
  </si>
  <si>
    <t>INSPIRE Data Specification on Area management/restriction/regulation zones and reporting units – Technical Guidelines</t>
  </si>
  <si>
    <t>INSPIRE Data Specification on Production and Industrial Facilities – Technical Guidelines</t>
  </si>
  <si>
    <t>INSPIRE Data Specification on Bio-geographical Regions – Technical Guidelines</t>
  </si>
  <si>
    <t>INSPIRE Data Specification on Sea Regions – Technical Guidelines</t>
  </si>
  <si>
    <t>INSPIRE Data Specification on Population distribution - demography – Technical Guidelines</t>
  </si>
  <si>
    <t>INSPIRE Data Specification on Species Distribution – Technical Guidelines</t>
  </si>
  <si>
    <t>INSPIRE Data Specification on Mineral Resources – Technical Guidelines</t>
  </si>
  <si>
    <t>INSPIRE Data Specification on Human Health and Safety – Technical Guidelines</t>
  </si>
  <si>
    <t>INSPIRE Data Specification on Soil – Technical Guidelines</t>
  </si>
  <si>
    <t>INSPIRE Data Specification on Energy Resources – Technical Guidelines</t>
  </si>
  <si>
    <t>INSPIRE Data Specification on Statistical Units – Technical Guidelines</t>
  </si>
  <si>
    <t>INSPIRE Data Specification on Natural Risk Zones – Technical Guidelines</t>
  </si>
  <si>
    <t>INSPIRE Data Specification on Environmental Monitoring Facilities – Technical Guidelines</t>
  </si>
  <si>
    <t>INSPIRE Data Specification on Utility and governmental services– Technical Guidelines</t>
  </si>
  <si>
    <t>Keywordfree</t>
  </si>
  <si>
    <t>Open data</t>
  </si>
  <si>
    <t>Mots-clés InfraSIG</t>
  </si>
  <si>
    <t>KeywordInspire</t>
  </si>
  <si>
    <t>KeyWordOpendata</t>
  </si>
  <si>
    <t>Nom format DB</t>
  </si>
  <si>
    <t>N.B:</t>
  </si>
  <si>
    <t>COSW</t>
  </si>
  <si>
    <t>v.1_05</t>
  </si>
  <si>
    <t>Numéro ou date de version si plusieurs versions de la même ressource existent.</t>
  </si>
  <si>
    <t>Phrase courte qui permet à un lecteur de comprendre la donnée en un coup d'œil (guideline : +/- 150 caractères, espaces compris). Elle est la partie du
résumé visible quand une série de fiches de métadonnées sont listées, par exemple sur une page
indiquant des résultats de recherche.</t>
  </si>
  <si>
    <t>Sylviculture; Transport</t>
  </si>
  <si>
    <t>Langue dans laquelle est la ressource. Si la valeur est "Français", alors ne pas modifier la valeur par défaut.</t>
  </si>
  <si>
    <t>Nom du système de référence des données. Modifier la valeur uniquement si le système de projection est autre que le Lambert 72.</t>
  </si>
  <si>
    <t>Date de début de la période couverte par le contenu de la ressource. Format: aaaa-mm-jj.</t>
  </si>
  <si>
    <t>Date de fin de la période couverte par le contenu de la ressource. Format: aaaa-mm-jj.</t>
  </si>
  <si>
    <t>Il s'agit d'un identifiant local de la ressource, généralement attribué par le producteur ou le gestionnaire de la ressource, correspondant par exemple à l'adresse physique de la géodonnée dans une base de données. Les trois éléments ci-dessous seront concaténés de manière transparente en un identifiant local unique et séparés par un "_". Si par ailleurs la géodonnée ne se trouve pas dans une base de donnée, alors ne pas remplir les champs ci-dessous mais indiquer simplement l'identifiant sous lequel la donnée est connue localement.</t>
  </si>
  <si>
    <t>Fréquence des changements et des ajouts à la ressource.</t>
  </si>
  <si>
    <t>Informations ou remarques concernant les besoins spécifiques concernant la mise à jour des ressources.</t>
  </si>
  <si>
    <t>Identification du point de contact. Prénom et Nom.</t>
  </si>
  <si>
    <t>Les points de contacts suivants sont obligatoires:</t>
  </si>
  <si>
    <t>Contacts</t>
  </si>
  <si>
    <t>Contact 6</t>
  </si>
  <si>
    <t>Contact 7</t>
  </si>
  <si>
    <t>Rôle endossé par la personne ou l'organisation mentionnée vis-à-vis de la ressource.</t>
  </si>
  <si>
    <t>Qualification du point de contact. Exemple: Directeur</t>
  </si>
  <si>
    <t>Elément de métadonnée</t>
  </si>
  <si>
    <t xml:space="preserve">Nom du format par lequel la ressource est distribuée. Le nom ou l'acronyme sous lequel le format est connu + son extension entre paranthèses. </t>
  </si>
  <si>
    <t>Type de base de données par lequelle la ressource est distribuée. Le nom ou l'acronyme sous lequel le format est connu + son extension entre paranthèses.</t>
  </si>
  <si>
    <t>SPW - SG - DGM - DIG</t>
  </si>
  <si>
    <t>Nom complet de l'organisation responsable, avec entre parenthèse l'acronyme ou d'autres indications permettant de situer l'organisme au sein d'une structure plus grande. Format recommandé: Nom de la Direction ou de la cellule spécifique (SPW - DGNuméro de la direction générale - Abréviation du Département - Abréviation de la direction). Exemple: Direction de l'Intégration des Géodonnées (SPW - SG - DGM - DIG).</t>
  </si>
  <si>
    <t>"Les données sont disponibles via la demande d'un login à l'adresse suivante géodistribution@spw.wallonie.be" ou "Données accessibles gratuitement à des fins de recherche sous condition d'acceptation d'une licence. Les instructions relatives à la licence se trouvent à l'adresse http://geoportail.wallonie.be/licenceunique"</t>
  </si>
  <si>
    <t>"Données accessibles gratuitement à des fins de recherche sous condition d'acceptation d'une licence. Les instructions relatives à la licence se trouvent à l'adresse http://geoportail.wallonie.be/licenceunique"</t>
  </si>
  <si>
    <t>Nom de la source en ligne. Rappeler dans le nom de la valeur le nom du format et le volume de la manière suivante: "Nom du format - volume".</t>
  </si>
  <si>
    <t>CD-ROM - (COSW) - v.1_05</t>
  </si>
  <si>
    <t>Application Inondations - internet</t>
  </si>
  <si>
    <t xml:space="preserve">http://geoapps.wallonie.be/inondations </t>
  </si>
  <si>
    <t xml:space="preserve"> Application Inondations - Internet - L'application Inondations est dédiée à la consultation des données relatives
- à l'aléa d'inondation par débordement et ruissellement,
- aux zones inondables,
- aux risques d'inondations.</t>
  </si>
  <si>
    <t>Service SEVESO (WMS internet)</t>
  </si>
  <si>
    <t>http://geoservices.wallonie.be/arcgis/services/INDUSTRIES_SERVICES/SEVESO/MapServer/WMSServer</t>
  </si>
  <si>
    <t>Service SEVESO (WMS internet) - Ce service permet la consultation, recherche et identification des données SEVESO en région wallonne, au format WMS. Ce service est à intégrer dans une application ou un SIG-logiciel.</t>
  </si>
  <si>
    <t>Service de visualisation ou d'utilisation en ligne (Service de géotraitement)</t>
  </si>
  <si>
    <t>Conformité générale de la ressource vis-à-vis d'INSPIRE. Si un test de conformité a été appliqué aux données, alors il convient de remplir les champs relatifs aux tests directement dans l'application Metawal. La valeur par défaut est "Pas conforme" même si la conformité de la donnée vis-à-vis d'INSPIRE n'a pas été évaluée.</t>
  </si>
  <si>
    <t>Format vignette</t>
  </si>
  <si>
    <t>gif</t>
  </si>
  <si>
    <t>jpg</t>
  </si>
  <si>
    <t>tif</t>
  </si>
  <si>
    <t>Format de l'image (gif, jpg, png ou tif uniquement)</t>
  </si>
  <si>
    <t>http://geoportail.wallonie.be/files/docs/Inondations/AleaEtZi_2013/Note_methodo_carto20131015_Final.pdf</t>
  </si>
  <si>
    <t>http://geoportail.wallonie.be/cms/files/docs/AleaInondation.html</t>
  </si>
  <si>
    <t>Aléa inondation - Ensemble des documents informatifs relatifs à l'aléa d'inondation</t>
  </si>
  <si>
    <t>Aléa inondation</t>
  </si>
  <si>
    <t>Méthodologie de l'aléa d'inondation</t>
  </si>
  <si>
    <t>Méthodologie de l'aléa d'inondation - Notice méthodologique de la cartographie</t>
  </si>
  <si>
    <t>Modèle de données de l'aléa d'inondation</t>
  </si>
  <si>
    <t>http://metawal.wallonie.be/geonetwork/srv/en/resources.get?id=431&amp;fname=Visio-ALEA_INOND_2013Diagram.pdf&amp;access=private</t>
  </si>
  <si>
    <t>Modèle de données de l'aléa d'inondation - Description du modèle de données créé pour l'aléa inondation</t>
  </si>
  <si>
    <t>Portail Inondations</t>
  </si>
  <si>
    <t>http://environnement.wallonie.be/inondations/</t>
  </si>
  <si>
    <t>Portail Inondations - Présentation de la problématique des inondations en Région Wallonne</t>
  </si>
  <si>
    <t>Régime d'accès à la ressource</t>
  </si>
  <si>
    <t>Conditions d'utilisation de la ressource</t>
  </si>
  <si>
    <t>Régime d'accès</t>
  </si>
  <si>
    <t>Conditions d'utilisations</t>
  </si>
  <si>
    <t xml:space="preserve">Légende courte de la vignette. </t>
  </si>
  <si>
    <t>http://xxx.xxx.be/xxx/vignette-principale_Carte numérique des sols_2010-03-03.jpg</t>
  </si>
  <si>
    <t>Il est nécessaire de lier la fiche du service à celle relative à la géodonnée. L'identifiant de la fiche du service (UUID) peut être mentionné ici, même si le lien entre les deux fiches est effectivement réalisé dans l'application Metawal.</t>
  </si>
  <si>
    <t>Référence de la fiche de métadonnées pour ce service (lien avec une fiche existante)</t>
  </si>
  <si>
    <t>Il est nécessaire de lier la fiche de l'application à celle relative à la géodonnée. L'identifiant de la fiche de l'application (UUID) peut être mentionné ici, même si le lien entre les deux fiches est effectivement réalisé dans l'application Metawal.</t>
  </si>
  <si>
    <t>Carte statique indépendante ou insérée dans une publication (en suspens pour le moment)</t>
  </si>
  <si>
    <t>Mesures de la qualité (en suspens pour le moment)</t>
  </si>
  <si>
    <t>Explications sur les restrictions</t>
  </si>
  <si>
    <t>Expliquer les restrictions d'accès et d'utilisation, le public cible, etc. liées à la sécurité nationale.</t>
  </si>
  <si>
    <t>Cas de figure</t>
  </si>
  <si>
    <t>La géodonnée est-elle reprise sous ce cas de figure?</t>
  </si>
  <si>
    <r>
      <t xml:space="preserve">1) Point de contact pour le contenu de la fiche: </t>
    </r>
    <r>
      <rPr>
        <sz val="11"/>
        <color theme="1"/>
        <rFont val="Calibri"/>
        <family val="2"/>
        <scheme val="minor"/>
      </rPr>
      <t>Organisme ou personne responsable pour les informations que contient la fiche de métadonnées.</t>
    </r>
  </si>
  <si>
    <r>
      <t xml:space="preserve">2) Point de contact pour la ressource elle-même: </t>
    </r>
    <r>
      <rPr>
        <sz val="11"/>
        <color theme="1"/>
        <rFont val="Calibri"/>
        <family val="2"/>
        <scheme val="minor"/>
      </rPr>
      <t>Organisme ou personne qu'il faut contacter pour obtenir des renseignements sur la ressource.</t>
    </r>
  </si>
  <si>
    <r>
      <t xml:space="preserve">3) Propriétaire de la ressource: </t>
    </r>
    <r>
      <rPr>
        <sz val="11"/>
        <color theme="1"/>
        <rFont val="Calibri"/>
        <family val="2"/>
        <scheme val="minor"/>
      </rPr>
      <t>Organisme ou la personne morale ou physique qui possède la propriété intellectuelle de la ressource.</t>
    </r>
  </si>
  <si>
    <r>
      <t xml:space="preserve">4) Gestionnaire de la ressource: </t>
    </r>
    <r>
      <rPr>
        <sz val="11"/>
        <color theme="1"/>
        <rFont val="Calibri"/>
        <family val="2"/>
        <scheme val="minor"/>
      </rPr>
      <t>Organisme ou la personne qui endosse la responsabilité de la ressource.</t>
    </r>
  </si>
  <si>
    <r>
      <t xml:space="preserve">5) Distributeur de la ressource: </t>
    </r>
    <r>
      <rPr>
        <sz val="11"/>
        <color theme="1"/>
        <rFont val="Calibri"/>
        <family val="2"/>
        <scheme val="minor"/>
      </rPr>
      <t>Organisme auprès duquel la ressource peut être obtenue.</t>
    </r>
  </si>
  <si>
    <t>Données accessibles uniquement aux autorités publiques (régionales et d'autres niveaux), par exemple données dans le scope d'INSPIRE.</t>
  </si>
  <si>
    <t>Données accessibles pour des missions de service public au sens large, par exemple données distribuées sous la licence SPW.</t>
  </si>
  <si>
    <t>Données accessibles à tous sauf usage commercial.</t>
  </si>
  <si>
    <t>Donnée ouverte (Open data) : données accessibles à tous pour tout type d'usage.</t>
  </si>
  <si>
    <t>Données accessibles aux membres d'un groupe au sein d'une organisation, par exemple données restreintes à l'usage interne d'une DG ou accessibles uniquement aux membres d'un projet.</t>
  </si>
  <si>
    <t>Données accessibles uniquement aux membres d'une organisation, par exemple données restreintes à l'usage interne du SPW.</t>
  </si>
  <si>
    <t>Il est nécessaire de préciser le groupe cible. Veuillez remplir la valeur dans le champ correspondant en continuant la phrase suivante: "Accès restreint à…"</t>
  </si>
  <si>
    <t>Tout autre cas de figure</t>
  </si>
  <si>
    <t>Il est nécessaire de décrire le régime d'accès. Il s'agit d'une description libre.</t>
  </si>
  <si>
    <t>Accès libre pour tout public - Open data</t>
  </si>
  <si>
    <t>Accès libre pour tout public - Utilisation commerciale interdite</t>
  </si>
  <si>
    <t>Accès pour les autorités publiques, pour des missions de service public ou pour la recherche et l'enseignement</t>
  </si>
  <si>
    <t>Aucun régime d'accès n'est à préciser, la valeur par défaut ci-après est utilisée.</t>
  </si>
  <si>
    <t>Accès réservé aux autorités publiques</t>
  </si>
  <si>
    <t>md_securityconstraints/uselimitation (nouvel élément)</t>
  </si>
  <si>
    <t>Cochez obligatoirement ci-dessous le cas de figure correspondant aux modalités d'accès à la géodonnée et remplissez les informations nécessaires le cas échéant.</t>
  </si>
  <si>
    <t>Aucune restriction d'accès public au service de visualisation</t>
  </si>
  <si>
    <t>Libre accès pour tous à une application de visualisation.</t>
  </si>
  <si>
    <t>Aucune restriction d'accès public à l'application de visualisation</t>
  </si>
  <si>
    <t>md_constraints\uselimitations10</t>
  </si>
  <si>
    <t>md_constraints\uselimitations20</t>
  </si>
  <si>
    <t>md_constraints\uselimitations30</t>
  </si>
  <si>
    <t>Valeur - Partie 1</t>
  </si>
  <si>
    <t>Valeur - Partie 2</t>
  </si>
  <si>
    <t>Cochez ci-dessous le cas de figure correspondant aux conditions d'utilisation de la géodonnée et remplissez les informations nécessaires le cas échéant.</t>
  </si>
  <si>
    <t>Des conditions d'utilisation de la donnée s'appliquent. Elles sont décrites dans la licence de mise à disposition de données géographiques et biologiques numériques par le SPW consultable à l'adresse http://geoportail.wallonie.be/files/LicData.pdf</t>
  </si>
  <si>
    <t>Donnée ouverte (Open data) sous licence, par exemple Etalab ou Creative Commons.</t>
  </si>
  <si>
    <t>Donnée distribuée sous une autre licence.</t>
  </si>
  <si>
    <t>Il est nécessaire de spécifier les informations relatives à la licence dans les champs ci-après. Le champ "Valeur - Partie 1" doit contenir le nom et la version de la licence , le champ "Valeur - Partie 2" l'URL de la licence. Au final, le texte suivant sera inséré dans la fiche de métadonnées: "Des conditions d'utilisation de la donnée s'appliquent. Elles sont décrites dans la licence &lt;nom et version&gt; consultable à l'adresse &lt;URL de la licence&gt;".</t>
  </si>
  <si>
    <t>Il est nécessaire de spécifier les informations relatives à la référence légale dans les champs ci-après. Le champ "Valeur - Partie 1" doit contenir le nom complet du texte légal , le champ "Valeur - Partie 2" l'URL du texte légal. Au final, le texte suivant sera inséré dans la fiche de métadonnées: "Référence légale: &lt;nom complet du texte légal&gt; consultable à l'adresse &lt;URL du texte légal&gt;".</t>
  </si>
  <si>
    <t>Un texte légal indique que la donnée doit être publiée, mais aucune licence n'a encore été spécifiée. Ce cas de figure vaut également pour une donnée Open data sans licence.</t>
  </si>
  <si>
    <t>Il est nécessaire de spécifier les informations relatives au site Internet dans le champs "Valeur - Partie 1" ci-après. Ce champ doit contenir l'URL du site où sont décrites les conditions. Au final, le texte suivant sera inséré dans la fiche de métadonnées: "Des conditions d'utilisation de la donnée s'appliquent. Elles sont consultables à l'adresse &lt;URL du site où sont décrites les conditions&gt;".</t>
  </si>
  <si>
    <t>Les conditions d'utilisation sont publiées sur une site Internet.</t>
  </si>
  <si>
    <t>md_constraints\uselimitations11</t>
  </si>
  <si>
    <t>md_constraints\uselimitations21</t>
  </si>
  <si>
    <t>md_constraints\uselimitations31</t>
  </si>
  <si>
    <t>Autre(s) limite(s) d'accès</t>
  </si>
  <si>
    <t>Autre(s) limite(s) d'utilisation</t>
  </si>
  <si>
    <t>Condition(s) spécifique(s) des services et applications</t>
  </si>
  <si>
    <t>Les conditions d'utilisation sont décrites dans la fiche de métadonnées.</t>
  </si>
  <si>
    <t>Aucune condition n'est décrite, par exemple données accessibles uniquement au sein d'une organisation.</t>
  </si>
  <si>
    <t>Aucune condition d'utilisation de la donnée n'est définie.</t>
  </si>
  <si>
    <t>Pour toute limite d'accès qui ne soit ni légale, contractuelle ou sécuritaire,  veuillez utiliser le(s) champ(s) ci-dessous.</t>
  </si>
  <si>
    <t>Si vous souhaitez mettre en évidence des conditions d'utilisation particulière de la géodonnée, vous pouvez utiliser le(s) champ(s) ci-dessous.</t>
  </si>
  <si>
    <t>Si vous souhaitez mentionner l'existence de conditions spécifiques pour l'utilisation des services et applications, veuillez utiliser le champ(s) ci-dessous.</t>
  </si>
  <si>
    <t>"Obligation de citer la Région Wallonne dans les sources pour toute publication" ou "Ces données sont fournies à titre informatif et n'ont pas de valeur juridique."</t>
  </si>
  <si>
    <t>"Ne pas utiliser avec un autre fond de plan que l'IGN 1:10.000" ou "Ne pas utiliser pour la navigation."</t>
  </si>
  <si>
    <t>Il est nécessaire de préciser l'organisation cible. Veuillez remplir la valeur dans le champ correspondant en continuant la phrase suivante: "Accès restreint au personnel ou aux membres de…"</t>
  </si>
  <si>
    <t>Coché</t>
  </si>
  <si>
    <t>AccessConstraints</t>
  </si>
  <si>
    <t>Phrase</t>
  </si>
  <si>
    <t>Accès restreint à</t>
  </si>
  <si>
    <t>Accès :</t>
  </si>
  <si>
    <t>Accès restreint au personnel ou aux membres de</t>
  </si>
  <si>
    <t>service visualisation</t>
  </si>
  <si>
    <t>UsecConstraints</t>
  </si>
  <si>
    <t>Valeur1</t>
  </si>
  <si>
    <t xml:space="preserve">Des conditions d'utilisation de la donnée s'appliquent. Elles sont décrites dans la licence </t>
  </si>
  <si>
    <t xml:space="preserve">Des conditions d'utilisation de la donnée s'appliquent. Elles sont consultables à l'adresse </t>
  </si>
  <si>
    <t>Uselimitations</t>
  </si>
  <si>
    <t>Partie 2</t>
  </si>
  <si>
    <t>Partie 1</t>
  </si>
  <si>
    <t>Local Code</t>
  </si>
  <si>
    <t>id</t>
  </si>
  <si>
    <t>Valeur2</t>
  </si>
  <si>
    <t>Valeur3</t>
  </si>
  <si>
    <t xml:space="preserve">Référence légale: </t>
  </si>
  <si>
    <t xml:space="preserve">Des conditions d'utilisation de la donnée s'appliquent. Elles sont décrites dans la fiche de métadonnées </t>
  </si>
  <si>
    <t xml:space="preserve"> consultable à l'adresse </t>
  </si>
  <si>
    <t>Mode de distribution de la ressource</t>
  </si>
  <si>
    <t>/</t>
  </si>
  <si>
    <t>Les documents annexes demandés, tels que des rapports de production, la vignette illustrative… peuvent être transmis par email conjointement au template complété.</t>
  </si>
  <si>
    <t>Ce template contient des listes, des formules et des scripts VBA nécessaires au bon fonctionnement et à la bonne structuration du fichier. Il est nécessaire d'activer les Macros et les ActiveX pour qu'il fonctionne correctement.</t>
  </si>
  <si>
    <t>Fiche d'encodage des métadonnées: Présentation du template de  rédaction</t>
  </si>
  <si>
    <t>Nom par lequel la donnée est connue. Nom caractéristique, court (+/- 60 caractères), si possible unique et qui réduit le risque de confusion avec une autre ressource.</t>
  </si>
  <si>
    <t>Carte d'occupation du sol de Wallonie</t>
  </si>
  <si>
    <t>Noms alternatifs</t>
  </si>
  <si>
    <t>Autres appellations utilisées pour faire référence à la donnée, Plusieurs noms alternatifs peuvent être encodés, ils doivent alors être séparés par des points virgules ";".</t>
  </si>
  <si>
    <t>Occupation du sol ; occup_sol</t>
  </si>
  <si>
    <t>Acronyme de la ressource</t>
  </si>
  <si>
    <t>Indication de la zone géographique couverte dans le cas où la même donnée est proposé sur plusieurs territoires.</t>
  </si>
  <si>
    <t>Province de Liège</t>
  </si>
  <si>
    <r>
      <t xml:space="preserve">Type de ressources auxquelles les métadonnées s'appliquent. S'agit-il d'une géodonnée ou d'une série de géodonnées? 
</t>
    </r>
    <r>
      <rPr>
        <b/>
        <i/>
        <sz val="10.5"/>
        <rFont val="Calibri"/>
        <family val="2"/>
        <scheme val="minor"/>
      </rPr>
      <t>Géodonnée</t>
    </r>
    <r>
      <rPr>
        <sz val="10.5"/>
        <rFont val="Calibri"/>
        <family val="2"/>
        <scheme val="minor"/>
      </rPr>
      <t xml:space="preserve"> : Ensemble de données géographiques concernant une thématique particulière qui ont été produites ou collectées dans un but spécifique généralement par un seul producteur et en suivant les mêmes spécifications.</t>
    </r>
    <r>
      <rPr>
        <sz val="6"/>
        <rFont val="Calibri"/>
        <family val="2"/>
        <scheme val="minor"/>
      </rPr>
      <t xml:space="preserve">
</t>
    </r>
    <r>
      <rPr>
        <sz val="10.5"/>
        <rFont val="Calibri"/>
        <family val="2"/>
        <scheme val="minor"/>
      </rPr>
      <t xml:space="preserve">
</t>
    </r>
    <r>
      <rPr>
        <b/>
        <i/>
        <sz val="10.5"/>
        <rFont val="Calibri"/>
        <family val="2"/>
        <scheme val="minor"/>
      </rPr>
      <t>Série de géodonnées</t>
    </r>
    <r>
      <rPr>
        <sz val="10.5"/>
        <rFont val="Calibri"/>
        <family val="2"/>
        <scheme val="minor"/>
      </rPr>
      <t xml:space="preserve"> : Ensemble de géodonnées qui partagent des caractéristiques, des objectifs ou des spécifications similaires. La série fait référence à une notion de répétition dans l'espace ou dans le temps de jeux de données de même nature.</t>
    </r>
    <r>
      <rPr>
        <sz val="11"/>
        <rFont val="Calibri"/>
        <family val="2"/>
        <scheme val="minor"/>
      </rPr>
      <t xml:space="preserve">
</t>
    </r>
  </si>
  <si>
    <t xml:space="preserve">Localisation et informations descriptives sur les accidents de circulation survenus sur les voiries régionales entre 2008 et 2012. </t>
  </si>
  <si>
    <t xml:space="preserve">Le jeu de données reprend la localisation sous forme ponctuelle des accidents impliquant des usagers ayant subi des dommages corporels, de ceux qui ont eu lieu contre des obstacles dangereux (arbres, fossés, poteaux d'éclairage, barrières de sécurité) et de ceux impliquant des usagers sous influence d'alcool ou de stupéfiants.
Les données sont anonymisées. Pour les accidents avec dommages corporels, un score de gravité est calculé selon l'échelle internationale ISS (Injury Severity Score). 
Le jeu de données ne concerne que les accidents ayant eu lieu sur le réseau des voiries gérées par la Région Wallonne entre 2008 et 2012 et qui ont fait l'objet d'un constat par la police. Il est utilisé par la Direction de la Sécurité et des infrastructures routières du SPW pour définir les tronçons dangereux sur lesquels des aménagements sécuritaires doivent être mis en place. A cette fin un indice d'insécurité est calculé. Cet indice classe les voiries en trois catégories d'insécurité.
</t>
  </si>
  <si>
    <t xml:space="preserve">Les thèmes du géoportail permettent de catégoriser les ressources dans le géoportail de la Wallonie. Plusieurs thèmes peuvent être sélectionnés au sein de la liste déroulante. </t>
  </si>
  <si>
    <t>(3010) Routes; (30) Mobilité</t>
  </si>
  <si>
    <t>Les thèmes ISO permettent de classer la donnée selon des catégories standards reconnues internationalement. Plusieurs thèmes peuvent être sélectionnés au sein de la liste déroulante.</t>
  </si>
  <si>
    <t>Thèmes GEMET - Thésaurus environnemental multilingue</t>
  </si>
  <si>
    <t>Mots-clés du GEMET - Thésaurus environnemental multilingue</t>
  </si>
  <si>
    <t>Les thèmes GEMET permettent de classer la donnée selon des catégories standards spécifiques au domaine de l'environnement. Ils permettent de donner une visibilité multilingue à la ressource. Plusieurs thèmes peuvent être sélectionnés au sein de la liste déroulante.</t>
  </si>
  <si>
    <t xml:space="preserve">Les mots-clés du GEMET permettent de décrire la donnée  selon des termes standards spécifique au domaine de l'environnement, complémentairement aux  thèmes du GEMET. Ils permettent de donner une visibilité multilingue à la ressource. Plusieurs mots-clés peuvent être sélectionnés au sein de la liste déroulante. 
La navigation sur le site internet GEMET permet de découvrir des mots-clés liés sémantiquement à un thème ou un mot-clé de départ. </t>
  </si>
  <si>
    <t xml:space="preserve">http://www.eionet.europa.eu/gemet/fr/themes/ </t>
  </si>
  <si>
    <t>GEMET - Themes, version 2.4</t>
  </si>
  <si>
    <t>GEMET - Concepts, version 2.4</t>
  </si>
  <si>
    <t>accident de la route; autoroute; route à grande circulation; route ; étude de danger ; mesure de protection</t>
  </si>
  <si>
    <t xml:space="preserve">En utilisant des mots-clés relatifs à la nature et au contenu attributaire ou des mots-clés propres au métier, vous élargissez les possibilités de recherche de la ressource par les utilisateurs spécialisés. Ces mots-clés libres sont à séparer par des points virgules. </t>
  </si>
  <si>
    <t>Autres mots-clés</t>
  </si>
  <si>
    <t>Mots-clés libres. Ces mots-clés sont à séparer par des points virgules.</t>
  </si>
  <si>
    <t>ISS ; insécurité ; dangerosité; aménagement routier</t>
  </si>
  <si>
    <t>mort; blessé; dangereux; radar; vitesse ; alcool ; collision ; alcool ; stupéfiant</t>
  </si>
  <si>
    <t>Mots-clés relatifs au domaine ou l'usage potentiel</t>
  </si>
  <si>
    <t xml:space="preserve">En utilisant des mots-clés relatifs au domaine ou à l'usage potentiel, vous élargissez les possibilités de recherche de la ressource par les utilisateurs non spécialistes. Ces mots-clés sont à séparer par des points virgules. </t>
  </si>
  <si>
    <t>Mots-clés techniques InfraSIG</t>
  </si>
  <si>
    <t>URL du site internet</t>
  </si>
  <si>
    <t>Nom du site internet</t>
  </si>
  <si>
    <t>Description sommaire du site internet</t>
  </si>
  <si>
    <t>Type d'interaction possible avec le site internet (interaction principale)</t>
  </si>
  <si>
    <t>Régime d'accès à la donnée</t>
  </si>
  <si>
    <t>Conditions sécuritaires liées à la donnée</t>
  </si>
  <si>
    <t>Accès via une application ou un service</t>
  </si>
  <si>
    <t>Libre accès pour tous au service de visualisation
(condition obligatoire pour les données entrant dans le scope d'INSPIRE)</t>
  </si>
  <si>
    <t>Si la géodonnée est accessible via un service et/ou une application de visualisation, cochez les cases correspondantes.</t>
  </si>
  <si>
    <t>Donnée distribuée sous la licence SPW. Les autorités publiques et leurs prestataires ont accès à ces données.</t>
  </si>
  <si>
    <t>Aucune condition d'utilisation n'est à préciser, la valeur par défaut ci-après est utilisée. Par ailleurs, il est déconseillé de ne décrire aucune condition d'utilisation. Vous pouvez utiliser les champs "Autre limite d'utilisation" pour spécifier les informations relatives aux conditions d'utilisation particulière.</t>
  </si>
  <si>
    <r>
      <rPr>
        <i/>
        <u/>
        <sz val="9"/>
        <color theme="1"/>
        <rFont val="Calibri"/>
        <family val="2"/>
        <scheme val="minor"/>
      </rPr>
      <t xml:space="preserve">Origine des données </t>
    </r>
    <r>
      <rPr>
        <sz val="9"/>
        <color theme="1"/>
        <rFont val="Calibri"/>
        <family val="2"/>
        <scheme val="minor"/>
      </rPr>
      <t xml:space="preserve">
Les accidents corporels font l'objet d'un constat de la police. Ces constats sont informatisés et centralisés à la police fédérale (Direction de l'information policière opérationnelle) afin de former une base de données statistique officielle, uniforme et complète. La direction générale Statistique et Information économique du SPF Economie est responsable de la statistique et de la diffusion des données accidents corporels. Cette direction reçoit les données de la police mais aussi des parquets pour les informations concernant les blessés décédant à l'hôpital. L'administration des routes utilise les données de cette base de données officielle et complète sous un contrat de confidentialité pour la protection de la vie privée. 
</t>
    </r>
    <r>
      <rPr>
        <i/>
        <u/>
        <sz val="9"/>
        <color theme="1"/>
        <rFont val="Calibri"/>
        <family val="2"/>
        <scheme val="minor"/>
      </rPr>
      <t xml:space="preserve">La correction des localisations </t>
    </r>
    <r>
      <rPr>
        <sz val="9"/>
        <color theme="1"/>
        <rFont val="Calibri"/>
        <family val="2"/>
        <scheme val="minor"/>
      </rPr>
      <t xml:space="preserve">
La Direction de la Sécurité des Infrastructures routières réalise une série de vérifications et corrections des coordonnées de localisation des accidents. Les principales vérifications et corrections opérées sont : 
- la vérification des accidents en carrefour de 2 routes numérotées; 
- la correction des erreurs flagrantes; 
- les accidents sur routes numérotées sans bornes kilométriques renseignées mais en carrefour avec une rue; 
- les accidents en carrefour de 2 rues. L'une des deux rues est parfois en réalité une route numérotée. Citons pour exemples : La Chaussée de Bruxelles à Charleroi est en fait la N5. A Liège, les quais de Meuse sont quasi tous des routes numérotées. 
- la relocalisation des accidents sur base des informations du nom de la rue et du numéro d'immeuble. Par exemple : A Namur, le n° d'immeuble 294 de la chaussée de Waterloo correspond en fait à la N4, borne kilométrique 54,2 environ. 
</t>
    </r>
    <r>
      <rPr>
        <i/>
        <u/>
        <sz val="9"/>
        <color theme="1"/>
        <rFont val="Calibri"/>
        <family val="2"/>
        <scheme val="minor"/>
      </rPr>
      <t xml:space="preserve">Localisation des accidents </t>
    </r>
    <r>
      <rPr>
        <sz val="9"/>
        <color theme="1"/>
        <rFont val="Calibri"/>
        <family val="2"/>
        <scheme val="minor"/>
      </rPr>
      <t xml:space="preserve">
Sur les routes communales, la Direction de la sécurité des Infrastructures routières détermine les coordonnées X,Y des accidents sur base des adresses encodées par la police. Sur voiries communales, certains accidents (environ 30%) restent non localisables : manque de précision lors de l'encodage de l'adresse, route ou chemin sans nom, absence de numéro de maison, chemin de campagne, ... </t>
    </r>
  </si>
  <si>
    <t>Adresse internet de l'illustration ou dans le cas échéant le nom du fichier qui contient le graphique illustrant le jeu de données. L'ajout de la vignette se fera directement dans l'application via les outils associés ou via l'URL d'une vignette déjà existante. Plusieurs vignettes peuvent être chargées: une vue d'ensemble, une vue détail, une vue montrant des spécificités de la ressource, etc. L'image doit être carrée et faire 600x600 pixels.Dans le cas où plusieurs vignettes sont disponibles, elles sont nommées de la manière suivante: vignette-principale_[nom de la géodonnée]_[date], vignette-zoom_[nom de la géodonnée]_[date], etc.</t>
  </si>
  <si>
    <t>De manière à éviter des erreurs de manipulation, seules les cellules servant à accueillir des éléments de métadonnées sont éditables.</t>
  </si>
  <si>
    <t>Mots clés techniques Infra SIG</t>
  </si>
  <si>
    <t>Conditions d'utilisation de la donnée</t>
  </si>
  <si>
    <t>Reporting INSPIRE</t>
  </si>
  <si>
    <t>Aucune condition d'utilisation n'est à préciser, la valeur par défaut ci-après est utilisée.</t>
  </si>
  <si>
    <t>Il est nécessaire de spécifier les informations relatives à la fiche de métadonnées dans le champ ci-après et d'indiquer les conditions d'utilisation dans l'élément "Autre limite d'utilisation" ci-dessous. Le champ "Valeur - Partie 1" doit contenir l'URL de la fiche (à remplir via l'application Metawal). Au final, le texte suivant sera inséré dans la fiche de métadonnées: "Des conditions d'utilisation de la donnée s'appliquent. Elles sont décrites dans la fiche de métadonnées &lt;URL de la fiche&gt;".</t>
  </si>
  <si>
    <t>helpdesk.carto@spw.wallonie.be</t>
  </si>
  <si>
    <t>Géoportail de la Wallonie</t>
  </si>
  <si>
    <t>Le temps d'encodage des métadonnées est estimé à une ou deux heures.</t>
  </si>
  <si>
    <t>Le corps de texte du résumé doit décrire la donnée dans un langage clair pour l'utilisateur (guideline : max. 1750 caractères, espaces compris). Il doit mettre la donnée en évidence et faire ressortir sa valeur spécifique, son intérêt. Il doit être compréhensible pour des non-initiés. Il est recommandé de vérifier s'il permet de répondre aux questions quoi ? qui ? quand ? où ? combien ? pourquoi ? comment ? Si besoin, la combinaison des touches "Alt + Enter" vous permet de faire un saut de ligne.</t>
  </si>
  <si>
    <t>Système de référence spatial</t>
  </si>
  <si>
    <t>Mots-clés décrivant la nature ou le contenu attributaire
Mots-clés relatifs au métier</t>
  </si>
  <si>
    <t>Libre nature et domaine</t>
  </si>
  <si>
    <t>Libre autre</t>
  </si>
  <si>
    <t>WGS84 (EPSG:4326)</t>
  </si>
  <si>
    <t>Lambert Belge 2008 (EPSG:3812)</t>
  </si>
  <si>
    <t>Lambert Belge 1972 (EPSG:31370)</t>
  </si>
  <si>
    <t>Contact 1</t>
  </si>
  <si>
    <t>Contact 2</t>
  </si>
  <si>
    <t>Contact 3</t>
  </si>
  <si>
    <t>Contact 4</t>
  </si>
  <si>
    <t>Contact 5</t>
  </si>
  <si>
    <t>Si la géodonnée ne rentre pas dans le scope d'INSPIRE, il est tout de même obligatoire de cocher le(s) thème(s) concerné(s) sans toutefois devoir vérifier la conformité générale et les Technical guidance.</t>
  </si>
  <si>
    <r>
      <t xml:space="preserve">Mots-clés utilisés dans la gestion du catalogue Metawal.
</t>
    </r>
    <r>
      <rPr>
        <i/>
        <sz val="11"/>
        <color theme="1"/>
        <rFont val="Calibri"/>
        <family val="2"/>
        <scheme val="minor"/>
      </rPr>
      <t>-  Valeur "Open data"</t>
    </r>
    <r>
      <rPr>
        <sz val="11"/>
        <color theme="1"/>
        <rFont val="Calibri"/>
        <family val="2"/>
        <scheme val="minor"/>
      </rPr>
      <t xml:space="preserve">. Une donnée ouverte "Open data" est une donnée numérique diffusée de manière structurée sous les conditions d'une licence ouverte garantissant son libre accès et sa réutilisation par tous.
</t>
    </r>
    <r>
      <rPr>
        <i/>
        <sz val="11"/>
        <color theme="1"/>
        <rFont val="Calibri"/>
        <family val="2"/>
        <scheme val="minor"/>
      </rPr>
      <t>- Valeur "Reporting INSPIRE"</t>
    </r>
    <r>
      <rPr>
        <sz val="11"/>
        <color theme="1"/>
        <rFont val="Calibri"/>
        <family val="2"/>
        <scheme val="minor"/>
      </rPr>
      <t>. Valeur à utiliser pour indiquer qu'une donnée doit être incluse dans le reporting annuel sur l'état d'avancement d'INSPIRE.</t>
    </r>
  </si>
  <si>
    <t>Valeur 3</t>
  </si>
  <si>
    <t>Valeur 4</t>
  </si>
  <si>
    <t>Valeur 5</t>
  </si>
  <si>
    <t>Valeur 6</t>
  </si>
  <si>
    <t>EPSG</t>
  </si>
  <si>
    <t>Système de référence spatiale ETRS89</t>
  </si>
  <si>
    <t>ETRS89</t>
  </si>
  <si>
    <t>Région wallonne</t>
  </si>
  <si>
    <t>http://geoportail.wallonie.be</t>
  </si>
  <si>
    <t>Si la DIG est le distributeur principal de la donnée, alors passer à l'onglet suivant</t>
  </si>
  <si>
    <t>Grâce aux listes déroulantes, plusieurs rôles peuvent être sélectionnés pour un même point de contact</t>
  </si>
  <si>
    <t>2.75</t>
  </si>
  <si>
    <t>6.5</t>
  </si>
  <si>
    <t>49.45</t>
  </si>
  <si>
    <t>50.85</t>
  </si>
  <si>
    <t xml:space="preserve">Le présent fichier sert de fil conducteur à la rédaction des métadonnées relatives aux géodonnées et aux séries de géodonnées. 
</t>
  </si>
  <si>
    <t>Une fois ce template rempli par vos soins, nous le récupèrons afin de vérifier son contenu puis de le charger dans l'application Metawal. Votre participation sera alors une dernière fois solicitée de manière à valider la fiche dans Metawal et à introduire la demande de publication auprès du responsable Metawal.</t>
  </si>
  <si>
    <t>Si la donnée est également disponible dans le système de référence ETRS89, cocher la case.</t>
  </si>
  <si>
    <t>Les éléments de métadonnées repris dans le template peuvent être obligatoires ou facultatifs. Toutefois, il est vivement conseillé de remplir un maximum d'informations afin d'augmenter la description et la lisibilité de la donnée.</t>
  </si>
  <si>
    <t xml:space="preserve">Dans certains cas, celui-ci pourrait être déjà pré-rempli avec des informations récupérées de sources diverses (sites internet, base de données existantes...) qui nécessiteraient dès lors d'être validées et/ou complétées. </t>
  </si>
  <si>
    <t>ESRI-REST GeoService</t>
  </si>
  <si>
    <t>Fichier à télécharger (http)</t>
  </si>
  <si>
    <t>Ficher vecteur</t>
  </si>
  <si>
    <t>Fichier raster</t>
  </si>
  <si>
    <t>Fichier tabulaire</t>
  </si>
  <si>
    <t>Base de données ORACLE</t>
  </si>
  <si>
    <t>Base de données PostGIS</t>
  </si>
  <si>
    <t>Protocoles_contacts</t>
  </si>
  <si>
    <t>Adresse Internet (http)</t>
  </si>
  <si>
    <t>Fil RSS (http)</t>
  </si>
  <si>
    <t>Dans le cas d'un régime d'accès contraint par des raisons de sécurité nationale, remplissez également les informations de ce cadre. Si votre donnée entre dans le scope INSPIRE, alors cet élément est obligatoire.</t>
  </si>
  <si>
    <t>Définir le niveau de classification de la géodonnée. Le remplissage est obligatoire si votre donnée entre dans le scope INSPIRE.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</si>
</sst>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8"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i/>
      <sz val="11"/>
      <color theme="1"/>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u/>
      <sz val="11"/>
      <color rgb="FFFF0000"/>
      <name val="Calibri"/>
      <family val="2"/>
      <scheme val="minor"/>
    </font>
    <font>
      <sz val="10"/>
      <name val="Arial"/>
      <family val="2"/>
    </font>
    <font>
      <b/>
      <sz val="11"/>
      <name val="Calibri"/>
      <family val="2"/>
      <scheme val="minor"/>
    </font>
    <font>
      <u/>
      <sz val="11"/>
      <color theme="1"/>
      <name val="Calibri"/>
      <family val="2"/>
      <scheme val="minor"/>
    </font>
    <font>
      <sz val="9"/>
      <color indexed="81"/>
      <name val="Tahoma"/>
      <family val="2"/>
    </font>
    <font>
      <b/>
      <sz val="9"/>
      <color indexed="81"/>
      <name val="Tahoma"/>
      <family val="2"/>
    </font>
    <font>
      <i/>
      <sz val="11"/>
      <color theme="0" tint="-0.249977111117893"/>
      <name val="Calibri"/>
      <family val="2"/>
      <scheme val="minor"/>
    </font>
    <font>
      <b/>
      <u/>
      <sz val="10"/>
      <name val="Arial"/>
      <family val="2"/>
    </font>
    <font>
      <u/>
      <sz val="11"/>
      <name val="Calibri"/>
      <family val="2"/>
      <scheme val="minor"/>
    </font>
    <font>
      <sz val="11"/>
      <color rgb="FF000000"/>
      <name val="Calibri"/>
      <family val="2"/>
      <scheme val="minor"/>
    </font>
    <font>
      <sz val="10"/>
      <color theme="1"/>
      <name val="Arial"/>
      <family val="2"/>
    </font>
    <font>
      <b/>
      <sz val="16"/>
      <color theme="1"/>
      <name val="Calibri"/>
      <family val="2"/>
      <scheme val="minor"/>
    </font>
    <font>
      <sz val="11"/>
      <color rgb="FF00B050"/>
      <name val="Calibri"/>
      <family val="2"/>
      <scheme val="minor"/>
    </font>
    <font>
      <u/>
      <sz val="11"/>
      <color rgb="FF00B050"/>
      <name val="Calibri"/>
      <family val="2"/>
      <scheme val="minor"/>
    </font>
    <font>
      <u/>
      <sz val="11"/>
      <color rgb="FF0000FF"/>
      <name val="Calibri"/>
      <family val="2"/>
      <scheme val="minor"/>
    </font>
    <font>
      <i/>
      <sz val="11"/>
      <color rgb="FFFF0000"/>
      <name val="Calibri"/>
      <family val="2"/>
      <scheme val="minor"/>
    </font>
    <font>
      <b/>
      <sz val="16"/>
      <color rgb="FFC00000"/>
      <name val="Calibri"/>
      <family val="2"/>
      <scheme val="minor"/>
    </font>
    <font>
      <b/>
      <sz val="11"/>
      <color theme="5" tint="-0.499984740745262"/>
      <name val="Calibri"/>
      <family val="2"/>
      <scheme val="minor"/>
    </font>
    <font>
      <b/>
      <sz val="14"/>
      <color rgb="FFC00000"/>
      <name val="Calibri"/>
      <family val="2"/>
      <scheme val="minor"/>
    </font>
    <font>
      <b/>
      <u/>
      <sz val="14"/>
      <color rgb="FFC00000"/>
      <name val="Arial"/>
      <family val="2"/>
    </font>
    <font>
      <b/>
      <u/>
      <sz val="11"/>
      <color rgb="FFC00000"/>
      <name val="Calibri"/>
      <family val="2"/>
      <scheme val="minor"/>
    </font>
    <font>
      <b/>
      <i/>
      <sz val="11"/>
      <name val="Calibri"/>
      <family val="2"/>
      <scheme val="minor"/>
    </font>
    <font>
      <b/>
      <i/>
      <sz val="10.5"/>
      <name val="Calibri"/>
      <family val="2"/>
      <scheme val="minor"/>
    </font>
    <font>
      <sz val="10.5"/>
      <name val="Calibri"/>
      <family val="2"/>
      <scheme val="minor"/>
    </font>
    <font>
      <sz val="6"/>
      <name val="Calibri"/>
      <family val="2"/>
      <scheme val="minor"/>
    </font>
    <font>
      <sz val="9"/>
      <color theme="1"/>
      <name val="Calibri"/>
      <family val="2"/>
      <scheme val="minor"/>
    </font>
    <font>
      <i/>
      <u/>
      <sz val="9"/>
      <color theme="1"/>
      <name val="Calibri"/>
      <family val="2"/>
      <scheme val="minor"/>
    </font>
    <font>
      <sz val="9"/>
      <color indexed="81"/>
      <name val="Tahoma"/>
      <charset val="1"/>
    </font>
    <font>
      <b/>
      <sz val="9"/>
      <color indexed="81"/>
      <name val="Tahoma"/>
      <charset val="1"/>
    </font>
    <font>
      <b/>
      <u/>
      <sz val="14"/>
      <color rgb="FFC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79998168889431442"/>
        <bgColor indexed="64"/>
      </patternFill>
    </fill>
  </fills>
  <borders count="95">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hair">
        <color indexed="64"/>
      </top>
      <bottom style="hair">
        <color indexed="64"/>
      </bottom>
      <diagonal/>
    </border>
    <border>
      <left/>
      <right style="thin">
        <color indexed="64"/>
      </right>
      <top/>
      <bottom style="hair">
        <color auto="1"/>
      </bottom>
      <diagonal/>
    </border>
    <border>
      <left/>
      <right/>
      <top/>
      <bottom style="hair">
        <color auto="1"/>
      </bottom>
      <diagonal/>
    </border>
    <border>
      <left/>
      <right style="thin">
        <color indexed="64"/>
      </right>
      <top style="hair">
        <color auto="1"/>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hair">
        <color indexed="64"/>
      </top>
      <bottom style="hair">
        <color indexed="64"/>
      </bottom>
      <diagonal/>
    </border>
    <border>
      <left/>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diagonal/>
    </border>
    <border>
      <left style="thin">
        <color indexed="64"/>
      </left>
      <right style="medium">
        <color indexed="64"/>
      </right>
      <top style="hair">
        <color indexed="64"/>
      </top>
      <bottom/>
      <diagonal/>
    </border>
    <border>
      <left style="thin">
        <color indexed="64"/>
      </left>
      <right style="medium">
        <color indexed="64"/>
      </right>
      <top/>
      <bottom style="thin">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hair">
        <color indexed="64"/>
      </top>
      <bottom/>
      <diagonal/>
    </border>
    <border>
      <left/>
      <right style="thin">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thin">
        <color indexed="64"/>
      </top>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hair">
        <color indexed="64"/>
      </bottom>
      <diagonal/>
    </border>
    <border>
      <left style="medium">
        <color indexed="64"/>
      </left>
      <right/>
      <top style="thin">
        <color indexed="64"/>
      </top>
      <bottom style="hair">
        <color indexed="64"/>
      </bottom>
      <diagonal/>
    </border>
    <border>
      <left style="medium">
        <color indexed="64"/>
      </left>
      <right/>
      <top style="hair">
        <color auto="1"/>
      </top>
      <bottom style="medium">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bottom style="hair">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diagonal/>
    </border>
    <border>
      <left style="thin">
        <color indexed="64"/>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598">
    <xf numFmtId="0" fontId="0" fillId="0" borderId="0" xfId="0"/>
    <xf numFmtId="0" fontId="3" fillId="0" borderId="0" xfId="0" applyFont="1"/>
    <xf numFmtId="0" fontId="0" fillId="0" borderId="0" xfId="0" applyAlignment="1">
      <alignment vertical="center"/>
    </xf>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10" xfId="0" applyFont="1" applyFill="1" applyBorder="1" applyAlignment="1">
      <alignment horizontal="center"/>
    </xf>
    <xf numFmtId="0" fontId="1" fillId="2" borderId="6" xfId="0" applyFont="1" applyFill="1" applyBorder="1" applyAlignment="1">
      <alignment horizontal="center"/>
    </xf>
    <xf numFmtId="0" fontId="0" fillId="0" borderId="13" xfId="0" applyBorder="1" applyAlignment="1">
      <alignment horizontal="right" vertical="center"/>
    </xf>
    <xf numFmtId="0" fontId="0" fillId="0" borderId="13" xfId="0" applyBorder="1" applyAlignment="1">
      <alignment horizontal="right" vertical="center" wrapText="1"/>
    </xf>
    <xf numFmtId="0" fontId="0" fillId="0" borderId="11" xfId="0" applyBorder="1" applyAlignment="1">
      <alignment vertical="center"/>
    </xf>
    <xf numFmtId="0" fontId="1" fillId="2" borderId="11" xfId="0" applyFont="1" applyFill="1" applyBorder="1" applyAlignment="1">
      <alignment horizontal="center" wrapText="1"/>
    </xf>
    <xf numFmtId="0" fontId="0" fillId="0" borderId="11" xfId="0" applyBorder="1" applyAlignment="1">
      <alignment vertical="center" wrapText="1"/>
    </xf>
    <xf numFmtId="0" fontId="0" fillId="0" borderId="11" xfId="0" applyBorder="1" applyAlignment="1">
      <alignment horizontal="left" vertical="center"/>
    </xf>
    <xf numFmtId="0" fontId="0" fillId="0" borderId="11" xfId="0" applyBorder="1" applyAlignment="1">
      <alignment horizontal="left" vertical="center" wrapText="1"/>
    </xf>
    <xf numFmtId="0" fontId="1" fillId="2" borderId="11" xfId="0" applyFont="1" applyFill="1" applyBorder="1" applyAlignment="1">
      <alignment horizontal="center"/>
    </xf>
    <xf numFmtId="0" fontId="3" fillId="0" borderId="13" xfId="0" applyFont="1" applyBorder="1" applyAlignment="1">
      <alignment vertical="center"/>
    </xf>
    <xf numFmtId="0" fontId="1" fillId="2" borderId="13" xfId="0" applyFont="1" applyFill="1" applyBorder="1" applyAlignment="1">
      <alignment horizontal="center"/>
    </xf>
    <xf numFmtId="0" fontId="4" fillId="2" borderId="13" xfId="0" applyFont="1" applyFill="1" applyBorder="1" applyAlignment="1">
      <alignment horizontal="center"/>
    </xf>
    <xf numFmtId="0" fontId="1" fillId="2" borderId="0" xfId="0" applyFont="1" applyFill="1" applyAlignment="1">
      <alignment horizontal="center"/>
    </xf>
    <xf numFmtId="0" fontId="0" fillId="0" borderId="0" xfId="0" applyBorder="1"/>
    <xf numFmtId="0" fontId="0" fillId="0" borderId="0" xfId="0" applyFill="1" applyBorder="1"/>
    <xf numFmtId="0" fontId="0" fillId="0" borderId="0" xfId="0" applyBorder="1" applyAlignment="1">
      <alignment horizontal="left"/>
    </xf>
    <xf numFmtId="0" fontId="0" fillId="0" borderId="0" xfId="0" applyFill="1"/>
    <xf numFmtId="0" fontId="4" fillId="2" borderId="0" xfId="0" applyFont="1" applyFill="1" applyBorder="1" applyAlignment="1">
      <alignment horizontal="center"/>
    </xf>
    <xf numFmtId="0" fontId="0" fillId="0" borderId="0" xfId="0" applyFill="1" applyBorder="1" applyAlignment="1">
      <alignment vertical="center"/>
    </xf>
    <xf numFmtId="0" fontId="1" fillId="0" borderId="14" xfId="0" applyFont="1" applyFill="1" applyBorder="1"/>
    <xf numFmtId="0" fontId="1" fillId="0" borderId="14" xfId="0" applyFont="1" applyBorder="1"/>
    <xf numFmtId="0" fontId="0" fillId="0" borderId="0" xfId="0" applyBorder="1" applyAlignment="1">
      <alignment horizontal="left" vertical="center"/>
    </xf>
    <xf numFmtId="0" fontId="3" fillId="0" borderId="13" xfId="0" applyFont="1" applyFill="1" applyBorder="1" applyAlignment="1">
      <alignment horizontal="left"/>
    </xf>
    <xf numFmtId="0" fontId="0" fillId="0" borderId="0" xfId="0" applyFont="1" applyFill="1"/>
    <xf numFmtId="0" fontId="0" fillId="0" borderId="13" xfId="0" applyFont="1" applyFill="1" applyBorder="1" applyAlignment="1">
      <alignment horizontal="right" vertical="center"/>
    </xf>
    <xf numFmtId="0" fontId="0" fillId="0" borderId="13" xfId="0" applyFont="1" applyFill="1" applyBorder="1" applyAlignment="1">
      <alignment horizontal="left" vertical="center" wrapText="1"/>
    </xf>
    <xf numFmtId="0" fontId="0" fillId="0" borderId="0" xfId="0" applyFont="1" applyFill="1" applyAlignment="1">
      <alignment vertical="center"/>
    </xf>
    <xf numFmtId="0" fontId="10" fillId="0" borderId="11" xfId="0" applyFont="1" applyBorder="1" applyAlignment="1">
      <alignment horizontal="center" vertical="center"/>
    </xf>
    <xf numFmtId="0" fontId="10" fillId="0" borderId="11" xfId="0" applyFont="1" applyBorder="1" applyAlignment="1">
      <alignment horizontal="center" vertical="center" wrapText="1"/>
    </xf>
    <xf numFmtId="0" fontId="5" fillId="0" borderId="0" xfId="0" applyFont="1" applyFill="1" applyBorder="1" applyAlignment="1">
      <alignment vertical="center"/>
    </xf>
    <xf numFmtId="0" fontId="1" fillId="2" borderId="0" xfId="0" applyFont="1" applyFill="1" applyBorder="1" applyAlignment="1">
      <alignment horizontal="center" vertical="center"/>
    </xf>
    <xf numFmtId="0" fontId="3"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xf>
    <xf numFmtId="0" fontId="2" fillId="0" borderId="8" xfId="1" applyBorder="1" applyAlignment="1">
      <alignment vertical="center"/>
    </xf>
    <xf numFmtId="0" fontId="3" fillId="0" borderId="0" xfId="0" applyFont="1" applyBorder="1" applyAlignment="1">
      <alignment vertical="center"/>
    </xf>
    <xf numFmtId="0" fontId="1" fillId="0" borderId="14" xfId="0" applyFont="1" applyFill="1" applyBorder="1" applyAlignment="1">
      <alignment vertical="center"/>
    </xf>
    <xf numFmtId="0" fontId="3" fillId="0" borderId="0" xfId="0" applyFont="1" applyFill="1" applyBorder="1" applyAlignment="1">
      <alignment horizontal="left" vertical="center"/>
    </xf>
    <xf numFmtId="0" fontId="0" fillId="0" borderId="11" xfId="0" applyFont="1" applyFill="1" applyBorder="1" applyAlignment="1">
      <alignment horizontal="left" vertical="center"/>
    </xf>
    <xf numFmtId="0" fontId="0" fillId="0" borderId="0" xfId="0" applyBorder="1" applyAlignment="1">
      <alignment horizontal="center" vertical="center"/>
    </xf>
    <xf numFmtId="0" fontId="2" fillId="0" borderId="8" xfId="1" applyFill="1" applyBorder="1" applyAlignment="1">
      <alignment horizontal="left" vertical="center"/>
    </xf>
    <xf numFmtId="0" fontId="3" fillId="0" borderId="0" xfId="0" applyFont="1" applyBorder="1" applyAlignment="1">
      <alignment horizontal="left" vertical="center"/>
    </xf>
    <xf numFmtId="0" fontId="0" fillId="0" borderId="8" xfId="0" applyBorder="1" applyAlignment="1">
      <alignment vertical="center"/>
    </xf>
    <xf numFmtId="0" fontId="5" fillId="0" borderId="0" xfId="0" applyFont="1"/>
    <xf numFmtId="0" fontId="0" fillId="0" borderId="0" xfId="0" applyAlignment="1">
      <alignment wrapText="1"/>
    </xf>
    <xf numFmtId="0" fontId="7" fillId="0" borderId="14" xfId="0" applyFont="1" applyFill="1" applyBorder="1"/>
    <xf numFmtId="0" fontId="6" fillId="0" borderId="0" xfId="0" applyFont="1" applyFill="1" applyBorder="1"/>
    <xf numFmtId="0" fontId="9" fillId="0" borderId="0" xfId="0" applyFont="1"/>
    <xf numFmtId="0" fontId="10" fillId="0" borderId="14" xfId="0" applyFont="1" applyBorder="1"/>
    <xf numFmtId="0" fontId="6" fillId="0" borderId="0" xfId="0" applyFont="1"/>
    <xf numFmtId="0" fontId="6" fillId="0" borderId="0" xfId="0" applyFont="1" applyAlignment="1"/>
    <xf numFmtId="0" fontId="0" fillId="0" borderId="0" xfId="0" applyAlignment="1">
      <alignment horizontal="center"/>
    </xf>
    <xf numFmtId="0" fontId="14" fillId="0" borderId="13" xfId="0" applyFont="1" applyBorder="1" applyAlignment="1">
      <alignment vertical="center"/>
    </xf>
    <xf numFmtId="0" fontId="14" fillId="0" borderId="0" xfId="0" applyFont="1" applyFill="1" applyBorder="1" applyAlignment="1">
      <alignment vertical="center"/>
    </xf>
    <xf numFmtId="0" fontId="14" fillId="0" borderId="0" xfId="0" applyFont="1" applyBorder="1" applyAlignment="1">
      <alignment vertical="center"/>
    </xf>
    <xf numFmtId="0" fontId="10" fillId="0" borderId="14" xfId="0" applyFont="1" applyFill="1" applyBorder="1"/>
    <xf numFmtId="0" fontId="15" fillId="0" borderId="0" xfId="0" applyFont="1"/>
    <xf numFmtId="0" fontId="4" fillId="0" borderId="0" xfId="0" applyFont="1"/>
    <xf numFmtId="0" fontId="3" fillId="0" borderId="15" xfId="0" applyFont="1" applyBorder="1" applyAlignment="1">
      <alignment vertical="center"/>
    </xf>
    <xf numFmtId="0" fontId="0" fillId="0" borderId="15" xfId="0" applyBorder="1"/>
    <xf numFmtId="0" fontId="0" fillId="3" borderId="15" xfId="0" applyFill="1" applyBorder="1"/>
    <xf numFmtId="0" fontId="0" fillId="3" borderId="15" xfId="0" applyFont="1" applyFill="1" applyBorder="1" applyAlignment="1">
      <alignment vertical="center"/>
    </xf>
    <xf numFmtId="0" fontId="0" fillId="3" borderId="15" xfId="0" applyFont="1" applyFill="1" applyBorder="1" applyAlignment="1">
      <alignment horizontal="left"/>
    </xf>
    <xf numFmtId="0" fontId="0" fillId="3" borderId="15" xfId="0" applyFont="1" applyFill="1" applyBorder="1" applyAlignment="1">
      <alignment horizontal="left" vertical="center"/>
    </xf>
    <xf numFmtId="0" fontId="0" fillId="3" borderId="15" xfId="0" applyNumberFormat="1" applyFill="1" applyBorder="1"/>
    <xf numFmtId="164" fontId="0" fillId="3" borderId="15" xfId="0" applyNumberFormat="1" applyFill="1" applyBorder="1"/>
    <xf numFmtId="0" fontId="3" fillId="4" borderId="15" xfId="0" applyFont="1" applyFill="1" applyBorder="1" applyAlignment="1">
      <alignment vertical="center"/>
    </xf>
    <xf numFmtId="0" fontId="0" fillId="4" borderId="15" xfId="0" applyFill="1" applyBorder="1"/>
    <xf numFmtId="0" fontId="3" fillId="0" borderId="15" xfId="0" applyFont="1" applyFill="1" applyBorder="1" applyAlignment="1">
      <alignment vertical="center"/>
    </xf>
    <xf numFmtId="0" fontId="3" fillId="5" borderId="15" xfId="0" applyFont="1" applyFill="1" applyBorder="1" applyAlignment="1">
      <alignment vertical="center"/>
    </xf>
    <xf numFmtId="0" fontId="0" fillId="5" borderId="15" xfId="0" applyFill="1" applyBorder="1"/>
    <xf numFmtId="164" fontId="0" fillId="5" borderId="15" xfId="0" applyNumberFormat="1" applyFill="1" applyBorder="1"/>
    <xf numFmtId="0" fontId="3" fillId="6" borderId="15" xfId="0" applyFont="1" applyFill="1" applyBorder="1" applyAlignment="1">
      <alignment horizontal="left" vertical="center"/>
    </xf>
    <xf numFmtId="0" fontId="3" fillId="6" borderId="15" xfId="0" applyFont="1" applyFill="1" applyBorder="1" applyAlignment="1">
      <alignment vertical="center"/>
    </xf>
    <xf numFmtId="0" fontId="0" fillId="6" borderId="15" xfId="0" applyFill="1" applyBorder="1"/>
    <xf numFmtId="0" fontId="0" fillId="0" borderId="0" xfId="0"/>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0" xfId="0" applyBorder="1"/>
    <xf numFmtId="164" fontId="0" fillId="0" borderId="0" xfId="0" applyNumberFormat="1" applyFill="1" applyBorder="1" applyAlignment="1">
      <alignment horizontal="center" vertical="center"/>
    </xf>
    <xf numFmtId="0" fontId="3" fillId="0" borderId="0" xfId="0" applyFont="1" applyBorder="1" applyAlignment="1">
      <alignment vertical="center"/>
    </xf>
    <xf numFmtId="49" fontId="0" fillId="0" borderId="11" xfId="0" applyNumberFormat="1" applyBorder="1" applyAlignment="1">
      <alignment horizontal="center" vertical="center"/>
    </xf>
    <xf numFmtId="0" fontId="3" fillId="4" borderId="0" xfId="0" applyFont="1" applyFill="1" applyBorder="1" applyAlignment="1">
      <alignment vertical="center"/>
    </xf>
    <xf numFmtId="164" fontId="0" fillId="0" borderId="11" xfId="0" applyNumberFormat="1" applyBorder="1" applyAlignment="1">
      <alignment horizontal="center" vertical="center"/>
    </xf>
    <xf numFmtId="0" fontId="17" fillId="0" borderId="0" xfId="0" applyFont="1" applyAlignment="1">
      <alignment vertical="center"/>
    </xf>
    <xf numFmtId="0" fontId="18" fillId="0" borderId="0" xfId="0" applyFont="1" applyAlignment="1">
      <alignment vertical="center"/>
    </xf>
    <xf numFmtId="0" fontId="0" fillId="0" borderId="0" xfId="0" applyFont="1"/>
    <xf numFmtId="0" fontId="0" fillId="0" borderId="0" xfId="0" applyFont="1" applyAlignment="1">
      <alignment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18" xfId="0" applyBorder="1" applyAlignment="1">
      <alignment vertical="center" wrapText="1"/>
    </xf>
    <xf numFmtId="0" fontId="10" fillId="0" borderId="19" xfId="0" applyFont="1" applyBorder="1" applyAlignment="1">
      <alignment horizontal="center" vertical="center"/>
    </xf>
    <xf numFmtId="0" fontId="0" fillId="0" borderId="19" xfId="0" applyBorder="1" applyAlignment="1">
      <alignment vertical="center" wrapText="1"/>
    </xf>
    <xf numFmtId="0" fontId="0" fillId="0" borderId="19" xfId="0" applyBorder="1" applyAlignment="1">
      <alignment horizontal="left" vertical="center"/>
    </xf>
    <xf numFmtId="0" fontId="0" fillId="0" borderId="19" xfId="0" applyBorder="1" applyAlignment="1">
      <alignment vertical="center"/>
    </xf>
    <xf numFmtId="0" fontId="6" fillId="0" borderId="19" xfId="0" applyFont="1" applyBorder="1" applyAlignment="1">
      <alignment horizontal="left" vertical="center" wrapText="1"/>
    </xf>
    <xf numFmtId="0" fontId="10" fillId="0" borderId="21" xfId="0" applyFont="1" applyBorder="1" applyAlignment="1">
      <alignment horizontal="center" vertical="center"/>
    </xf>
    <xf numFmtId="0" fontId="0" fillId="0" borderId="21" xfId="0" applyBorder="1" applyAlignment="1">
      <alignment vertical="center" wrapText="1"/>
    </xf>
    <xf numFmtId="0" fontId="10" fillId="0" borderId="18" xfId="0" applyFont="1" applyBorder="1" applyAlignment="1">
      <alignment horizontal="center" vertical="center" wrapText="1"/>
    </xf>
    <xf numFmtId="0" fontId="0" fillId="0" borderId="18" xfId="0" applyFill="1" applyBorder="1" applyAlignment="1">
      <alignment vertical="center" wrapText="1"/>
    </xf>
    <xf numFmtId="0" fontId="10" fillId="0" borderId="19" xfId="0" applyFont="1" applyBorder="1" applyAlignment="1">
      <alignment horizontal="center" vertical="center" wrapText="1"/>
    </xf>
    <xf numFmtId="0" fontId="6" fillId="0" borderId="19" xfId="0" applyFont="1" applyBorder="1" applyAlignment="1">
      <alignment vertical="center" wrapText="1"/>
    </xf>
    <xf numFmtId="0" fontId="0" fillId="0" borderId="0" xfId="0" applyBorder="1" applyAlignment="1">
      <alignment vertical="center"/>
    </xf>
    <xf numFmtId="0" fontId="0" fillId="0" borderId="26" xfId="0" applyBorder="1" applyAlignment="1">
      <alignment vertical="center" wrapText="1"/>
    </xf>
    <xf numFmtId="0" fontId="10" fillId="0" borderId="27" xfId="0" applyFont="1" applyBorder="1" applyAlignment="1">
      <alignment horizontal="center" vertical="center"/>
    </xf>
    <xf numFmtId="0" fontId="0" fillId="0" borderId="27" xfId="0" applyBorder="1" applyAlignment="1">
      <alignment vertical="center" wrapText="1"/>
    </xf>
    <xf numFmtId="0" fontId="0" fillId="0" borderId="1" xfId="0" applyBorder="1" applyProtection="1">
      <protection locked="0"/>
    </xf>
    <xf numFmtId="0" fontId="0" fillId="0" borderId="8" xfId="0" applyBorder="1" applyProtection="1">
      <protection locked="0"/>
    </xf>
    <xf numFmtId="0" fontId="0" fillId="0" borderId="1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9" xfId="0" applyBorder="1" applyProtection="1">
      <protection locked="0"/>
    </xf>
    <xf numFmtId="0" fontId="0" fillId="0" borderId="12" xfId="0" applyBorder="1" applyProtection="1">
      <protection locked="0"/>
    </xf>
    <xf numFmtId="0" fontId="0" fillId="0" borderId="4" xfId="0" applyBorder="1" applyProtection="1">
      <protection locked="0"/>
    </xf>
    <xf numFmtId="0" fontId="5" fillId="0" borderId="0" xfId="0" applyFont="1" applyFill="1"/>
    <xf numFmtId="0" fontId="5" fillId="0" borderId="0" xfId="0" applyFont="1" applyAlignment="1">
      <alignment vertical="center"/>
    </xf>
    <xf numFmtId="0" fontId="3" fillId="0" borderId="0" xfId="0" applyFont="1" applyAlignment="1">
      <alignment horizontal="left"/>
    </xf>
    <xf numFmtId="0" fontId="3" fillId="0" borderId="0" xfId="0" applyFont="1" applyFill="1" applyBorder="1" applyAlignment="1">
      <alignment horizontal="left"/>
    </xf>
    <xf numFmtId="0" fontId="19" fillId="0" borderId="0" xfId="0" applyFont="1"/>
    <xf numFmtId="0" fontId="5" fillId="0" borderId="19" xfId="0" applyFont="1" applyBorder="1" applyAlignment="1">
      <alignment horizontal="left" vertical="center" wrapText="1"/>
    </xf>
    <xf numFmtId="0" fontId="1" fillId="0" borderId="0" xfId="0" applyFont="1"/>
    <xf numFmtId="0" fontId="0" fillId="0" borderId="0" xfId="0"/>
    <xf numFmtId="0" fontId="10" fillId="0" borderId="0" xfId="0" applyFont="1" applyBorder="1" applyAlignment="1">
      <alignment horizontal="center" vertical="center"/>
    </xf>
    <xf numFmtId="164" fontId="0" fillId="0" borderId="0" xfId="0" applyNumberFormat="1" applyBorder="1" applyAlignment="1">
      <alignment horizontal="left" vertical="center"/>
    </xf>
    <xf numFmtId="0" fontId="0" fillId="0" borderId="0" xfId="0" applyBorder="1" applyAlignment="1">
      <alignment horizontal="right" vertical="center"/>
    </xf>
    <xf numFmtId="0" fontId="0" fillId="0" borderId="0" xfId="0" applyBorder="1" applyAlignment="1">
      <alignment vertical="center" wrapText="1"/>
    </xf>
    <xf numFmtId="0" fontId="2" fillId="0" borderId="0" xfId="1" applyBorder="1" applyAlignment="1">
      <alignment vertical="center"/>
    </xf>
    <xf numFmtId="0" fontId="0" fillId="0" borderId="0" xfId="0" applyFont="1" applyBorder="1" applyAlignment="1">
      <alignment horizontal="right" vertical="center"/>
    </xf>
    <xf numFmtId="0" fontId="1" fillId="0" borderId="0" xfId="0" applyFont="1" applyBorder="1" applyAlignment="1">
      <alignment horizontal="center" vertical="center"/>
    </xf>
    <xf numFmtId="0" fontId="0" fillId="0" borderId="0" xfId="0" applyFont="1" applyBorder="1" applyAlignment="1">
      <alignment vertical="center" wrapText="1"/>
    </xf>
    <xf numFmtId="0" fontId="0" fillId="0" borderId="0" xfId="0" applyFont="1" applyBorder="1" applyAlignment="1" applyProtection="1">
      <alignment horizontal="left" vertical="center" wrapText="1"/>
      <protection locked="0"/>
    </xf>
    <xf numFmtId="0" fontId="5" fillId="0" borderId="0" xfId="0" applyFont="1" applyBorder="1" applyAlignment="1">
      <alignment horizontal="left" vertical="center" wrapText="1"/>
    </xf>
    <xf numFmtId="0" fontId="0" fillId="0" borderId="0" xfId="0" applyBorder="1" applyAlignment="1">
      <alignment horizontal="left" vertical="center" wrapText="1"/>
    </xf>
    <xf numFmtId="0" fontId="2" fillId="0" borderId="0" xfId="1" applyBorder="1" applyAlignment="1">
      <alignment vertical="center" wrapText="1"/>
    </xf>
    <xf numFmtId="0" fontId="0" fillId="0" borderId="0" xfId="0" applyBorder="1" applyAlignment="1">
      <alignment horizontal="center" vertical="center"/>
    </xf>
    <xf numFmtId="0" fontId="0" fillId="0" borderId="0" xfId="0"/>
    <xf numFmtId="0" fontId="5" fillId="0" borderId="0" xfId="0" applyFont="1" applyFill="1" applyBorder="1" applyAlignment="1">
      <alignment horizontal="center"/>
    </xf>
    <xf numFmtId="0" fontId="10" fillId="0" borderId="0" xfId="0" applyFont="1" applyBorder="1" applyAlignment="1">
      <alignment horizontal="center" vertical="center" wrapText="1"/>
    </xf>
    <xf numFmtId="0" fontId="0" fillId="0" borderId="0" xfId="0"/>
    <xf numFmtId="0" fontId="1" fillId="0" borderId="0" xfId="0" applyFont="1" applyAlignment="1">
      <alignment wrapText="1"/>
    </xf>
    <xf numFmtId="0" fontId="0" fillId="0" borderId="20" xfId="0" applyBorder="1" applyAlignment="1">
      <alignment vertical="center" wrapText="1"/>
    </xf>
    <xf numFmtId="0" fontId="6" fillId="0" borderId="20" xfId="0" applyFont="1" applyBorder="1" applyAlignment="1">
      <alignment vertical="center" wrapText="1"/>
    </xf>
    <xf numFmtId="0" fontId="10" fillId="0" borderId="26" xfId="0" applyFont="1" applyBorder="1" applyAlignment="1">
      <alignment horizontal="center" vertical="center" wrapText="1"/>
    </xf>
    <xf numFmtId="0" fontId="0" fillId="0" borderId="29" xfId="0" applyBorder="1" applyAlignment="1">
      <alignment vertical="center" wrapText="1"/>
    </xf>
    <xf numFmtId="0" fontId="0" fillId="0" borderId="13" xfId="0" applyBorder="1" applyAlignment="1">
      <alignment vertical="center" wrapText="1"/>
    </xf>
    <xf numFmtId="0" fontId="5" fillId="0" borderId="0" xfId="0" applyFont="1" applyFill="1" applyBorder="1" applyAlignment="1">
      <alignment horizontal="left"/>
    </xf>
    <xf numFmtId="0" fontId="5" fillId="0" borderId="0" xfId="0" applyFont="1" applyAlignment="1">
      <alignment horizontal="center" vertical="center"/>
    </xf>
    <xf numFmtId="0" fontId="20" fillId="0" borderId="19" xfId="0" applyFont="1" applyBorder="1" applyAlignment="1" applyProtection="1">
      <alignment horizontal="center" vertical="center"/>
      <protection locked="0"/>
    </xf>
    <xf numFmtId="0" fontId="10" fillId="0" borderId="27" xfId="0" applyFont="1" applyBorder="1" applyAlignment="1">
      <alignment horizontal="center" vertical="center" wrapText="1"/>
    </xf>
    <xf numFmtId="0" fontId="0" fillId="0" borderId="33" xfId="0" applyBorder="1" applyAlignment="1">
      <alignment vertical="center" wrapText="1"/>
    </xf>
    <xf numFmtId="0" fontId="0" fillId="0" borderId="28" xfId="0" applyBorder="1" applyAlignment="1">
      <alignment vertical="center" wrapText="1"/>
    </xf>
    <xf numFmtId="0" fontId="0" fillId="0" borderId="22" xfId="0" applyBorder="1" applyAlignment="1">
      <alignment vertical="center" wrapText="1"/>
    </xf>
    <xf numFmtId="0" fontId="6" fillId="0" borderId="22" xfId="0" applyFont="1" applyBorder="1" applyAlignment="1">
      <alignment vertical="center" wrapText="1"/>
    </xf>
    <xf numFmtId="0" fontId="0" fillId="0" borderId="14" xfId="0" applyBorder="1" applyAlignment="1">
      <alignment vertical="center" wrapText="1"/>
    </xf>
    <xf numFmtId="0" fontId="0" fillId="0" borderId="27" xfId="0" applyBorder="1" applyAlignment="1">
      <alignment horizontal="center" vertical="center"/>
    </xf>
    <xf numFmtId="0" fontId="2" fillId="0" borderId="36" xfId="1" applyBorder="1" applyAlignment="1">
      <alignment vertical="center" wrapText="1"/>
    </xf>
    <xf numFmtId="0" fontId="0" fillId="0" borderId="2" xfId="0" applyBorder="1"/>
    <xf numFmtId="0" fontId="0" fillId="0" borderId="1" xfId="0" applyBorder="1"/>
    <xf numFmtId="0" fontId="2" fillId="0" borderId="46" xfId="1" applyBorder="1" applyAlignment="1">
      <alignment vertical="center" wrapText="1"/>
    </xf>
    <xf numFmtId="0" fontId="0" fillId="0" borderId="17" xfId="0" applyBorder="1" applyAlignment="1">
      <alignment horizontal="center" vertical="center"/>
    </xf>
    <xf numFmtId="0" fontId="0" fillId="0" borderId="15" xfId="0" applyBorder="1" applyAlignment="1">
      <alignment vertical="center" wrapText="1"/>
    </xf>
    <xf numFmtId="0" fontId="1" fillId="2" borderId="42" xfId="0" applyFont="1" applyFill="1" applyBorder="1" applyAlignment="1">
      <alignment horizontal="center"/>
    </xf>
    <xf numFmtId="0" fontId="1" fillId="2" borderId="56" xfId="0" applyFont="1" applyFill="1" applyBorder="1" applyAlignment="1">
      <alignment horizontal="center" wrapText="1"/>
    </xf>
    <xf numFmtId="0" fontId="1" fillId="2" borderId="53" xfId="0" applyFont="1" applyFill="1" applyBorder="1" applyAlignment="1">
      <alignment horizontal="center"/>
    </xf>
    <xf numFmtId="0" fontId="10" fillId="0" borderId="12" xfId="0" applyFont="1" applyBorder="1" applyAlignment="1">
      <alignment horizontal="center" vertical="center"/>
    </xf>
    <xf numFmtId="0" fontId="0" fillId="0" borderId="12" xfId="0" applyBorder="1" applyAlignment="1">
      <alignment vertical="center" wrapText="1"/>
    </xf>
    <xf numFmtId="0" fontId="20" fillId="0" borderId="12" xfId="0" applyFont="1" applyBorder="1" applyAlignment="1" applyProtection="1">
      <alignment horizontal="center" vertical="center" wrapText="1"/>
      <protection locked="0"/>
    </xf>
    <xf numFmtId="0" fontId="2" fillId="0" borderId="52" xfId="1" applyBorder="1" applyAlignment="1">
      <alignment vertical="center" wrapText="1"/>
    </xf>
    <xf numFmtId="0" fontId="1" fillId="2" borderId="58" xfId="0" applyFont="1" applyFill="1" applyBorder="1" applyAlignment="1">
      <alignment horizontal="center" vertical="center"/>
    </xf>
    <xf numFmtId="0" fontId="10" fillId="0" borderId="62" xfId="0" applyFont="1" applyBorder="1" applyAlignment="1">
      <alignment horizontal="center" vertical="center" wrapText="1"/>
    </xf>
    <xf numFmtId="0" fontId="1" fillId="2" borderId="42" xfId="0" applyFont="1" applyFill="1" applyBorder="1" applyAlignment="1">
      <alignment horizontal="center" vertical="center"/>
    </xf>
    <xf numFmtId="0" fontId="1" fillId="2" borderId="56" xfId="0" applyFont="1" applyFill="1" applyBorder="1" applyAlignment="1">
      <alignment horizontal="center"/>
    </xf>
    <xf numFmtId="0" fontId="1" fillId="2" borderId="42" xfId="0" applyFont="1" applyFill="1" applyBorder="1" applyAlignment="1">
      <alignment horizontal="center" wrapText="1"/>
    </xf>
    <xf numFmtId="0" fontId="2" fillId="0" borderId="54" xfId="1" applyBorder="1" applyAlignment="1">
      <alignment vertical="center" wrapText="1"/>
    </xf>
    <xf numFmtId="0" fontId="2" fillId="0" borderId="51" xfId="1" applyBorder="1" applyAlignment="1">
      <alignment vertical="center" wrapText="1"/>
    </xf>
    <xf numFmtId="0" fontId="2" fillId="0" borderId="2" xfId="1" applyBorder="1" applyAlignment="1">
      <alignment vertical="center" wrapText="1"/>
    </xf>
    <xf numFmtId="0" fontId="10" fillId="0" borderId="12" xfId="0" applyFont="1" applyBorder="1" applyAlignment="1">
      <alignment horizontal="center" vertical="center" wrapText="1"/>
    </xf>
    <xf numFmtId="0" fontId="0" fillId="0" borderId="37" xfId="0" applyBorder="1" applyAlignment="1">
      <alignment vertical="center" wrapText="1"/>
    </xf>
    <xf numFmtId="0" fontId="2" fillId="0" borderId="48" xfId="1" applyBorder="1" applyAlignment="1">
      <alignment vertical="center" wrapText="1"/>
    </xf>
    <xf numFmtId="0" fontId="0" fillId="0" borderId="3" xfId="0" applyBorder="1" applyAlignment="1">
      <alignment wrapText="1"/>
    </xf>
    <xf numFmtId="0" fontId="0" fillId="0" borderId="50" xfId="0" applyBorder="1"/>
    <xf numFmtId="0" fontId="0" fillId="0" borderId="55" xfId="0" applyBorder="1" applyAlignment="1">
      <alignment vertical="center" wrapText="1"/>
    </xf>
    <xf numFmtId="0" fontId="0" fillId="0" borderId="41" xfId="0" applyBorder="1"/>
    <xf numFmtId="0" fontId="0" fillId="0" borderId="12" xfId="0" applyBorder="1" applyAlignment="1">
      <alignment vertical="center"/>
    </xf>
    <xf numFmtId="0" fontId="0" fillId="0" borderId="12" xfId="0" applyBorder="1" applyAlignment="1">
      <alignment horizontal="left" vertical="center"/>
    </xf>
    <xf numFmtId="0" fontId="20" fillId="0" borderId="0" xfId="0" applyFont="1" applyBorder="1" applyAlignment="1">
      <alignment horizontal="center" vertical="center"/>
    </xf>
    <xf numFmtId="0" fontId="2" fillId="0" borderId="36" xfId="1" applyBorder="1" applyAlignment="1">
      <alignment vertical="center"/>
    </xf>
    <xf numFmtId="0" fontId="10" fillId="0" borderId="62" xfId="0" applyFont="1" applyBorder="1" applyAlignment="1">
      <alignment horizontal="center" vertical="center"/>
    </xf>
    <xf numFmtId="0" fontId="0" fillId="0" borderId="64" xfId="0" applyBorder="1" applyAlignment="1">
      <alignment vertical="center" wrapText="1"/>
    </xf>
    <xf numFmtId="0" fontId="10" fillId="0" borderId="15" xfId="0" applyFont="1" applyBorder="1" applyAlignment="1">
      <alignment horizontal="center" vertical="center"/>
    </xf>
    <xf numFmtId="0" fontId="20" fillId="0" borderId="0" xfId="0" applyFont="1" applyBorder="1" applyAlignment="1" applyProtection="1">
      <alignment horizontal="center" vertical="center" wrapText="1"/>
      <protection locked="0"/>
    </xf>
    <xf numFmtId="0" fontId="0" fillId="0" borderId="1" xfId="0" applyBorder="1" applyAlignment="1">
      <alignment vertical="center"/>
    </xf>
    <xf numFmtId="0" fontId="0" fillId="0" borderId="4" xfId="0" applyBorder="1" applyAlignment="1">
      <alignment vertical="center"/>
    </xf>
    <xf numFmtId="0" fontId="0" fillId="0" borderId="62" xfId="0" applyBorder="1" applyAlignment="1">
      <alignment horizontal="left" vertical="center"/>
    </xf>
    <xf numFmtId="0" fontId="0" fillId="0" borderId="63" xfId="0" applyBorder="1" applyAlignment="1">
      <alignment vertical="center" wrapText="1"/>
    </xf>
    <xf numFmtId="0" fontId="2" fillId="0" borderId="70" xfId="1" applyBorder="1" applyAlignment="1">
      <alignment vertical="center" wrapText="1"/>
    </xf>
    <xf numFmtId="0" fontId="0" fillId="0" borderId="71" xfId="0" applyBorder="1" applyAlignment="1">
      <alignment vertical="center"/>
    </xf>
    <xf numFmtId="0" fontId="20" fillId="0" borderId="22" xfId="0" applyFont="1" applyBorder="1" applyAlignment="1" applyProtection="1">
      <alignment horizontal="center" vertical="center" wrapText="1"/>
      <protection locked="0"/>
    </xf>
    <xf numFmtId="0" fontId="20" fillId="0" borderId="19" xfId="0" applyFont="1" applyBorder="1" applyAlignment="1" applyProtection="1">
      <alignment horizontal="center" vertical="center" wrapText="1"/>
      <protection locked="0"/>
    </xf>
    <xf numFmtId="0" fontId="20" fillId="0" borderId="62" xfId="0" applyFont="1" applyBorder="1" applyAlignment="1" applyProtection="1">
      <alignment horizontal="center" vertical="center" wrapText="1"/>
      <protection locked="0"/>
    </xf>
    <xf numFmtId="0" fontId="14" fillId="0" borderId="0" xfId="0" applyFont="1" applyBorder="1" applyAlignment="1">
      <alignment horizontal="center" vertical="center"/>
    </xf>
    <xf numFmtId="0" fontId="1" fillId="0" borderId="0" xfId="0" applyFont="1" applyBorder="1" applyAlignment="1">
      <alignment vertical="center"/>
    </xf>
    <xf numFmtId="0" fontId="0" fillId="0" borderId="40" xfId="0" applyBorder="1" applyAlignment="1">
      <alignment vertical="center"/>
    </xf>
    <xf numFmtId="0" fontId="0" fillId="0" borderId="2" xfId="0" applyBorder="1" applyAlignment="1">
      <alignment vertical="center"/>
    </xf>
    <xf numFmtId="0" fontId="2" fillId="0" borderId="49" xfId="1" applyBorder="1" applyAlignment="1">
      <alignment vertical="center" wrapText="1"/>
    </xf>
    <xf numFmtId="0" fontId="20" fillId="0" borderId="27" xfId="0" applyFont="1" applyBorder="1" applyAlignment="1" applyProtection="1">
      <alignment horizontal="center" vertical="center" wrapText="1"/>
      <protection locked="0"/>
    </xf>
    <xf numFmtId="0" fontId="2" fillId="0" borderId="40" xfId="1" applyBorder="1" applyAlignment="1">
      <alignment vertical="center"/>
    </xf>
    <xf numFmtId="0" fontId="2" fillId="0" borderId="46" xfId="1" applyBorder="1" applyAlignment="1">
      <alignment vertical="center"/>
    </xf>
    <xf numFmtId="0" fontId="10" fillId="0" borderId="33" xfId="0" applyFont="1" applyBorder="1" applyAlignment="1">
      <alignment horizontal="center" vertical="center"/>
    </xf>
    <xf numFmtId="0" fontId="2" fillId="0" borderId="72" xfId="1" applyBorder="1" applyAlignment="1">
      <alignment vertical="center"/>
    </xf>
    <xf numFmtId="0" fontId="14" fillId="0" borderId="14" xfId="0" applyFont="1" applyBorder="1" applyAlignment="1">
      <alignment vertical="center"/>
    </xf>
    <xf numFmtId="0" fontId="14" fillId="0" borderId="2" xfId="0" applyFont="1" applyBorder="1" applyAlignment="1">
      <alignment vertical="center"/>
    </xf>
    <xf numFmtId="49" fontId="0" fillId="0" borderId="27" xfId="0" applyNumberFormat="1" applyBorder="1" applyAlignment="1">
      <alignment horizontal="left" vertical="center"/>
    </xf>
    <xf numFmtId="0" fontId="0" fillId="0" borderId="46" xfId="0" applyBorder="1" applyAlignment="1">
      <alignment vertical="center"/>
    </xf>
    <xf numFmtId="0" fontId="0" fillId="0" borderId="14" xfId="0" applyFill="1" applyBorder="1" applyAlignment="1">
      <alignment vertical="center" wrapText="1"/>
    </xf>
    <xf numFmtId="0" fontId="0" fillId="0" borderId="73" xfId="0" applyBorder="1"/>
    <xf numFmtId="0" fontId="0" fillId="0" borderId="51" xfId="0" applyBorder="1"/>
    <xf numFmtId="0" fontId="0" fillId="0" borderId="19" xfId="0" applyFill="1" applyBorder="1" applyAlignment="1">
      <alignment vertical="center" wrapText="1"/>
    </xf>
    <xf numFmtId="0" fontId="20" fillId="0" borderId="64" xfId="0" applyFont="1" applyBorder="1" applyAlignment="1" applyProtection="1">
      <alignment horizontal="center" vertical="center" wrapText="1"/>
      <protection locked="0"/>
    </xf>
    <xf numFmtId="0" fontId="6" fillId="0" borderId="64" xfId="0" applyFont="1" applyBorder="1" applyAlignment="1">
      <alignment horizontal="left" vertical="center" wrapText="1"/>
    </xf>
    <xf numFmtId="0" fontId="2" fillId="0" borderId="65" xfId="1" applyBorder="1" applyAlignment="1">
      <alignment vertical="center"/>
    </xf>
    <xf numFmtId="0" fontId="0" fillId="0" borderId="77" xfId="0" applyBorder="1" applyAlignment="1">
      <alignment vertical="center" wrapText="1"/>
    </xf>
    <xf numFmtId="0" fontId="0" fillId="0" borderId="77" xfId="0" applyBorder="1" applyAlignment="1">
      <alignment horizontal="left" vertical="center"/>
    </xf>
    <xf numFmtId="0" fontId="6" fillId="0" borderId="0" xfId="0" applyFont="1" applyBorder="1" applyAlignment="1">
      <alignment horizontal="left" vertical="center" wrapText="1"/>
    </xf>
    <xf numFmtId="0" fontId="2" fillId="0" borderId="51" xfId="1" applyBorder="1" applyAlignment="1">
      <alignment vertical="center"/>
    </xf>
    <xf numFmtId="0" fontId="10" fillId="0" borderId="79" xfId="0" applyFont="1" applyBorder="1" applyAlignment="1">
      <alignment horizontal="center" vertical="center"/>
    </xf>
    <xf numFmtId="0" fontId="7" fillId="0" borderId="0" xfId="0" applyFont="1" applyBorder="1"/>
    <xf numFmtId="0" fontId="0" fillId="0" borderId="15" xfId="0" applyBorder="1" applyAlignment="1">
      <alignment horizontal="left" vertical="center" wrapText="1"/>
    </xf>
    <xf numFmtId="49" fontId="0" fillId="0" borderId="21" xfId="0" applyNumberFormat="1" applyBorder="1" applyAlignment="1">
      <alignment horizontal="left" vertical="center"/>
    </xf>
    <xf numFmtId="0" fontId="0" fillId="0" borderId="62" xfId="0" applyBorder="1" applyAlignment="1">
      <alignment vertical="center" wrapText="1"/>
    </xf>
    <xf numFmtId="0" fontId="20" fillId="0" borderId="62" xfId="0" applyFont="1" applyBorder="1" applyAlignment="1" applyProtection="1">
      <alignment horizontal="center" vertical="center"/>
      <protection locked="0"/>
    </xf>
    <xf numFmtId="0" fontId="2" fillId="0" borderId="41" xfId="1" applyBorder="1" applyAlignment="1">
      <alignment vertical="center" wrapText="1"/>
    </xf>
    <xf numFmtId="0" fontId="20" fillId="0" borderId="0" xfId="0" applyFont="1" applyBorder="1" applyAlignment="1" applyProtection="1">
      <alignment horizontal="center" vertical="center"/>
      <protection locked="0"/>
    </xf>
    <xf numFmtId="0" fontId="5" fillId="0" borderId="4" xfId="0" applyFont="1" applyBorder="1" applyAlignment="1">
      <alignment vertical="center"/>
    </xf>
    <xf numFmtId="0" fontId="5" fillId="0" borderId="2" xfId="0" applyFont="1" applyBorder="1" applyAlignment="1">
      <alignment vertical="center"/>
    </xf>
    <xf numFmtId="0" fontId="0" fillId="0" borderId="0" xfId="0"/>
    <xf numFmtId="0" fontId="5" fillId="0" borderId="0" xfId="0" applyFont="1" applyBorder="1" applyAlignment="1">
      <alignment vertical="center"/>
    </xf>
    <xf numFmtId="0" fontId="5" fillId="0" borderId="37" xfId="0" applyFont="1" applyBorder="1" applyAlignment="1">
      <alignment vertical="center"/>
    </xf>
    <xf numFmtId="0" fontId="1" fillId="2" borderId="1" xfId="0" applyFont="1" applyFill="1" applyBorder="1" applyAlignment="1">
      <alignment horizontal="center"/>
    </xf>
    <xf numFmtId="0" fontId="0" fillId="0" borderId="0" xfId="0"/>
    <xf numFmtId="0" fontId="0" fillId="0" borderId="0" xfId="0"/>
    <xf numFmtId="14" fontId="20" fillId="0" borderId="27" xfId="0" applyNumberFormat="1" applyFont="1" applyBorder="1" applyAlignment="1" applyProtection="1">
      <alignment horizontal="center" vertical="center" wrapText="1"/>
      <protection locked="0"/>
    </xf>
    <xf numFmtId="0" fontId="0" fillId="0" borderId="15" xfId="0" applyBorder="1" applyAlignment="1">
      <alignment wrapText="1"/>
    </xf>
    <xf numFmtId="0" fontId="0" fillId="0" borderId="15" xfId="0" applyBorder="1"/>
    <xf numFmtId="0" fontId="0" fillId="3" borderId="15" xfId="0" applyFont="1" applyFill="1" applyBorder="1" applyAlignment="1">
      <alignment vertical="center"/>
    </xf>
    <xf numFmtId="0" fontId="0" fillId="3" borderId="15" xfId="0" applyNumberFormat="1" applyFill="1" applyBorder="1"/>
    <xf numFmtId="0" fontId="0" fillId="0" borderId="0" xfId="0"/>
    <xf numFmtId="0" fontId="1" fillId="2" borderId="34" xfId="0" applyFont="1" applyFill="1" applyBorder="1" applyAlignment="1">
      <alignment horizontal="center"/>
    </xf>
    <xf numFmtId="0" fontId="0" fillId="0" borderId="0" xfId="0" applyBorder="1" applyAlignment="1">
      <alignment horizontal="left" vertical="center" wrapText="1"/>
    </xf>
    <xf numFmtId="0" fontId="6" fillId="0" borderId="12" xfId="0" applyFont="1" applyBorder="1" applyAlignment="1">
      <alignment vertical="center" wrapText="1"/>
    </xf>
    <xf numFmtId="0" fontId="0" fillId="0" borderId="0" xfId="0" applyBorder="1" applyAlignment="1">
      <alignment horizontal="left" vertical="center" wrapText="1"/>
    </xf>
    <xf numFmtId="0" fontId="1" fillId="2" borderId="58" xfId="0" applyFont="1" applyFill="1" applyBorder="1" applyAlignment="1">
      <alignment horizontal="center" vertical="center" wrapText="1"/>
    </xf>
    <xf numFmtId="0" fontId="1" fillId="2" borderId="59" xfId="0" applyFont="1" applyFill="1" applyBorder="1" applyAlignment="1">
      <alignment horizontal="center" vertical="center"/>
    </xf>
    <xf numFmtId="0" fontId="5" fillId="0" borderId="28" xfId="0" applyFont="1" applyBorder="1" applyAlignment="1">
      <alignment vertical="center"/>
    </xf>
    <xf numFmtId="0" fontId="5" fillId="0" borderId="47" xfId="0" applyFont="1" applyBorder="1" applyAlignment="1">
      <alignment vertical="center"/>
    </xf>
    <xf numFmtId="0" fontId="23" fillId="0" borderId="0" xfId="0" applyFont="1" applyFill="1" applyBorder="1" applyAlignment="1">
      <alignment vertical="center"/>
    </xf>
    <xf numFmtId="0" fontId="20" fillId="0" borderId="33" xfId="0" applyFont="1" applyBorder="1" applyAlignment="1" applyProtection="1">
      <alignment horizontal="center" vertical="center" wrapText="1"/>
      <protection locked="0"/>
    </xf>
    <xf numFmtId="0" fontId="1" fillId="0" borderId="12" xfId="0" applyFont="1" applyBorder="1" applyAlignment="1">
      <alignment horizontal="center" vertical="center"/>
    </xf>
    <xf numFmtId="0" fontId="23" fillId="0" borderId="0" xfId="0" applyFont="1" applyBorder="1" applyAlignment="1">
      <alignment vertical="center"/>
    </xf>
    <xf numFmtId="0" fontId="0" fillId="0" borderId="19" xfId="0" applyBorder="1" applyAlignment="1">
      <alignment horizontal="left" vertical="center" wrapText="1"/>
    </xf>
    <xf numFmtId="0" fontId="0" fillId="0" borderId="51" xfId="0" applyBorder="1" applyAlignment="1">
      <alignment vertical="center"/>
    </xf>
    <xf numFmtId="0" fontId="2" fillId="0" borderId="19" xfId="1" applyBorder="1" applyAlignment="1">
      <alignment horizontal="left" vertical="center"/>
    </xf>
    <xf numFmtId="0" fontId="0" fillId="0" borderId="81" xfId="0" applyBorder="1" applyAlignment="1">
      <alignment vertical="center" wrapText="1"/>
    </xf>
    <xf numFmtId="0" fontId="6" fillId="0" borderId="19" xfId="0" applyFont="1" applyBorder="1" applyAlignment="1">
      <alignment horizontal="center" vertical="center" wrapText="1"/>
    </xf>
    <xf numFmtId="0" fontId="5" fillId="0" borderId="0" xfId="0" applyFont="1" applyAlignment="1">
      <alignment vertical="top"/>
    </xf>
    <xf numFmtId="49" fontId="0" fillId="0" borderId="19" xfId="0" applyNumberFormat="1" applyBorder="1" applyAlignment="1">
      <alignment vertical="center"/>
    </xf>
    <xf numFmtId="0" fontId="2" fillId="0" borderId="4" xfId="1" applyBorder="1" applyAlignment="1">
      <alignment vertical="center" wrapText="1"/>
    </xf>
    <xf numFmtId="49" fontId="0" fillId="0" borderId="12" xfId="0" applyNumberFormat="1" applyBorder="1" applyAlignment="1">
      <alignment vertical="center"/>
    </xf>
    <xf numFmtId="0" fontId="5" fillId="0" borderId="0" xfId="0" applyFont="1" applyBorder="1" applyAlignment="1">
      <alignment horizontal="center" vertical="center" wrapText="1"/>
    </xf>
    <xf numFmtId="0" fontId="7" fillId="0" borderId="0" xfId="0" applyFont="1" applyBorder="1" applyAlignment="1">
      <alignment horizontal="center" vertical="center"/>
    </xf>
    <xf numFmtId="0" fontId="5" fillId="0" borderId="0" xfId="0" applyFont="1" applyBorder="1" applyAlignment="1">
      <alignment vertical="center" wrapText="1"/>
    </xf>
    <xf numFmtId="0" fontId="5" fillId="0" borderId="0" xfId="0" applyFont="1" applyBorder="1" applyAlignment="1">
      <alignment horizontal="left" vertical="center"/>
    </xf>
    <xf numFmtId="0" fontId="5" fillId="0" borderId="0" xfId="0" applyFont="1" applyAlignment="1"/>
    <xf numFmtId="0" fontId="0" fillId="0" borderId="0" xfId="0" applyAlignment="1"/>
    <xf numFmtId="0" fontId="3" fillId="0" borderId="0" xfId="0" applyFont="1" applyBorder="1"/>
    <xf numFmtId="0" fontId="6" fillId="0" borderId="0" xfId="0" applyFont="1" applyBorder="1" applyAlignment="1">
      <alignment horizontal="center" vertical="center"/>
    </xf>
    <xf numFmtId="0" fontId="0" fillId="7" borderId="0" xfId="0" applyFill="1"/>
    <xf numFmtId="0" fontId="22" fillId="0" borderId="41" xfId="1" applyFont="1" applyBorder="1" applyAlignment="1">
      <alignment vertical="center" wrapText="1"/>
    </xf>
    <xf numFmtId="0" fontId="0" fillId="0" borderId="64" xfId="0" applyBorder="1" applyAlignment="1">
      <alignment horizontal="left" vertical="center" wrapText="1"/>
    </xf>
    <xf numFmtId="0" fontId="22" fillId="0" borderId="65" xfId="1" applyFont="1" applyBorder="1" applyAlignment="1">
      <alignment vertical="center" wrapText="1"/>
    </xf>
    <xf numFmtId="164" fontId="0" fillId="3" borderId="15" xfId="0" applyNumberFormat="1" applyFill="1" applyBorder="1" applyAlignment="1">
      <alignment horizontal="center"/>
    </xf>
    <xf numFmtId="49" fontId="0" fillId="0" borderId="15" xfId="0" applyNumberFormat="1" applyBorder="1" applyAlignment="1">
      <alignment horizontal="center"/>
    </xf>
    <xf numFmtId="0" fontId="3" fillId="0" borderId="13" xfId="0" applyFont="1" applyFill="1" applyBorder="1" applyAlignment="1">
      <alignment vertical="center"/>
    </xf>
    <xf numFmtId="0" fontId="0" fillId="0" borderId="15" xfId="0" applyFill="1" applyBorder="1"/>
    <xf numFmtId="0" fontId="23" fillId="0" borderId="15" xfId="0" applyFont="1" applyBorder="1" applyAlignment="1">
      <alignment vertical="center"/>
    </xf>
    <xf numFmtId="0" fontId="14" fillId="0" borderId="15" xfId="0" applyFont="1" applyBorder="1" applyAlignment="1">
      <alignment vertical="center"/>
    </xf>
    <xf numFmtId="164" fontId="0" fillId="0" borderId="15" xfId="0" applyNumberFormat="1" applyFill="1" applyBorder="1" applyAlignment="1">
      <alignment horizontal="center"/>
    </xf>
    <xf numFmtId="0" fontId="3" fillId="0" borderId="11" xfId="0" applyFont="1" applyFill="1" applyBorder="1" applyAlignment="1">
      <alignment vertical="center"/>
    </xf>
    <xf numFmtId="0" fontId="0" fillId="0" borderId="11" xfId="0" applyFill="1" applyBorder="1"/>
    <xf numFmtId="49" fontId="0" fillId="0" borderId="0" xfId="0" applyNumberFormat="1"/>
    <xf numFmtId="0" fontId="0" fillId="2" borderId="15" xfId="0" applyFill="1" applyBorder="1"/>
    <xf numFmtId="0" fontId="6" fillId="2" borderId="19" xfId="0" applyFont="1" applyFill="1" applyBorder="1" applyAlignment="1">
      <alignment vertical="center" wrapText="1"/>
    </xf>
    <xf numFmtId="0" fontId="6" fillId="0" borderId="63" xfId="0" applyFont="1" applyFill="1" applyBorder="1" applyAlignment="1">
      <alignment horizontal="left" vertical="center" wrapText="1"/>
    </xf>
    <xf numFmtId="0" fontId="2" fillId="0" borderId="71" xfId="1" applyFill="1" applyBorder="1" applyAlignment="1">
      <alignment horizontal="left" vertical="center"/>
    </xf>
    <xf numFmtId="0" fontId="6" fillId="0" borderId="19" xfId="0" applyFont="1" applyBorder="1" applyAlignment="1">
      <alignment horizontal="center" vertical="center"/>
    </xf>
    <xf numFmtId="0" fontId="6" fillId="0" borderId="62" xfId="0" applyFont="1" applyBorder="1" applyAlignment="1">
      <alignment horizontal="center" vertical="center"/>
    </xf>
    <xf numFmtId="49" fontId="0" fillId="0" borderId="12" xfId="0" applyNumberFormat="1" applyBorder="1" applyAlignment="1">
      <alignment horizontal="left" vertical="center"/>
    </xf>
    <xf numFmtId="0" fontId="2" fillId="0" borderId="41" xfId="1" applyBorder="1" applyAlignment="1">
      <alignment vertical="center"/>
    </xf>
    <xf numFmtId="0" fontId="10" fillId="0" borderId="64" xfId="0" applyFont="1" applyBorder="1" applyAlignment="1">
      <alignment horizontal="center" vertical="center"/>
    </xf>
    <xf numFmtId="0" fontId="6" fillId="0" borderId="27" xfId="0" applyFont="1" applyBorder="1" applyAlignment="1">
      <alignment horizontal="left" vertical="center" wrapText="1"/>
    </xf>
    <xf numFmtId="0" fontId="6" fillId="0" borderId="17" xfId="0" applyFont="1" applyBorder="1" applyAlignment="1">
      <alignment horizontal="left" vertical="center" wrapText="1"/>
    </xf>
    <xf numFmtId="0" fontId="6" fillId="0" borderId="33" xfId="0" applyFont="1" applyBorder="1" applyAlignment="1">
      <alignment horizontal="left" vertical="center" wrapText="1"/>
    </xf>
    <xf numFmtId="0" fontId="2" fillId="0" borderId="45" xfId="1" applyBorder="1" applyAlignment="1">
      <alignment vertical="center" wrapText="1"/>
    </xf>
    <xf numFmtId="0" fontId="2" fillId="0" borderId="72" xfId="1" applyBorder="1" applyAlignment="1">
      <alignment vertical="center" wrapText="1"/>
    </xf>
    <xf numFmtId="0" fontId="2" fillId="0" borderId="78" xfId="1" applyBorder="1" applyAlignment="1">
      <alignment vertical="center" wrapText="1"/>
    </xf>
    <xf numFmtId="0" fontId="0" fillId="0" borderId="17" xfId="0" applyBorder="1" applyAlignment="1">
      <alignment horizontal="left" vertical="center"/>
    </xf>
    <xf numFmtId="0" fontId="6" fillId="0" borderId="27" xfId="0" applyFont="1" applyBorder="1" applyAlignment="1">
      <alignment vertical="center" wrapText="1"/>
    </xf>
    <xf numFmtId="0" fontId="4" fillId="2" borderId="0" xfId="0" applyFont="1" applyFill="1" applyBorder="1" applyAlignment="1">
      <alignment horizontal="center" vertical="center"/>
    </xf>
    <xf numFmtId="0" fontId="0" fillId="0" borderId="36" xfId="0" applyBorder="1" applyAlignment="1">
      <alignment vertical="center"/>
    </xf>
    <xf numFmtId="0" fontId="0" fillId="0" borderId="41" xfId="0" applyBorder="1" applyAlignment="1">
      <alignment vertical="center"/>
    </xf>
    <xf numFmtId="0" fontId="2" fillId="0" borderId="85" xfId="1" applyFill="1" applyBorder="1" applyAlignment="1">
      <alignment vertical="center" wrapText="1"/>
    </xf>
    <xf numFmtId="0" fontId="10" fillId="0" borderId="30" xfId="0" applyFont="1" applyBorder="1" applyAlignment="1">
      <alignment horizontal="center" vertical="center"/>
    </xf>
    <xf numFmtId="0" fontId="6" fillId="0" borderId="17" xfId="0" applyFont="1" applyBorder="1" applyAlignment="1">
      <alignment vertical="center" wrapText="1"/>
    </xf>
    <xf numFmtId="0" fontId="2" fillId="0" borderId="2" xfId="1" applyBorder="1" applyAlignment="1" applyProtection="1">
      <alignment vertical="center" wrapText="1"/>
    </xf>
    <xf numFmtId="0" fontId="6" fillId="0" borderId="19" xfId="0" applyFont="1" applyBorder="1" applyAlignment="1">
      <alignment horizontal="left" vertical="center"/>
    </xf>
    <xf numFmtId="0" fontId="2" fillId="0" borderId="19" xfId="1" applyBorder="1" applyAlignment="1">
      <alignment horizontal="left" vertical="center" wrapText="1"/>
    </xf>
    <xf numFmtId="0" fontId="5" fillId="0" borderId="1" xfId="0" applyFont="1" applyBorder="1"/>
    <xf numFmtId="0" fontId="5" fillId="0" borderId="0" xfId="0" applyFont="1" applyBorder="1"/>
    <xf numFmtId="0" fontId="5" fillId="0" borderId="2" xfId="0" applyFont="1" applyBorder="1"/>
    <xf numFmtId="0" fontId="5" fillId="0" borderId="3" xfId="0" applyFont="1" applyBorder="1"/>
    <xf numFmtId="0" fontId="5" fillId="0" borderId="37" xfId="0" applyFont="1" applyBorder="1"/>
    <xf numFmtId="0" fontId="5" fillId="0" borderId="4" xfId="0" applyFont="1" applyBorder="1"/>
    <xf numFmtId="0" fontId="0" fillId="0" borderId="66" xfId="0" applyBorder="1"/>
    <xf numFmtId="0" fontId="10" fillId="0" borderId="0" xfId="0" applyFont="1" applyFill="1" applyBorder="1"/>
    <xf numFmtId="0" fontId="2" fillId="0" borderId="11" xfId="1" applyBorder="1" applyAlignment="1">
      <alignment horizontal="left" vertical="center" wrapText="1"/>
    </xf>
    <xf numFmtId="0" fontId="2" fillId="0" borderId="11" xfId="1" applyBorder="1" applyAlignment="1">
      <alignment horizontal="center" vertical="center" wrapText="1"/>
    </xf>
    <xf numFmtId="0" fontId="6" fillId="0" borderId="11" xfId="0" applyFont="1" applyBorder="1" applyAlignment="1">
      <alignment horizontal="left" vertical="center" wrapText="1"/>
    </xf>
    <xf numFmtId="0" fontId="6" fillId="0" borderId="11" xfId="0" applyFont="1" applyBorder="1" applyAlignment="1">
      <alignment horizontal="left" vertical="center"/>
    </xf>
    <xf numFmtId="0" fontId="22" fillId="0" borderId="36" xfId="1" applyFont="1" applyBorder="1" applyAlignment="1">
      <alignment vertical="center" wrapText="1"/>
    </xf>
    <xf numFmtId="0" fontId="0" fillId="0" borderId="0" xfId="0" applyAlignment="1">
      <alignment horizontal="left" vertical="center" wrapText="1"/>
    </xf>
    <xf numFmtId="0" fontId="6" fillId="0" borderId="37" xfId="0" applyFont="1" applyBorder="1" applyAlignment="1">
      <alignment vertical="center" wrapText="1"/>
    </xf>
    <xf numFmtId="0" fontId="6" fillId="0" borderId="12" xfId="0" applyFont="1" applyBorder="1" applyAlignment="1">
      <alignment horizontal="left" vertical="center"/>
    </xf>
    <xf numFmtId="0" fontId="6" fillId="0" borderId="12" xfId="0" applyFont="1" applyBorder="1" applyAlignment="1">
      <alignment horizontal="center" vertical="center"/>
    </xf>
    <xf numFmtId="0" fontId="7" fillId="0" borderId="0" xfId="0" applyFont="1"/>
    <xf numFmtId="0" fontId="1" fillId="0" borderId="27" xfId="0" applyFont="1" applyBorder="1" applyAlignment="1">
      <alignment horizontal="center" vertical="center"/>
    </xf>
    <xf numFmtId="0" fontId="0" fillId="0" borderId="27" xfId="0" applyFont="1" applyBorder="1" applyAlignment="1">
      <alignment horizontal="left" vertical="center" wrapText="1"/>
    </xf>
    <xf numFmtId="0" fontId="6" fillId="0" borderId="80" xfId="0" applyFont="1" applyBorder="1" applyAlignment="1">
      <alignment vertical="center" wrapText="1"/>
    </xf>
    <xf numFmtId="0" fontId="0" fillId="0" borderId="12" xfId="0" applyBorder="1"/>
    <xf numFmtId="0" fontId="23" fillId="0" borderId="0" xfId="0" applyFont="1" applyAlignment="1">
      <alignment wrapText="1"/>
    </xf>
    <xf numFmtId="0" fontId="22" fillId="0" borderId="88" xfId="1" applyFont="1" applyBorder="1" applyAlignment="1">
      <alignment vertical="center" wrapText="1"/>
    </xf>
    <xf numFmtId="0" fontId="23" fillId="0" borderId="0" xfId="0" applyFont="1" applyFill="1" applyBorder="1" applyAlignment="1">
      <alignment vertical="center" wrapText="1"/>
    </xf>
    <xf numFmtId="0" fontId="22" fillId="0" borderId="52" xfId="1" applyFont="1" applyBorder="1" applyAlignment="1">
      <alignment vertical="center" wrapText="1"/>
    </xf>
    <xf numFmtId="0" fontId="0" fillId="0" borderId="69" xfId="0" applyBorder="1" applyAlignment="1">
      <alignment vertical="center" wrapText="1"/>
    </xf>
    <xf numFmtId="0" fontId="22" fillId="0" borderId="48" xfId="1" applyFont="1" applyBorder="1" applyAlignment="1">
      <alignment vertical="center" wrapText="1"/>
    </xf>
    <xf numFmtId="0" fontId="5" fillId="0" borderId="15" xfId="0" applyFont="1" applyBorder="1" applyAlignment="1">
      <alignment vertical="center" wrapText="1"/>
    </xf>
    <xf numFmtId="0" fontId="0" fillId="0" borderId="15" xfId="0" applyBorder="1" applyAlignment="1">
      <alignment horizontal="center" vertical="center" wrapText="1"/>
    </xf>
    <xf numFmtId="0" fontId="0" fillId="0" borderId="22" xfId="0" applyBorder="1" applyAlignment="1">
      <alignment horizontal="left" vertical="center" wrapText="1"/>
    </xf>
    <xf numFmtId="0" fontId="0" fillId="0" borderId="0" xfId="0" applyBorder="1" applyAlignment="1">
      <alignment vertical="center" wrapText="1"/>
    </xf>
    <xf numFmtId="0" fontId="0" fillId="0" borderId="22" xfId="0" applyBorder="1" applyAlignment="1">
      <alignment vertical="center" wrapText="1"/>
    </xf>
    <xf numFmtId="0" fontId="0" fillId="0" borderId="37" xfId="0" applyBorder="1" applyAlignment="1">
      <alignment horizontal="left" vertical="center" wrapText="1"/>
    </xf>
    <xf numFmtId="0" fontId="24" fillId="0" borderId="0" xfId="0" applyFont="1"/>
    <xf numFmtId="0" fontId="25" fillId="0" borderId="0" xfId="0" applyFont="1"/>
    <xf numFmtId="0" fontId="26" fillId="0" borderId="0" xfId="0" applyFont="1"/>
    <xf numFmtId="0" fontId="25" fillId="0" borderId="0" xfId="0" applyFont="1" applyBorder="1" applyAlignment="1">
      <alignment vertical="center"/>
    </xf>
    <xf numFmtId="0" fontId="25" fillId="0" borderId="0" xfId="0" applyFont="1" applyAlignment="1">
      <alignment vertical="center"/>
    </xf>
    <xf numFmtId="0" fontId="1" fillId="8" borderId="34" xfId="0" applyFont="1" applyFill="1" applyBorder="1" applyAlignment="1">
      <alignment horizontal="center"/>
    </xf>
    <xf numFmtId="0" fontId="1" fillId="8" borderId="42" xfId="0" applyFont="1" applyFill="1" applyBorder="1" applyAlignment="1">
      <alignment horizontal="center" vertical="center"/>
    </xf>
    <xf numFmtId="0" fontId="1" fillId="8" borderId="56" xfId="0" applyFont="1" applyFill="1" applyBorder="1" applyAlignment="1">
      <alignment horizontal="center"/>
    </xf>
    <xf numFmtId="0" fontId="1" fillId="8" borderId="42" xfId="0" applyFont="1" applyFill="1" applyBorder="1" applyAlignment="1">
      <alignment horizontal="center" wrapText="1"/>
    </xf>
    <xf numFmtId="0" fontId="1" fillId="8" borderId="42" xfId="0" applyFont="1" applyFill="1" applyBorder="1" applyAlignment="1">
      <alignment horizontal="center"/>
    </xf>
    <xf numFmtId="0" fontId="1" fillId="8" borderId="53" xfId="0" applyFont="1" applyFill="1" applyBorder="1" applyAlignment="1">
      <alignment horizontal="center"/>
    </xf>
    <xf numFmtId="0" fontId="1" fillId="8" borderId="56" xfId="0" applyFont="1" applyFill="1" applyBorder="1" applyAlignment="1">
      <alignment horizontal="center" vertical="center"/>
    </xf>
    <xf numFmtId="0" fontId="1" fillId="8" borderId="56" xfId="0" applyFont="1" applyFill="1" applyBorder="1" applyAlignment="1">
      <alignment horizontal="center" wrapText="1"/>
    </xf>
    <xf numFmtId="0" fontId="1" fillId="8" borderId="83" xfId="0" applyFont="1" applyFill="1" applyBorder="1" applyAlignment="1">
      <alignment horizontal="center" vertical="center"/>
    </xf>
    <xf numFmtId="0" fontId="1" fillId="8" borderId="77" xfId="0" applyFont="1" applyFill="1" applyBorder="1" applyAlignment="1">
      <alignment horizontal="center" vertical="center"/>
    </xf>
    <xf numFmtId="0" fontId="1" fillId="8" borderId="77" xfId="0" applyFont="1" applyFill="1" applyBorder="1" applyAlignment="1">
      <alignment horizontal="center" vertical="center" wrapText="1"/>
    </xf>
    <xf numFmtId="0" fontId="1" fillId="8" borderId="78" xfId="0" applyFont="1" applyFill="1" applyBorder="1" applyAlignment="1">
      <alignment horizontal="center" vertical="center"/>
    </xf>
    <xf numFmtId="0" fontId="1" fillId="8" borderId="34" xfId="0" applyFont="1" applyFill="1" applyBorder="1" applyAlignment="1">
      <alignment horizontal="center" vertical="center"/>
    </xf>
    <xf numFmtId="0" fontId="1" fillId="8" borderId="42" xfId="0" applyFont="1" applyFill="1" applyBorder="1" applyAlignment="1">
      <alignment horizontal="center" vertical="center" wrapText="1"/>
    </xf>
    <xf numFmtId="0" fontId="1" fillId="8" borderId="53" xfId="0" applyFont="1" applyFill="1" applyBorder="1" applyAlignment="1">
      <alignment horizontal="center" vertical="center"/>
    </xf>
    <xf numFmtId="0" fontId="1" fillId="8" borderId="89" xfId="0" applyFont="1" applyFill="1" applyBorder="1" applyAlignment="1">
      <alignment horizontal="center"/>
    </xf>
    <xf numFmtId="0" fontId="1" fillId="8" borderId="43" xfId="0" applyFont="1" applyFill="1" applyBorder="1" applyAlignment="1">
      <alignment horizontal="center" vertical="center"/>
    </xf>
    <xf numFmtId="0" fontId="1" fillId="8" borderId="56" xfId="0" applyFont="1" applyFill="1" applyBorder="1" applyAlignment="1">
      <alignment horizontal="center" vertical="center" wrapText="1"/>
    </xf>
    <xf numFmtId="0" fontId="1" fillId="8" borderId="38" xfId="0" applyFont="1" applyFill="1" applyBorder="1" applyAlignment="1">
      <alignment horizontal="center"/>
    </xf>
    <xf numFmtId="0" fontId="1" fillId="9" borderId="1" xfId="0" applyFont="1" applyFill="1" applyBorder="1" applyAlignment="1">
      <alignment horizontal="center"/>
    </xf>
    <xf numFmtId="0" fontId="1" fillId="9" borderId="11" xfId="0" applyFont="1" applyFill="1" applyBorder="1" applyAlignment="1">
      <alignment horizontal="center"/>
    </xf>
    <xf numFmtId="0" fontId="1" fillId="9" borderId="2" xfId="0" applyFont="1" applyFill="1" applyBorder="1" applyAlignment="1">
      <alignment horizontal="center"/>
    </xf>
    <xf numFmtId="0" fontId="1" fillId="8" borderId="43" xfId="0" applyFont="1" applyFill="1" applyBorder="1" applyAlignment="1">
      <alignment horizontal="center"/>
    </xf>
    <xf numFmtId="0" fontId="1" fillId="8" borderId="57" xfId="0" applyFont="1" applyFill="1" applyBorder="1" applyAlignment="1">
      <alignment horizontal="center"/>
    </xf>
    <xf numFmtId="0" fontId="28" fillId="0" borderId="0" xfId="0" applyFont="1"/>
    <xf numFmtId="0" fontId="4" fillId="0" borderId="50" xfId="0" applyFont="1" applyBorder="1" applyAlignment="1">
      <alignment horizontal="center" vertical="center"/>
    </xf>
    <xf numFmtId="0" fontId="4" fillId="0" borderId="68" xfId="0" applyFont="1" applyFill="1" applyBorder="1" applyAlignment="1">
      <alignment horizontal="center" vertical="center"/>
    </xf>
    <xf numFmtId="0" fontId="4" fillId="0" borderId="84" xfId="0" applyFont="1" applyFill="1" applyBorder="1" applyAlignment="1">
      <alignment horizontal="right" vertical="center"/>
    </xf>
    <xf numFmtId="0" fontId="4" fillId="0" borderId="39" xfId="0" applyFont="1" applyBorder="1" applyAlignment="1">
      <alignment horizontal="right" vertical="center"/>
    </xf>
    <xf numFmtId="0" fontId="4" fillId="0" borderId="82" xfId="0" applyFont="1" applyBorder="1" applyAlignment="1">
      <alignment horizontal="right" vertical="center"/>
    </xf>
    <xf numFmtId="0" fontId="4" fillId="0" borderId="87" xfId="0" applyFont="1" applyBorder="1" applyAlignment="1">
      <alignment horizontal="center" vertical="center"/>
    </xf>
    <xf numFmtId="0" fontId="4" fillId="0" borderId="3" xfId="0" applyFont="1" applyBorder="1" applyAlignment="1">
      <alignment horizontal="center" vertical="center"/>
    </xf>
    <xf numFmtId="0" fontId="4" fillId="0" borderId="50" xfId="0" applyFont="1" applyBorder="1" applyAlignment="1">
      <alignment vertical="center"/>
    </xf>
    <xf numFmtId="0" fontId="4" fillId="0" borderId="22" xfId="0" applyFont="1" applyBorder="1" applyAlignment="1">
      <alignment vertical="center"/>
    </xf>
    <xf numFmtId="0" fontId="4" fillId="0" borderId="1" xfId="0" applyFont="1" applyBorder="1" applyAlignment="1">
      <alignment horizontal="center" vertical="center"/>
    </xf>
    <xf numFmtId="0" fontId="4" fillId="0" borderId="50" xfId="0" applyFont="1" applyBorder="1" applyAlignment="1">
      <alignment horizontal="center" vertical="center" wrapText="1"/>
    </xf>
    <xf numFmtId="0" fontId="4" fillId="0" borderId="68" xfId="0" applyFont="1" applyBorder="1" applyAlignment="1">
      <alignment horizontal="center" vertical="center"/>
    </xf>
    <xf numFmtId="0" fontId="29" fillId="0" borderId="3" xfId="0" applyFont="1" applyBorder="1" applyAlignment="1">
      <alignment horizontal="center" vertical="center" wrapText="1"/>
    </xf>
    <xf numFmtId="0" fontId="4" fillId="0" borderId="67" xfId="0" applyFont="1" applyBorder="1" applyAlignment="1">
      <alignment horizontal="center" vertical="center" wrapText="1"/>
    </xf>
    <xf numFmtId="0" fontId="4" fillId="0" borderId="66" xfId="0" applyFont="1" applyBorder="1" applyAlignment="1">
      <alignment horizontal="center" vertical="center"/>
    </xf>
    <xf numFmtId="0" fontId="4" fillId="0" borderId="39" xfId="0" applyFont="1" applyBorder="1" applyAlignment="1">
      <alignment horizontal="center" vertical="center" wrapText="1"/>
    </xf>
    <xf numFmtId="0" fontId="4" fillId="0" borderId="82" xfId="0" applyFont="1" applyBorder="1" applyAlignment="1">
      <alignment horizontal="center" vertical="center"/>
    </xf>
    <xf numFmtId="0" fontId="4" fillId="0" borderId="60" xfId="0" applyFont="1" applyBorder="1" applyAlignment="1">
      <alignment horizontal="center" vertical="center" wrapText="1"/>
    </xf>
    <xf numFmtId="0" fontId="4" fillId="0" borderId="60" xfId="0" applyFont="1" applyBorder="1" applyAlignment="1">
      <alignment horizontal="center" vertical="center"/>
    </xf>
    <xf numFmtId="0" fontId="29" fillId="0" borderId="1" xfId="0" applyFont="1" applyBorder="1" applyAlignment="1">
      <alignment horizontal="center" vertical="center" wrapText="1"/>
    </xf>
    <xf numFmtId="0" fontId="29" fillId="0" borderId="50" xfId="0" applyFont="1" applyBorder="1" applyAlignment="1">
      <alignment horizontal="center" vertical="center"/>
    </xf>
    <xf numFmtId="0" fontId="29" fillId="0" borderId="3" xfId="0" applyFont="1" applyBorder="1" applyAlignment="1">
      <alignment horizontal="center" vertical="center"/>
    </xf>
    <xf numFmtId="0" fontId="4" fillId="0" borderId="61" xfId="0" applyFont="1" applyBorder="1" applyAlignment="1">
      <alignment horizontal="center" vertical="center" wrapText="1"/>
    </xf>
    <xf numFmtId="0" fontId="4" fillId="0" borderId="50" xfId="0" applyFont="1" applyBorder="1" applyAlignment="1">
      <alignment horizontal="center" vertical="center"/>
    </xf>
    <xf numFmtId="0" fontId="5" fillId="0" borderId="22" xfId="0" applyFont="1" applyBorder="1" applyAlignment="1">
      <alignment horizontal="center" vertical="center"/>
    </xf>
    <xf numFmtId="0" fontId="20" fillId="0" borderId="18" xfId="0" applyFont="1" applyFill="1" applyBorder="1" applyAlignment="1" applyProtection="1">
      <alignment horizontal="center" vertical="center" wrapText="1"/>
      <protection locked="0"/>
    </xf>
    <xf numFmtId="0" fontId="5" fillId="0" borderId="11" xfId="0" applyFont="1" applyBorder="1" applyAlignment="1" applyProtection="1">
      <alignment vertical="center" wrapText="1"/>
      <protection locked="0"/>
    </xf>
    <xf numFmtId="0" fontId="5" fillId="0" borderId="19"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12" xfId="0" applyFont="1" applyBorder="1" applyAlignment="1" applyProtection="1">
      <alignment horizontal="center" vertical="center" wrapText="1"/>
      <protection locked="0"/>
    </xf>
    <xf numFmtId="0" fontId="5" fillId="0" borderId="27" xfId="0" applyFont="1" applyBorder="1" applyAlignment="1" applyProtection="1">
      <alignment vertical="center" wrapText="1"/>
      <protection locked="0"/>
    </xf>
    <xf numFmtId="0" fontId="5" fillId="0" borderId="12" xfId="0" applyFont="1" applyBorder="1" applyAlignment="1" applyProtection="1">
      <alignment vertical="center" wrapText="1"/>
      <protection locked="0"/>
    </xf>
    <xf numFmtId="0" fontId="5" fillId="0" borderId="11" xfId="0" applyFont="1" applyBorder="1" applyAlignment="1" applyProtection="1">
      <alignment horizontal="center" vertical="center" wrapText="1"/>
      <protection locked="0"/>
    </xf>
    <xf numFmtId="0" fontId="20" fillId="0" borderId="11"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5" fillId="0" borderId="92" xfId="0" applyFont="1" applyBorder="1" applyAlignment="1" applyProtection="1">
      <alignment horizontal="center" vertical="center"/>
      <protection locked="0"/>
    </xf>
    <xf numFmtId="0" fontId="5" fillId="0" borderId="18" xfId="0" applyFont="1" applyBorder="1" applyAlignment="1" applyProtection="1">
      <alignment vertical="center"/>
      <protection locked="0"/>
    </xf>
    <xf numFmtId="0" fontId="5" fillId="0" borderId="86" xfId="0" applyFont="1" applyBorder="1" applyAlignment="1" applyProtection="1">
      <alignment vertical="center"/>
      <protection locked="0"/>
    </xf>
    <xf numFmtId="0" fontId="5" fillId="0" borderId="19" xfId="0" applyFont="1" applyBorder="1" applyAlignment="1" applyProtection="1">
      <alignment vertical="center"/>
      <protection locked="0"/>
    </xf>
    <xf numFmtId="0" fontId="5" fillId="0" borderId="51" xfId="0" applyFont="1" applyBorder="1" applyAlignment="1" applyProtection="1">
      <alignment vertical="center"/>
      <protection locked="0"/>
    </xf>
    <xf numFmtId="0" fontId="5" fillId="0" borderId="26" xfId="0" applyFont="1" applyBorder="1" applyAlignment="1" applyProtection="1">
      <alignment vertical="center"/>
      <protection locked="0"/>
    </xf>
    <xf numFmtId="0" fontId="5" fillId="0" borderId="54" xfId="0" applyFont="1" applyBorder="1" applyAlignment="1" applyProtection="1">
      <alignment vertical="center"/>
      <protection locked="0"/>
    </xf>
    <xf numFmtId="0" fontId="5" fillId="0" borderId="1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20" fillId="0" borderId="13" xfId="0" applyFont="1" applyBorder="1" applyAlignment="1" applyProtection="1">
      <alignment horizontal="center" vertical="center" wrapText="1"/>
      <protection locked="0"/>
    </xf>
    <xf numFmtId="0" fontId="20" fillId="0" borderId="20" xfId="0" applyFont="1" applyBorder="1" applyAlignment="1" applyProtection="1">
      <alignment horizontal="center" vertical="center" wrapText="1"/>
      <protection locked="0"/>
    </xf>
    <xf numFmtId="0" fontId="20" fillId="0" borderId="28" xfId="0" applyFont="1" applyBorder="1" applyAlignment="1" applyProtection="1">
      <alignment horizontal="center" vertical="center" wrapText="1"/>
      <protection locked="0"/>
    </xf>
    <xf numFmtId="14" fontId="20" fillId="0" borderId="33" xfId="0" applyNumberFormat="1" applyFont="1" applyBorder="1" applyAlignment="1" applyProtection="1">
      <alignment horizontal="center" vertical="center" wrapText="1"/>
      <protection locked="0"/>
    </xf>
    <xf numFmtId="0" fontId="2" fillId="0" borderId="24" xfId="1" applyBorder="1" applyAlignment="1">
      <alignment vertical="center" wrapText="1"/>
    </xf>
    <xf numFmtId="0" fontId="33" fillId="0" borderId="12" xfId="0" applyFont="1" applyBorder="1" applyAlignment="1">
      <alignment horizontal="left" vertical="center" wrapText="1"/>
    </xf>
    <xf numFmtId="164" fontId="0" fillId="0" borderId="19" xfId="0" applyNumberFormat="1" applyFill="1" applyBorder="1" applyAlignment="1" applyProtection="1">
      <alignment horizontal="left" vertical="center"/>
    </xf>
    <xf numFmtId="0" fontId="0" fillId="0" borderId="0" xfId="0" applyBorder="1" applyProtection="1"/>
    <xf numFmtId="0" fontId="20" fillId="0" borderId="0" xfId="0" applyFont="1" applyBorder="1" applyAlignment="1" applyProtection="1">
      <alignment horizontal="center" vertical="center"/>
    </xf>
    <xf numFmtId="0" fontId="20" fillId="0" borderId="0" xfId="0" applyFont="1" applyBorder="1" applyAlignment="1" applyProtection="1">
      <alignment horizontal="center" vertical="center" wrapText="1"/>
    </xf>
    <xf numFmtId="0" fontId="20" fillId="0" borderId="15" xfId="0" applyFont="1" applyBorder="1" applyAlignment="1" applyProtection="1">
      <alignment horizontal="center" vertical="center" wrapText="1"/>
      <protection locked="0"/>
    </xf>
    <xf numFmtId="0" fontId="0" fillId="0" borderId="19" xfId="0" applyBorder="1" applyAlignment="1" applyProtection="1">
      <alignment horizontal="left" vertical="center"/>
    </xf>
    <xf numFmtId="0" fontId="6" fillId="0" borderId="11" xfId="0" applyFont="1" applyBorder="1" applyAlignment="1" applyProtection="1">
      <alignment horizontal="left" vertical="center" wrapText="1"/>
    </xf>
    <xf numFmtId="0" fontId="6" fillId="0" borderId="19" xfId="0" applyFont="1" applyBorder="1" applyAlignment="1" applyProtection="1">
      <alignment horizontal="left" vertical="center" wrapText="1"/>
    </xf>
    <xf numFmtId="0" fontId="0" fillId="0" borderId="12" xfId="0" applyBorder="1" applyAlignment="1" applyProtection="1">
      <alignment horizontal="left" vertical="center"/>
    </xf>
    <xf numFmtId="0" fontId="20" fillId="0" borderId="0" xfId="0" applyFont="1" applyBorder="1" applyAlignment="1" applyProtection="1">
      <alignment vertical="center"/>
    </xf>
    <xf numFmtId="0" fontId="20" fillId="0" borderId="81" xfId="0" applyFont="1" applyBorder="1" applyAlignment="1">
      <alignment horizontal="center" vertical="center" wrapText="1"/>
    </xf>
    <xf numFmtId="0" fontId="20" fillId="0" borderId="19" xfId="0" applyFont="1" applyBorder="1" applyAlignment="1" applyProtection="1">
      <alignment horizontal="center" vertical="center" wrapText="1"/>
    </xf>
    <xf numFmtId="0" fontId="20" fillId="0" borderId="62" xfId="0" applyFont="1" applyBorder="1" applyAlignment="1" applyProtection="1">
      <alignment horizontal="center" vertical="center" wrapText="1"/>
    </xf>
    <xf numFmtId="0" fontId="20" fillId="0" borderId="21" xfId="0" applyFont="1" applyBorder="1" applyAlignment="1" applyProtection="1">
      <alignment horizontal="center" vertical="center" wrapText="1"/>
      <protection locked="0"/>
    </xf>
    <xf numFmtId="164" fontId="20" fillId="0" borderId="21" xfId="0" applyNumberFormat="1" applyFont="1" applyBorder="1" applyAlignment="1" applyProtection="1">
      <alignment horizontal="center" vertical="center" wrapText="1"/>
      <protection locked="0"/>
    </xf>
    <xf numFmtId="0" fontId="0" fillId="0" borderId="0" xfId="0" applyAlignment="1" applyProtection="1">
      <alignment wrapText="1"/>
    </xf>
    <xf numFmtId="164" fontId="20" fillId="0" borderId="27" xfId="0" applyNumberFormat="1" applyFont="1" applyBorder="1" applyAlignment="1" applyProtection="1">
      <alignment horizontal="center" vertical="center" wrapText="1"/>
      <protection locked="0"/>
    </xf>
    <xf numFmtId="0" fontId="20" fillId="0" borderId="30" xfId="0" applyFont="1" applyBorder="1" applyAlignment="1" applyProtection="1">
      <alignment horizontal="center" vertical="center" wrapText="1"/>
      <protection locked="0"/>
    </xf>
    <xf numFmtId="164" fontId="20" fillId="0" borderId="0" xfId="0" applyNumberFormat="1" applyFont="1" applyBorder="1" applyAlignment="1" applyProtection="1">
      <alignment horizontal="center" vertical="center" wrapText="1"/>
    </xf>
    <xf numFmtId="164" fontId="20" fillId="0" borderId="19" xfId="0" applyNumberFormat="1" applyFont="1" applyFill="1" applyBorder="1" applyAlignment="1" applyProtection="1">
      <alignment horizontal="center" vertical="center" wrapText="1"/>
      <protection locked="0"/>
    </xf>
    <xf numFmtId="0" fontId="20" fillId="0" borderId="17" xfId="0" applyFont="1" applyBorder="1" applyAlignment="1" applyProtection="1">
      <alignment horizontal="center" vertical="center" wrapText="1"/>
      <protection locked="0"/>
    </xf>
    <xf numFmtId="0" fontId="0" fillId="0" borderId="0" xfId="0" applyAlignment="1">
      <alignment vertical="center" wrapText="1"/>
    </xf>
    <xf numFmtId="0" fontId="20" fillId="0" borderId="0" xfId="0" applyFont="1" applyAlignment="1" applyProtection="1">
      <alignment wrapText="1"/>
    </xf>
    <xf numFmtId="0" fontId="20" fillId="0" borderId="77" xfId="0" applyFont="1" applyBorder="1" applyAlignment="1" applyProtection="1">
      <alignment horizontal="center" vertical="center" wrapText="1"/>
      <protection locked="0"/>
    </xf>
    <xf numFmtId="0" fontId="2" fillId="0" borderId="19" xfId="1" applyBorder="1" applyAlignment="1" applyProtection="1">
      <alignment horizontal="center" vertical="center" wrapText="1"/>
      <protection locked="0"/>
    </xf>
    <xf numFmtId="0" fontId="2" fillId="0" borderId="19" xfId="1" applyBorder="1" applyAlignment="1" applyProtection="1">
      <alignment horizontal="center" vertical="center" wrapText="1"/>
    </xf>
    <xf numFmtId="0" fontId="21" fillId="0" borderId="19" xfId="1" applyFont="1" applyBorder="1" applyAlignment="1" applyProtection="1">
      <alignment horizontal="center" vertical="center" wrapText="1"/>
      <protection locked="0"/>
    </xf>
    <xf numFmtId="0" fontId="20" fillId="0" borderId="22" xfId="0" applyFont="1" applyBorder="1" applyAlignment="1" applyProtection="1">
      <alignment horizontal="center" vertical="center" wrapText="1"/>
    </xf>
    <xf numFmtId="0" fontId="20" fillId="0" borderId="81" xfId="0" applyFont="1" applyBorder="1" applyAlignment="1" applyProtection="1">
      <alignment horizontal="center" vertical="center" wrapText="1"/>
      <protection locked="0"/>
    </xf>
    <xf numFmtId="0" fontId="20" fillId="0" borderId="9" xfId="0" applyFont="1" applyBorder="1" applyAlignment="1" applyProtection="1">
      <alignment horizontal="center" vertical="center" wrapText="1"/>
      <protection locked="0"/>
    </xf>
    <xf numFmtId="0" fontId="20" fillId="0" borderId="8"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2" xfId="0" applyFont="1" applyBorder="1" applyAlignment="1">
      <alignment horizontal="center" vertical="center" wrapText="1"/>
    </xf>
    <xf numFmtId="0" fontId="21" fillId="0" borderId="22" xfId="1" applyFont="1" applyBorder="1" applyAlignment="1" applyProtection="1">
      <alignment horizontal="center" vertical="center"/>
      <protection locked="0"/>
    </xf>
    <xf numFmtId="49" fontId="20" fillId="0" borderId="19" xfId="0" applyNumberFormat="1" applyFont="1" applyBorder="1" applyAlignment="1" applyProtection="1">
      <alignment horizontal="center" vertical="center" wrapText="1"/>
      <protection locked="0"/>
    </xf>
    <xf numFmtId="0" fontId="20" fillId="0" borderId="69" xfId="1" applyFont="1" applyBorder="1" applyAlignment="1" applyProtection="1">
      <alignment horizontal="center" vertical="center" wrapText="1"/>
      <protection locked="0"/>
    </xf>
    <xf numFmtId="0" fontId="20" fillId="0" borderId="27" xfId="1" applyFont="1" applyBorder="1" applyAlignment="1" applyProtection="1">
      <alignment horizontal="center" vertical="center" wrapText="1"/>
      <protection locked="0"/>
    </xf>
    <xf numFmtId="0" fontId="20" fillId="0" borderId="26" xfId="0" applyFont="1" applyBorder="1" applyAlignment="1" applyProtection="1">
      <alignment horizontal="center" vertical="center" wrapText="1"/>
      <protection locked="0"/>
    </xf>
    <xf numFmtId="0" fontId="20" fillId="0" borderId="19" xfId="0" quotePrefix="1"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0" fillId="0" borderId="94" xfId="0" applyBorder="1" applyAlignment="1">
      <alignment vertical="center" wrapText="1"/>
    </xf>
    <xf numFmtId="0" fontId="0" fillId="0" borderId="14" xfId="0" applyBorder="1" applyAlignment="1">
      <alignment horizontal="left" vertical="center"/>
    </xf>
    <xf numFmtId="0" fontId="2" fillId="0" borderId="49" xfId="1" applyBorder="1" applyAlignment="1">
      <alignment vertical="center"/>
    </xf>
    <xf numFmtId="0" fontId="0" fillId="0" borderId="69" xfId="0" applyBorder="1" applyAlignment="1">
      <alignment horizontal="left" vertical="center"/>
    </xf>
    <xf numFmtId="0" fontId="37" fillId="0" borderId="0" xfId="0" applyFont="1"/>
    <xf numFmtId="49" fontId="20" fillId="0" borderId="62" xfId="0" applyNumberFormat="1" applyFont="1" applyBorder="1" applyAlignment="1" applyProtection="1">
      <alignment horizontal="center" vertical="center" wrapText="1"/>
      <protection locked="0"/>
    </xf>
    <xf numFmtId="0" fontId="9" fillId="0" borderId="0" xfId="0" applyFont="1" applyAlignment="1">
      <alignment vertical="top" wrapText="1"/>
    </xf>
    <xf numFmtId="0" fontId="0" fillId="0" borderId="0" xfId="0" applyAlignment="1">
      <alignment vertical="top" wrapText="1"/>
    </xf>
    <xf numFmtId="0" fontId="27" fillId="0" borderId="0" xfId="0" applyFont="1" applyAlignment="1">
      <alignment vertical="top" wrapText="1"/>
    </xf>
    <xf numFmtId="0" fontId="9" fillId="0" borderId="0" xfId="0" applyFont="1" applyAlignment="1">
      <alignment horizontal="left" wrapText="1"/>
    </xf>
    <xf numFmtId="0" fontId="9" fillId="0" borderId="0" xfId="0" applyFont="1" applyAlignment="1">
      <alignment vertical="center" wrapText="1"/>
    </xf>
    <xf numFmtId="0" fontId="0" fillId="0" borderId="0" xfId="0" applyAlignment="1">
      <alignment vertical="center" wrapText="1"/>
    </xf>
    <xf numFmtId="0" fontId="2" fillId="0" borderId="48" xfId="1" applyBorder="1" applyAlignment="1">
      <alignment horizontal="left" vertical="center" wrapText="1"/>
    </xf>
    <xf numFmtId="0" fontId="2" fillId="0" borderId="85" xfId="1" applyBorder="1" applyAlignment="1">
      <alignment horizontal="left" vertical="center" wrapText="1"/>
    </xf>
    <xf numFmtId="0" fontId="20" fillId="0" borderId="26"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10" fillId="0" borderId="26" xfId="0" applyFont="1" applyBorder="1" applyAlignment="1">
      <alignment horizontal="center" vertical="center"/>
    </xf>
    <xf numFmtId="0" fontId="10" fillId="0" borderId="18" xfId="0" applyFont="1" applyBorder="1" applyAlignment="1">
      <alignment horizontal="center" vertical="center"/>
    </xf>
    <xf numFmtId="0" fontId="4" fillId="0" borderId="93" xfId="0" applyFont="1" applyBorder="1" applyAlignment="1">
      <alignment horizontal="center" vertical="center"/>
    </xf>
    <xf numFmtId="0" fontId="4" fillId="0" borderId="25" xfId="0" applyFont="1" applyBorder="1" applyAlignment="1">
      <alignment horizontal="center" vertical="center"/>
    </xf>
    <xf numFmtId="0" fontId="0" fillId="0" borderId="66" xfId="0" applyBorder="1" applyAlignment="1">
      <alignment horizontal="center" vertical="center"/>
    </xf>
    <xf numFmtId="0" fontId="0" fillId="0" borderId="23" xfId="0" applyBorder="1" applyAlignment="1">
      <alignment horizontal="center" vertical="center"/>
    </xf>
    <xf numFmtId="0" fontId="6" fillId="0" borderId="26" xfId="0" applyFont="1" applyBorder="1" applyAlignment="1">
      <alignment horizontal="left" vertical="center" wrapText="1"/>
    </xf>
    <xf numFmtId="0" fontId="6" fillId="0" borderId="18" xfId="0" applyFont="1" applyBorder="1" applyAlignment="1">
      <alignment horizontal="left" vertical="center" wrapText="1"/>
    </xf>
    <xf numFmtId="0" fontId="4" fillId="0" borderId="57" xfId="0" applyFont="1" applyBorder="1" applyAlignment="1">
      <alignment horizontal="center" vertical="center"/>
    </xf>
    <xf numFmtId="0" fontId="4" fillId="0" borderId="76" xfId="0" applyFont="1" applyBorder="1" applyAlignment="1">
      <alignment horizontal="center" vertical="center"/>
    </xf>
    <xf numFmtId="0" fontId="4" fillId="0" borderId="50" xfId="0" applyFont="1" applyBorder="1" applyAlignment="1">
      <alignment horizontal="center" vertical="center"/>
    </xf>
    <xf numFmtId="0" fontId="4" fillId="0" borderId="20" xfId="0" applyFont="1" applyBorder="1" applyAlignment="1">
      <alignment horizontal="center" vertical="center"/>
    </xf>
    <xf numFmtId="0" fontId="4" fillId="0" borderId="3" xfId="0" applyFont="1" applyBorder="1" applyAlignment="1">
      <alignment horizontal="center" vertical="center"/>
    </xf>
    <xf numFmtId="0" fontId="4" fillId="0" borderId="55" xfId="0" applyFont="1" applyBorder="1" applyAlignment="1">
      <alignment horizontal="center" vertical="center"/>
    </xf>
    <xf numFmtId="0" fontId="4" fillId="0" borderId="35" xfId="0" applyFont="1" applyBorder="1" applyAlignment="1">
      <alignment horizontal="center" vertical="center"/>
    </xf>
    <xf numFmtId="0" fontId="4" fillId="0" borderId="14" xfId="0" applyFont="1" applyBorder="1" applyAlignment="1">
      <alignment horizontal="center" vertical="center"/>
    </xf>
    <xf numFmtId="0" fontId="14" fillId="0" borderId="29" xfId="0" applyFont="1" applyBorder="1" applyAlignment="1">
      <alignment horizontal="center" vertical="center"/>
    </xf>
    <xf numFmtId="0" fontId="14" fillId="0" borderId="13" xfId="0" applyFont="1" applyBorder="1" applyAlignment="1">
      <alignment horizontal="center" vertical="center"/>
    </xf>
    <xf numFmtId="0" fontId="4" fillId="0" borderId="74" xfId="0" applyFont="1" applyBorder="1" applyAlignment="1">
      <alignment horizontal="center" vertical="center"/>
    </xf>
    <xf numFmtId="0" fontId="4" fillId="0" borderId="75" xfId="0" applyFont="1" applyBorder="1" applyAlignment="1">
      <alignment horizontal="center" vertical="center"/>
    </xf>
    <xf numFmtId="0" fontId="4" fillId="0" borderId="61" xfId="0" applyFont="1" applyBorder="1" applyAlignment="1">
      <alignment horizontal="center" vertical="center"/>
    </xf>
    <xf numFmtId="0" fontId="4" fillId="0" borderId="29" xfId="0" applyFont="1" applyBorder="1" applyAlignment="1">
      <alignment horizontal="center" vertical="center"/>
    </xf>
    <xf numFmtId="0" fontId="4" fillId="0" borderId="67" xfId="0" applyFont="1" applyBorder="1" applyAlignment="1">
      <alignment horizontal="center" vertical="center"/>
    </xf>
    <xf numFmtId="0" fontId="4" fillId="0" borderId="32" xfId="0" applyFont="1" applyBorder="1" applyAlignment="1">
      <alignment horizontal="center" vertical="center"/>
    </xf>
    <xf numFmtId="0" fontId="4" fillId="0" borderId="16" xfId="0" applyFont="1" applyBorder="1" applyAlignment="1">
      <alignment horizontal="center" vertical="center"/>
    </xf>
    <xf numFmtId="0" fontId="4" fillId="0" borderId="22" xfId="0" applyFont="1" applyBorder="1" applyAlignment="1">
      <alignment horizontal="center" vertical="center"/>
    </xf>
    <xf numFmtId="0" fontId="1" fillId="8" borderId="57" xfId="0" applyFont="1" applyFill="1" applyBorder="1" applyAlignment="1">
      <alignment horizontal="center"/>
    </xf>
    <xf numFmtId="0" fontId="1" fillId="8" borderId="58" xfId="0" applyFont="1" applyFill="1" applyBorder="1" applyAlignment="1">
      <alignment horizontal="center"/>
    </xf>
    <xf numFmtId="0" fontId="4" fillId="0" borderId="44" xfId="0" applyFont="1" applyBorder="1" applyAlignment="1">
      <alignment horizontal="center" vertical="center"/>
    </xf>
    <xf numFmtId="0" fontId="4" fillId="0" borderId="31" xfId="0" applyFont="1" applyBorder="1" applyAlignment="1">
      <alignment horizontal="center" vertical="center"/>
    </xf>
    <xf numFmtId="0" fontId="4" fillId="0" borderId="67" xfId="0" applyFont="1" applyFill="1" applyBorder="1" applyAlignment="1">
      <alignment horizontal="center" vertical="center"/>
    </xf>
    <xf numFmtId="0" fontId="4" fillId="0" borderId="32" xfId="0" applyFont="1" applyFill="1" applyBorder="1" applyAlignment="1">
      <alignment horizontal="center" vertical="center"/>
    </xf>
    <xf numFmtId="0" fontId="4" fillId="0" borderId="61" xfId="0" applyFont="1" applyFill="1" applyBorder="1" applyAlignment="1">
      <alignment horizontal="center" vertical="center"/>
    </xf>
    <xf numFmtId="0" fontId="4" fillId="0" borderId="29" xfId="0" applyFont="1" applyFill="1" applyBorder="1" applyAlignment="1">
      <alignment horizontal="center" vertical="center"/>
    </xf>
    <xf numFmtId="0" fontId="4" fillId="0" borderId="50" xfId="0" applyFont="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left" wrapText="1"/>
    </xf>
    <xf numFmtId="0" fontId="4" fillId="0" borderId="50" xfId="0" applyFont="1" applyBorder="1" applyAlignment="1">
      <alignment horizontal="left" vertical="center" wrapText="1"/>
    </xf>
    <xf numFmtId="0" fontId="4" fillId="0" borderId="22" xfId="0" applyFont="1" applyBorder="1" applyAlignment="1">
      <alignment horizontal="left" vertical="center" wrapText="1"/>
    </xf>
    <xf numFmtId="0" fontId="4" fillId="0" borderId="3" xfId="0" applyFont="1" applyBorder="1" applyAlignment="1">
      <alignment horizontal="left" vertical="center"/>
    </xf>
    <xf numFmtId="0" fontId="4" fillId="0" borderId="37" xfId="0" applyFont="1" applyBorder="1" applyAlignment="1">
      <alignment horizontal="left" vertical="center"/>
    </xf>
    <xf numFmtId="0" fontId="1" fillId="8" borderId="34" xfId="0" applyFont="1" applyFill="1" applyBorder="1" applyAlignment="1">
      <alignment horizontal="center" vertical="center"/>
    </xf>
    <xf numFmtId="0" fontId="1" fillId="8" borderId="56" xfId="0" applyFont="1" applyFill="1" applyBorder="1" applyAlignment="1">
      <alignment horizontal="center" vertical="center"/>
    </xf>
    <xf numFmtId="0" fontId="4" fillId="0" borderId="67" xfId="0" applyFont="1" applyBorder="1" applyAlignment="1">
      <alignment horizontal="left" vertical="center" wrapText="1"/>
    </xf>
    <xf numFmtId="0" fontId="4" fillId="0" borderId="69" xfId="0" applyFont="1" applyBorder="1" applyAlignment="1">
      <alignment horizontal="left" vertical="center" wrapText="1"/>
    </xf>
    <xf numFmtId="0" fontId="4" fillId="0" borderId="1" xfId="0" applyFont="1" applyBorder="1" applyAlignment="1">
      <alignment vertical="center" wrapText="1"/>
    </xf>
    <xf numFmtId="0" fontId="4" fillId="0" borderId="0" xfId="0" applyFont="1" applyBorder="1" applyAlignment="1">
      <alignment vertical="center" wrapText="1"/>
    </xf>
    <xf numFmtId="0" fontId="4" fillId="0" borderId="50" xfId="0" applyFont="1" applyBorder="1" applyAlignment="1">
      <alignment vertical="center"/>
    </xf>
    <xf numFmtId="0" fontId="4" fillId="0" borderId="22" xfId="0" applyFont="1" applyBorder="1" applyAlignment="1">
      <alignment vertical="center"/>
    </xf>
    <xf numFmtId="0" fontId="4" fillId="0" borderId="50" xfId="0" applyFont="1" applyBorder="1" applyAlignment="1">
      <alignment vertical="center" wrapText="1"/>
    </xf>
    <xf numFmtId="0" fontId="4" fillId="0" borderId="22" xfId="0" applyFont="1" applyBorder="1" applyAlignment="1">
      <alignment vertical="center" wrapText="1"/>
    </xf>
    <xf numFmtId="0" fontId="4" fillId="0" borderId="3" xfId="0" applyFont="1" applyBorder="1" applyAlignment="1">
      <alignment horizontal="left" vertical="center" wrapText="1"/>
    </xf>
    <xf numFmtId="0" fontId="4" fillId="0" borderId="37" xfId="0" applyFont="1" applyBorder="1" applyAlignment="1">
      <alignment horizontal="left" vertical="center" wrapText="1"/>
    </xf>
    <xf numFmtId="0" fontId="4" fillId="0" borderId="61" xfId="0" applyFont="1" applyBorder="1" applyAlignment="1">
      <alignment horizontal="left" vertical="center" wrapText="1"/>
    </xf>
    <xf numFmtId="0" fontId="4" fillId="0" borderId="28" xfId="0" applyFont="1" applyBorder="1" applyAlignment="1">
      <alignment horizontal="left" vertical="center" wrapText="1"/>
    </xf>
    <xf numFmtId="0" fontId="20" fillId="0" borderId="81" xfId="0" applyFont="1" applyBorder="1" applyAlignment="1">
      <alignment horizontal="center" vertical="center" wrapText="1"/>
    </xf>
    <xf numFmtId="0" fontId="20" fillId="0" borderId="22" xfId="0" applyFont="1" applyBorder="1" applyAlignment="1">
      <alignment horizontal="center" vertical="center" wrapText="1"/>
    </xf>
    <xf numFmtId="0" fontId="4" fillId="0" borderId="20" xfId="0" applyFont="1" applyBorder="1" applyAlignment="1">
      <alignment horizontal="left" vertical="center" wrapText="1"/>
    </xf>
    <xf numFmtId="0" fontId="20" fillId="0" borderId="9" xfId="0" applyFont="1" applyBorder="1" applyAlignment="1">
      <alignment horizontal="center" vertical="center"/>
    </xf>
    <xf numFmtId="0" fontId="20" fillId="0" borderId="37" xfId="0" applyFont="1" applyBorder="1" applyAlignment="1">
      <alignment horizontal="center" vertical="center"/>
    </xf>
    <xf numFmtId="0" fontId="1" fillId="8" borderId="53" xfId="0" applyFont="1" applyFill="1" applyBorder="1" applyAlignment="1">
      <alignment horizontal="center" vertical="center"/>
    </xf>
    <xf numFmtId="0" fontId="20" fillId="0" borderId="67" xfId="0" applyFont="1" applyBorder="1" applyAlignment="1" applyProtection="1">
      <alignment horizontal="center" vertical="center" wrapText="1"/>
      <protection locked="0"/>
    </xf>
    <xf numFmtId="0" fontId="20" fillId="0" borderId="69" xfId="0" applyFont="1" applyBorder="1" applyAlignment="1" applyProtection="1">
      <alignment horizontal="center" vertical="center" wrapText="1"/>
      <protection locked="0"/>
    </xf>
    <xf numFmtId="0" fontId="20" fillId="0" borderId="70" xfId="0" applyFont="1" applyBorder="1" applyAlignment="1" applyProtection="1">
      <alignment horizontal="center" vertical="center" wrapText="1"/>
      <protection locked="0"/>
    </xf>
    <xf numFmtId="0" fontId="20" fillId="0" borderId="68" xfId="0" applyFont="1" applyBorder="1" applyAlignment="1" applyProtection="1">
      <alignment horizontal="center" vertical="center" wrapText="1"/>
      <protection locked="0"/>
    </xf>
    <xf numFmtId="0" fontId="20" fillId="0" borderId="63" xfId="0" applyFont="1" applyBorder="1" applyAlignment="1" applyProtection="1">
      <alignment horizontal="center" vertical="center" wrapText="1"/>
      <protection locked="0"/>
    </xf>
    <xf numFmtId="0" fontId="20" fillId="0" borderId="71" xfId="0" applyFont="1" applyBorder="1" applyAlignment="1" applyProtection="1">
      <alignment horizontal="center" vertical="center" wrapText="1"/>
      <protection locked="0"/>
    </xf>
    <xf numFmtId="0" fontId="20" fillId="0" borderId="3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0" fontId="20" fillId="0" borderId="55" xfId="0" applyFont="1" applyBorder="1" applyAlignment="1" applyProtection="1">
      <alignment horizontal="center" vertical="center" wrapText="1"/>
      <protection locked="0"/>
    </xf>
    <xf numFmtId="0" fontId="1" fillId="8" borderId="89" xfId="0" applyFont="1" applyFill="1" applyBorder="1" applyAlignment="1">
      <alignment horizontal="center"/>
    </xf>
    <xf numFmtId="0" fontId="1" fillId="8" borderId="53" xfId="0" applyFont="1" applyFill="1" applyBorder="1" applyAlignment="1">
      <alignment horizontal="center"/>
    </xf>
    <xf numFmtId="0" fontId="6" fillId="0" borderId="80" xfId="0" applyFont="1" applyBorder="1" applyAlignment="1">
      <alignment horizontal="left" vertical="center" wrapText="1"/>
    </xf>
    <xf numFmtId="0" fontId="6" fillId="0" borderId="70" xfId="0" applyFont="1" applyBorder="1" applyAlignment="1">
      <alignment horizontal="left" vertical="center" wrapText="1"/>
    </xf>
    <xf numFmtId="0" fontId="0" fillId="0" borderId="9" xfId="0" applyBorder="1" applyAlignment="1">
      <alignment horizontal="left" vertical="center" wrapText="1"/>
    </xf>
    <xf numFmtId="0" fontId="0" fillId="0" borderId="4" xfId="0" applyBorder="1" applyAlignment="1">
      <alignment horizontal="left" vertical="center" wrapText="1"/>
    </xf>
    <xf numFmtId="0" fontId="1" fillId="8" borderId="90" xfId="0" applyFont="1" applyFill="1" applyBorder="1" applyAlignment="1">
      <alignment horizontal="center" vertical="center"/>
    </xf>
    <xf numFmtId="0" fontId="1" fillId="2" borderId="57" xfId="0" applyFont="1" applyFill="1" applyBorder="1" applyAlignment="1">
      <alignment horizontal="center" vertical="center"/>
    </xf>
    <xf numFmtId="0" fontId="1" fillId="2" borderId="58" xfId="0" applyFont="1" applyFill="1" applyBorder="1" applyAlignment="1">
      <alignment horizontal="center" vertical="center"/>
    </xf>
    <xf numFmtId="0" fontId="0" fillId="0" borderId="61" xfId="0" applyBorder="1" applyAlignment="1">
      <alignment horizontal="center" vertical="center"/>
    </xf>
    <xf numFmtId="0" fontId="0" fillId="0" borderId="29" xfId="0" applyBorder="1" applyAlignment="1">
      <alignment horizontal="center" vertical="center"/>
    </xf>
    <xf numFmtId="0" fontId="0" fillId="0" borderId="1" xfId="0" applyFill="1" applyBorder="1" applyAlignment="1">
      <alignment horizontal="center" vertical="center"/>
    </xf>
    <xf numFmtId="0" fontId="0" fillId="0" borderId="13" xfId="0" applyFill="1"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55" xfId="0" applyBorder="1" applyAlignment="1">
      <alignment horizontal="center" vertical="center"/>
    </xf>
    <xf numFmtId="0" fontId="1" fillId="0" borderId="5" xfId="0" applyFont="1" applyBorder="1" applyAlignment="1">
      <alignment horizontal="left" wrapText="1"/>
    </xf>
    <xf numFmtId="0" fontId="1" fillId="0" borderId="91" xfId="0" applyFont="1" applyBorder="1" applyAlignment="1">
      <alignment horizontal="left" wrapText="1"/>
    </xf>
    <xf numFmtId="0" fontId="1" fillId="0" borderId="0" xfId="0" applyFont="1" applyAlignment="1">
      <alignment horizontal="left" wrapText="1"/>
    </xf>
    <xf numFmtId="0" fontId="0" fillId="0" borderId="0" xfId="0" applyBorder="1" applyAlignment="1">
      <alignment horizontal="left" vertical="center" wrapText="1"/>
    </xf>
    <xf numFmtId="0" fontId="0" fillId="0" borderId="37" xfId="0" applyBorder="1" applyAlignment="1">
      <alignment horizontal="left" vertical="center" wrapText="1"/>
    </xf>
    <xf numFmtId="0" fontId="8" fillId="0" borderId="0" xfId="0" applyFont="1" applyAlignment="1">
      <alignment horizontal="center"/>
    </xf>
    <xf numFmtId="0" fontId="16" fillId="0" borderId="0" xfId="0" applyFont="1" applyAlignment="1">
      <alignment horizontal="center"/>
    </xf>
    <xf numFmtId="0" fontId="11" fillId="0" borderId="0" xfId="0" applyFont="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0" xfId="0" applyFont="1" applyBorder="1" applyAlignment="1">
      <alignment horizontal="center" vertical="center"/>
    </xf>
    <xf numFmtId="0" fontId="11" fillId="0" borderId="0" xfId="0" applyFont="1" applyBorder="1" applyAlignment="1">
      <alignment horizontal="center"/>
    </xf>
    <xf numFmtId="49" fontId="20" fillId="0" borderId="27" xfId="0" applyNumberFormat="1" applyFont="1" applyBorder="1" applyAlignment="1" applyProtection="1">
      <alignment horizontal="center" vertical="center" wrapText="1"/>
      <protection locked="0"/>
    </xf>
    <xf numFmtId="49" fontId="20" fillId="0" borderId="21" xfId="0" applyNumberFormat="1" applyFont="1" applyBorder="1" applyAlignment="1" applyProtection="1">
      <alignment horizontal="center" vertical="center" wrapText="1"/>
      <protection locked="0"/>
    </xf>
    <xf numFmtId="49" fontId="20" fillId="0" borderId="18" xfId="0" applyNumberFormat="1" applyFont="1" applyBorder="1" applyAlignment="1" applyProtection="1">
      <alignment horizontal="center" vertical="center" wrapText="1"/>
      <protection locked="0"/>
    </xf>
    <xf numFmtId="0" fontId="20" fillId="0" borderId="30" xfId="0" applyFont="1" applyBorder="1" applyAlignment="1" applyProtection="1">
      <alignment horizontal="center" vertical="center" wrapText="1"/>
    </xf>
    <xf numFmtId="0" fontId="0" fillId="0" borderId="33" xfId="0" applyBorder="1" applyAlignment="1" applyProtection="1">
      <alignment horizontal="left" vertical="center"/>
    </xf>
    <xf numFmtId="0" fontId="20" fillId="0" borderId="63" xfId="0" applyFont="1" applyBorder="1" applyAlignment="1" applyProtection="1">
      <alignment horizontal="center" vertical="center" wrapText="1"/>
    </xf>
    <xf numFmtId="0" fontId="20" fillId="0" borderId="12" xfId="0" applyFont="1" applyBorder="1" applyAlignment="1" applyProtection="1">
      <alignment horizontal="center" vertical="center" wrapText="1"/>
    </xf>
  </cellXfs>
  <cellStyles count="2">
    <cellStyle name="Hyperlink" xfId="1" builtinId="8"/>
    <cellStyle name="Normal" xfId="0" builtinId="0"/>
  </cellStyles>
  <dxfs count="2">
    <dxf>
      <font>
        <color rgb="FFFF0000"/>
      </font>
      <fill>
        <patternFill>
          <bgColor rgb="FFFF0000"/>
        </patternFill>
      </fill>
    </dxf>
    <dxf>
      <font>
        <color theme="0"/>
      </font>
      <fill>
        <patternFill>
          <bgColor theme="0"/>
        </patternFill>
      </fill>
      <border>
        <left/>
        <right/>
        <top/>
        <bottom/>
      </border>
    </dxf>
  </dxfs>
  <tableStyles count="0" defaultTableStyle="TableStyleMedium2" defaultPivotStyle="PivotStyleLight16"/>
  <colors>
    <mruColors>
      <color rgb="FF0000FF"/>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fmlaLink="synthese!$B$208" lockText="1" noThreeD="1"/>
</file>

<file path=xl/ctrlProps/ctrlProp2.xml><?xml version="1.0" encoding="utf-8"?>
<formControlPr xmlns="http://schemas.microsoft.com/office/spreadsheetml/2009/9/main" objectType="CheckBox" fmlaLink="synthese!$A$149" lockText="1" noThreeD="1"/>
</file>

<file path=xl/ctrlProps/ctrlProp3.xml><?xml version="1.0" encoding="utf-8"?>
<formControlPr xmlns="http://schemas.microsoft.com/office/spreadsheetml/2009/9/main" objectType="CheckBox" fmlaLink="synthese!$A$150" lockText="1" noThreeD="1"/>
</file>

<file path=xl/ctrlProps/ctrlProp4.xml><?xml version="1.0" encoding="utf-8"?>
<formControlPr xmlns="http://schemas.microsoft.com/office/spreadsheetml/2009/9/main" objectType="CheckBox" fmlaLink="synthese!$A$151" lockText="1" noThreeD="1"/>
</file>

<file path=xl/ctrlProps/ctrlProp5.xml><?xml version="1.0" encoding="utf-8"?>
<formControlPr xmlns="http://schemas.microsoft.com/office/spreadsheetml/2009/9/main" objectType="CheckBox" fmlaLink="synthese!$A$152" lockText="1" noThreeD="1"/>
</file>

<file path=xl/ctrlProps/ctrlProp6.xml><?xml version="1.0" encoding="utf-8"?>
<formControlPr xmlns="http://schemas.microsoft.com/office/spreadsheetml/2009/9/main" objectType="CheckBox" fmlaLink="synthese!$A$153" lockText="1" noThreeD="1"/>
</file>

<file path=xl/ctrlProps/ctrlProp7.xml><?xml version="1.0" encoding="utf-8"?>
<formControlPr xmlns="http://schemas.microsoft.com/office/spreadsheetml/2009/9/main" objectType="CheckBox" fmlaLink="synthese!$A$154" lockText="1" noThreeD="1"/>
</file>

<file path=xl/ctrlProps/ctrlProp8.xml><?xml version="1.0" encoding="utf-8"?>
<formControlPr xmlns="http://schemas.microsoft.com/office/spreadsheetml/2009/9/main" objectType="CheckBox" fmlaLink="synthese!$A$159" lockText="1" noThreeD="1"/>
</file>

<file path=xl/ctrlProps/ctrlProp9.xml><?xml version="1.0" encoding="utf-8"?>
<formControlPr xmlns="http://schemas.microsoft.com/office/spreadsheetml/2009/9/main" objectType="CheckBox" fmlaLink="synthese!$A$160" lockText="1" noThreeD="1"/>
</file>

<file path=xl/ctrlProps/ctrlProp10.xml><?xml version="1.0" encoding="utf-8"?>
<formControlPr xmlns="http://schemas.microsoft.com/office/spreadsheetml/2009/9/main" objectType="CheckBox" fmlaLink="synthese!$A$164" lockText="1" noThreeD="1"/>
</file>

<file path=xl/ctrlProps/ctrlProp11.xml><?xml version="1.0" encoding="utf-8"?>
<formControlPr xmlns="http://schemas.microsoft.com/office/spreadsheetml/2009/9/main" objectType="CheckBox" fmlaLink="synthese!$A$165" lockText="1" noThreeD="1"/>
</file>

<file path=xl/ctrlProps/ctrlProp12.xml><?xml version="1.0" encoding="utf-8"?>
<formControlPr xmlns="http://schemas.microsoft.com/office/spreadsheetml/2009/9/main" objectType="CheckBox" fmlaLink="synthese!$A$166" lockText="1" noThreeD="1"/>
</file>

<file path=xl/ctrlProps/ctrlProp13.xml><?xml version="1.0" encoding="utf-8"?>
<formControlPr xmlns="http://schemas.microsoft.com/office/spreadsheetml/2009/9/main" objectType="CheckBox" fmlaLink="synthese!$A$167" lockText="1" noThreeD="1"/>
</file>

<file path=xl/ctrlProps/ctrlProp14.xml><?xml version="1.0" encoding="utf-8"?>
<formControlPr xmlns="http://schemas.microsoft.com/office/spreadsheetml/2009/9/main" objectType="CheckBox" fmlaLink="synthese!$A$168" lockText="1" noThreeD="1"/>
</file>

<file path=xl/ctrlProps/ctrlProp15.xml><?xml version="1.0" encoding="utf-8"?>
<formControlPr xmlns="http://schemas.microsoft.com/office/spreadsheetml/2009/9/main" objectType="CheckBox" fmlaLink="synthese!$A$169" lockText="1" noThreeD="1"/>
</file>

<file path=xl/ctrlProps/ctrlProp16.xml><?xml version="1.0" encoding="utf-8"?>
<formControlPr xmlns="http://schemas.microsoft.com/office/spreadsheetml/2009/9/main" objectType="CheckBox" fmlaLink="synthese!$A$170" lockText="1" noThreeD="1"/>
</file>

<file path=xl/ctrlProps/ctrlProp17.xml><?xml version="1.0" encoding="utf-8"?>
<formControlPr xmlns="http://schemas.microsoft.com/office/spreadsheetml/2009/9/main" objectType="CheckBox" fmlaLink="synthese!$B$71"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fmlaLink="synthese!$B$72" lockText="1" noThreeD="1"/>
</file>

<file path=xl/ctrlProps/ctrlProp27.xml><?xml version="1.0" encoding="utf-8"?>
<formControlPr xmlns="http://schemas.microsoft.com/office/spreadsheetml/2009/9/main" objectType="CheckBox" fmlaLink="synthese!$B$73" lockText="1" noThreeD="1"/>
</file>

<file path=xl/ctrlProps/ctrlProp28.xml><?xml version="1.0" encoding="utf-8"?>
<formControlPr xmlns="http://schemas.microsoft.com/office/spreadsheetml/2009/9/main" objectType="CheckBox" fmlaLink="synthese!$B$74" lockText="1" noThreeD="1"/>
</file>

<file path=xl/ctrlProps/ctrlProp29.xml><?xml version="1.0" encoding="utf-8"?>
<formControlPr xmlns="http://schemas.microsoft.com/office/spreadsheetml/2009/9/main" objectType="CheckBox" fmlaLink="synthese!$B$75" lockText="1" noThreeD="1"/>
</file>

<file path=xl/ctrlProps/ctrlProp30.xml><?xml version="1.0" encoding="utf-8"?>
<formControlPr xmlns="http://schemas.microsoft.com/office/spreadsheetml/2009/9/main" objectType="CheckBox" fmlaLink="synthese!$B$76" lockText="1" noThreeD="1"/>
</file>

<file path=xl/ctrlProps/ctrlProp31.xml><?xml version="1.0" encoding="utf-8"?>
<formControlPr xmlns="http://schemas.microsoft.com/office/spreadsheetml/2009/9/main" objectType="CheckBox" fmlaLink="synthese!$B$77" lockText="1" noThreeD="1"/>
</file>

<file path=xl/ctrlProps/ctrlProp32.xml><?xml version="1.0" encoding="utf-8"?>
<formControlPr xmlns="http://schemas.microsoft.com/office/spreadsheetml/2009/9/main" objectType="CheckBox" fmlaLink="synthese!$B$78" lockText="1" noThreeD="1"/>
</file>

<file path=xl/ctrlProps/ctrlProp33.xml><?xml version="1.0" encoding="utf-8"?>
<formControlPr xmlns="http://schemas.microsoft.com/office/spreadsheetml/2009/9/main" objectType="CheckBox" fmlaLink="synthese!$B$79" lockText="1" noThreeD="1"/>
</file>

<file path=xl/ctrlProps/ctrlProp34.xml><?xml version="1.0" encoding="utf-8"?>
<formControlPr xmlns="http://schemas.microsoft.com/office/spreadsheetml/2009/9/main" objectType="CheckBox" fmlaLink="synthese!$C$71" lockText="1" noThreeD="1"/>
</file>

<file path=xl/ctrlProps/ctrlProp35.xml><?xml version="1.0" encoding="utf-8"?>
<formControlPr xmlns="http://schemas.microsoft.com/office/spreadsheetml/2009/9/main" objectType="CheckBox" fmlaLink="synthese!$C$72" lockText="1" noThreeD="1"/>
</file>

<file path=xl/ctrlProps/ctrlProp36.xml><?xml version="1.0" encoding="utf-8"?>
<formControlPr xmlns="http://schemas.microsoft.com/office/spreadsheetml/2009/9/main" objectType="CheckBox" fmlaLink="synthese!$C$73" lockText="1" noThreeD="1"/>
</file>

<file path=xl/ctrlProps/ctrlProp37.xml><?xml version="1.0" encoding="utf-8"?>
<formControlPr xmlns="http://schemas.microsoft.com/office/spreadsheetml/2009/9/main" objectType="CheckBox" fmlaLink="synthese!$C$71" lockText="1" noThreeD="1"/>
</file>

<file path=xl/ctrlProps/ctrlProp38.xml><?xml version="1.0" encoding="utf-8"?>
<formControlPr xmlns="http://schemas.microsoft.com/office/spreadsheetml/2009/9/main" objectType="CheckBox" fmlaLink="synthese!$C$74" lockText="1" noThreeD="1"/>
</file>

<file path=xl/ctrlProps/ctrlProp39.xml><?xml version="1.0" encoding="utf-8"?>
<formControlPr xmlns="http://schemas.microsoft.com/office/spreadsheetml/2009/9/main" objectType="CheckBox" fmlaLink="synthese!$C$71" lockText="1" noThreeD="1"/>
</file>

<file path=xl/ctrlProps/ctrlProp40.xml><?xml version="1.0" encoding="utf-8"?>
<formControlPr xmlns="http://schemas.microsoft.com/office/spreadsheetml/2009/9/main" objectType="CheckBox" fmlaLink="synthese!$C$75" lockText="1" noThreeD="1"/>
</file>

<file path=xl/ctrlProps/ctrlProp41.xml><?xml version="1.0" encoding="utf-8"?>
<formControlPr xmlns="http://schemas.microsoft.com/office/spreadsheetml/2009/9/main" objectType="CheckBox" fmlaLink="synthese!$C$71" lockText="1" noThreeD="1"/>
</file>

<file path=xl/ctrlProps/ctrlProp42.xml><?xml version="1.0" encoding="utf-8"?>
<formControlPr xmlns="http://schemas.microsoft.com/office/spreadsheetml/2009/9/main" objectType="CheckBox" fmlaLink="synthese!$C$76" lockText="1" noThreeD="1"/>
</file>

<file path=xl/ctrlProps/ctrlProp43.xml><?xml version="1.0" encoding="utf-8"?>
<formControlPr xmlns="http://schemas.microsoft.com/office/spreadsheetml/2009/9/main" objectType="CheckBox" fmlaLink="synthese!$C$71" lockText="1" noThreeD="1"/>
</file>

<file path=xl/ctrlProps/ctrlProp44.xml><?xml version="1.0" encoding="utf-8"?>
<formControlPr xmlns="http://schemas.microsoft.com/office/spreadsheetml/2009/9/main" objectType="CheckBox" fmlaLink="synthese!$C$77" lockText="1" noThreeD="1"/>
</file>

<file path=xl/ctrlProps/ctrlProp45.xml><?xml version="1.0" encoding="utf-8"?>
<formControlPr xmlns="http://schemas.microsoft.com/office/spreadsheetml/2009/9/main" objectType="CheckBox" fmlaLink="synthese!$C$71" lockText="1" noThreeD="1"/>
</file>

<file path=xl/ctrlProps/ctrlProp46.xml><?xml version="1.0" encoding="utf-8"?>
<formControlPr xmlns="http://schemas.microsoft.com/office/spreadsheetml/2009/9/main" objectType="CheckBox" fmlaLink="synthese!$C$78" lockText="1" noThreeD="1"/>
</file>

<file path=xl/ctrlProps/ctrlProp47.xml><?xml version="1.0" encoding="utf-8"?>
<formControlPr xmlns="http://schemas.microsoft.com/office/spreadsheetml/2009/9/main" objectType="CheckBox" fmlaLink="synthese!$C$71" lockText="1" noThreeD="1"/>
</file>

<file path=xl/ctrlProps/ctrlProp48.xml><?xml version="1.0" encoding="utf-8"?>
<formControlPr xmlns="http://schemas.microsoft.com/office/spreadsheetml/2009/9/main" objectType="CheckBox" fmlaLink="synthese!$C$79" lockText="1" noThreeD="1"/>
</file>

<file path=xl/ctrlProps/ctrlProp49.xml><?xml version="1.0" encoding="utf-8"?>
<formControlPr xmlns="http://schemas.microsoft.com/office/spreadsheetml/2009/9/main" objectType="CheckBox" fmlaLink="synthese!$B$67" lockText="1" noThreeD="1"/>
</file>

<file path=xl/ctrlProps/ctrlProp50.xml><?xml version="1.0" encoding="utf-8"?>
<formControlPr xmlns="http://schemas.microsoft.com/office/spreadsheetml/2009/9/main" objectType="CheckBox" fmlaLink="synthese!$B$80"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synthese!$B$81" lockText="1" noThreeD="1"/>
</file>

<file path=xl/ctrlProps/ctrlProp55.xml><?xml version="1.0" encoding="utf-8"?>
<formControlPr xmlns="http://schemas.microsoft.com/office/spreadsheetml/2009/9/main" objectType="CheckBox" fmlaLink="synthese!$B$82" lockText="1" noThreeD="1"/>
</file>

<file path=xl/ctrlProps/ctrlProp56.xml><?xml version="1.0" encoding="utf-8"?>
<formControlPr xmlns="http://schemas.microsoft.com/office/spreadsheetml/2009/9/main" objectType="CheckBox" fmlaLink="synthese!$B$83" lockText="1" noThreeD="1"/>
</file>

<file path=xl/ctrlProps/ctrlProp57.xml><?xml version="1.0" encoding="utf-8"?>
<formControlPr xmlns="http://schemas.microsoft.com/office/spreadsheetml/2009/9/main" objectType="CheckBox" fmlaLink="synthese!$C$80" lockText="1" noThreeD="1"/>
</file>

<file path=xl/ctrlProps/ctrlProp58.xml><?xml version="1.0" encoding="utf-8"?>
<formControlPr xmlns="http://schemas.microsoft.com/office/spreadsheetml/2009/9/main" objectType="CheckBox" fmlaLink="synthese!$C$81" lockText="1" noThreeD="1"/>
</file>

<file path=xl/ctrlProps/ctrlProp59.xml><?xml version="1.0" encoding="utf-8"?>
<formControlPr xmlns="http://schemas.microsoft.com/office/spreadsheetml/2009/9/main" objectType="CheckBox" fmlaLink="synthese!$C$82" lockText="1" noThreeD="1"/>
</file>

<file path=xl/ctrlProps/ctrlProp60.xml><?xml version="1.0" encoding="utf-8"?>
<formControlPr xmlns="http://schemas.microsoft.com/office/spreadsheetml/2009/9/main" objectType="CheckBox" fmlaLink="synthese!$C$71" lockText="1" noThreeD="1"/>
</file>

<file path=xl/ctrlProps/ctrlProp61.xml><?xml version="1.0" encoding="utf-8"?>
<formControlPr xmlns="http://schemas.microsoft.com/office/spreadsheetml/2009/9/main" objectType="CheckBox" fmlaLink="synthese!$C$83" lockText="1" noThreeD="1"/>
</file>

<file path=xl/ctrlProps/ctrlProp62.xml><?xml version="1.0" encoding="utf-8"?>
<formControlPr xmlns="http://schemas.microsoft.com/office/spreadsheetml/2009/9/main" objectType="CheckBox" fmlaLink="synthese!$B$84" lockText="1" noThreeD="1"/>
</file>

<file path=xl/ctrlProps/ctrlProp63.xml><?xml version="1.0" encoding="utf-8"?>
<formControlPr xmlns="http://schemas.microsoft.com/office/spreadsheetml/2009/9/main" objectType="CheckBox" fmlaLink="synthese!$C$84" lockText="1" noThreeD="1"/>
</file>

<file path=xl/ctrlProps/ctrlProp64.xml><?xml version="1.0" encoding="utf-8"?>
<formControlPr xmlns="http://schemas.microsoft.com/office/spreadsheetml/2009/9/main" objectType="CheckBox" fmlaLink="synthese!$B$85" lockText="1" noThreeD="1"/>
</file>

<file path=xl/ctrlProps/ctrlProp65.xml><?xml version="1.0" encoding="utf-8"?>
<formControlPr xmlns="http://schemas.microsoft.com/office/spreadsheetml/2009/9/main" objectType="CheckBox" fmlaLink="synthese!$C$85" lockText="1" noThreeD="1"/>
</file>

<file path=xl/ctrlProps/ctrlProp66.xml><?xml version="1.0" encoding="utf-8"?>
<formControlPr xmlns="http://schemas.microsoft.com/office/spreadsheetml/2009/9/main" objectType="CheckBox" fmlaLink="synthese!$B$86" lockText="1" noThreeD="1"/>
</file>

<file path=xl/ctrlProps/ctrlProp67.xml><?xml version="1.0" encoding="utf-8"?>
<formControlPr xmlns="http://schemas.microsoft.com/office/spreadsheetml/2009/9/main" objectType="CheckBox" fmlaLink="synthese!$C$86" lockText="1" noThreeD="1"/>
</file>

<file path=xl/ctrlProps/ctrlProp68.xml><?xml version="1.0" encoding="utf-8"?>
<formControlPr xmlns="http://schemas.microsoft.com/office/spreadsheetml/2009/9/main" objectType="CheckBox" fmlaLink="synthese!$C$71" lockText="1" noThreeD="1"/>
</file>

<file path=xl/ctrlProps/ctrlProp69.xml><?xml version="1.0" encoding="utf-8"?>
<formControlPr xmlns="http://schemas.microsoft.com/office/spreadsheetml/2009/9/main" objectType="CheckBox" fmlaLink="synthese!$B$87" lockText="1" noThreeD="1"/>
</file>

<file path=xl/ctrlProps/ctrlProp70.xml><?xml version="1.0" encoding="utf-8"?>
<formControlPr xmlns="http://schemas.microsoft.com/office/spreadsheetml/2009/9/main" objectType="CheckBox" fmlaLink="synthese!$C$87" lockText="1" noThreeD="1"/>
</file>

<file path=xl/ctrlProps/ctrlProp71.xml><?xml version="1.0" encoding="utf-8"?>
<formControlPr xmlns="http://schemas.microsoft.com/office/spreadsheetml/2009/9/main" objectType="CheckBox" fmlaLink="synthese!$C$71" lockText="1" noThreeD="1"/>
</file>

<file path=xl/ctrlProps/ctrlProp72.xml><?xml version="1.0" encoding="utf-8"?>
<formControlPr xmlns="http://schemas.microsoft.com/office/spreadsheetml/2009/9/main" objectType="CheckBox" fmlaLink="synthese!$B$88" lockText="1" noThreeD="1"/>
</file>

<file path=xl/ctrlProps/ctrlProp73.xml><?xml version="1.0" encoding="utf-8"?>
<formControlPr xmlns="http://schemas.microsoft.com/office/spreadsheetml/2009/9/main" objectType="CheckBox" fmlaLink="synthese!$C$88" lockText="1" noThreeD="1"/>
</file>

<file path=xl/ctrlProps/ctrlProp74.xml><?xml version="1.0" encoding="utf-8"?>
<formControlPr xmlns="http://schemas.microsoft.com/office/spreadsheetml/2009/9/main" objectType="CheckBox" fmlaLink="synthese!$C$71" lockText="1" noThreeD="1"/>
</file>

<file path=xl/ctrlProps/ctrlProp75.xml><?xml version="1.0" encoding="utf-8"?>
<formControlPr xmlns="http://schemas.microsoft.com/office/spreadsheetml/2009/9/main" objectType="CheckBox" fmlaLink="synthese!$B$89" lockText="1" noThreeD="1"/>
</file>

<file path=xl/ctrlProps/ctrlProp76.xml><?xml version="1.0" encoding="utf-8"?>
<formControlPr xmlns="http://schemas.microsoft.com/office/spreadsheetml/2009/9/main" objectType="CheckBox" fmlaLink="synthese!$C$89" lockText="1" noThreeD="1"/>
</file>

<file path=xl/ctrlProps/ctrlProp77.xml><?xml version="1.0" encoding="utf-8"?>
<formControlPr xmlns="http://schemas.microsoft.com/office/spreadsheetml/2009/9/main" objectType="CheckBox" fmlaLink="synthese!$C$71" lockText="1" noThreeD="1"/>
</file>

<file path=xl/ctrlProps/ctrlProp78.xml><?xml version="1.0" encoding="utf-8"?>
<formControlPr xmlns="http://schemas.microsoft.com/office/spreadsheetml/2009/9/main" objectType="CheckBox" fmlaLink="synthese!$B$90" lockText="1" noThreeD="1"/>
</file>

<file path=xl/ctrlProps/ctrlProp79.xml><?xml version="1.0" encoding="utf-8"?>
<formControlPr xmlns="http://schemas.microsoft.com/office/spreadsheetml/2009/9/main" objectType="CheckBox" fmlaLink="synthese!$C$90" lockText="1" noThreeD="1"/>
</file>

<file path=xl/ctrlProps/ctrlProp80.xml><?xml version="1.0" encoding="utf-8"?>
<formControlPr xmlns="http://schemas.microsoft.com/office/spreadsheetml/2009/9/main" objectType="CheckBox" fmlaLink="synthese!$C$71" lockText="1" noThreeD="1"/>
</file>

<file path=xl/ctrlProps/ctrlProp81.xml><?xml version="1.0" encoding="utf-8"?>
<formControlPr xmlns="http://schemas.microsoft.com/office/spreadsheetml/2009/9/main" objectType="CheckBox" fmlaLink="synthese!$B$91" lockText="1" noThreeD="1"/>
</file>

<file path=xl/ctrlProps/ctrlProp82.xml><?xml version="1.0" encoding="utf-8"?>
<formControlPr xmlns="http://schemas.microsoft.com/office/spreadsheetml/2009/9/main" objectType="CheckBox" fmlaLink="synthese!$C$91" lockText="1" noThreeD="1"/>
</file>

<file path=xl/ctrlProps/ctrlProp83.xml><?xml version="1.0" encoding="utf-8"?>
<formControlPr xmlns="http://schemas.microsoft.com/office/spreadsheetml/2009/9/main" objectType="CheckBox" fmlaLink="synthese!$C$71" lockText="1" noThreeD="1"/>
</file>

<file path=xl/ctrlProps/ctrlProp84.xml><?xml version="1.0" encoding="utf-8"?>
<formControlPr xmlns="http://schemas.microsoft.com/office/spreadsheetml/2009/9/main" objectType="CheckBox" fmlaLink="synthese!$B$92" lockText="1" noThreeD="1"/>
</file>

<file path=xl/ctrlProps/ctrlProp85.xml><?xml version="1.0" encoding="utf-8"?>
<formControlPr xmlns="http://schemas.microsoft.com/office/spreadsheetml/2009/9/main" objectType="CheckBox" fmlaLink="synthese!$C$92" lockText="1" noThreeD="1"/>
</file>

<file path=xl/ctrlProps/ctrlProp86.xml><?xml version="1.0" encoding="utf-8"?>
<formControlPr xmlns="http://schemas.microsoft.com/office/spreadsheetml/2009/9/main" objectType="CheckBox" fmlaLink="synthese!$C$71" lockText="1" noThreeD="1"/>
</file>

<file path=xl/ctrlProps/ctrlProp87.xml><?xml version="1.0" encoding="utf-8"?>
<formControlPr xmlns="http://schemas.microsoft.com/office/spreadsheetml/2009/9/main" objectType="CheckBox" fmlaLink="synthese!$B$93" lockText="1" noThreeD="1"/>
</file>

<file path=xl/ctrlProps/ctrlProp88.xml><?xml version="1.0" encoding="utf-8"?>
<formControlPr xmlns="http://schemas.microsoft.com/office/spreadsheetml/2009/9/main" objectType="CheckBox" fmlaLink="synthese!$C$93" lockText="1" noThreeD="1"/>
</file>

<file path=xl/ctrlProps/ctrlProp89.xml><?xml version="1.0" encoding="utf-8"?>
<formControlPr xmlns="http://schemas.microsoft.com/office/spreadsheetml/2009/9/main" objectType="CheckBox" fmlaLink="synthese!$C$71" lockText="1" noThreeD="1"/>
</file>

<file path=xl/ctrlProps/ctrlProp90.xml><?xml version="1.0" encoding="utf-8"?>
<formControlPr xmlns="http://schemas.microsoft.com/office/spreadsheetml/2009/9/main" objectType="CheckBox" fmlaLink="synthese!$B$94" lockText="1" noThreeD="1"/>
</file>

<file path=xl/ctrlProps/ctrlProp91.xml><?xml version="1.0" encoding="utf-8"?>
<formControlPr xmlns="http://schemas.microsoft.com/office/spreadsheetml/2009/9/main" objectType="CheckBox" fmlaLink="synthese!$C$94" lockText="1" noThreeD="1"/>
</file>

<file path=xl/ctrlProps/ctrlProp92.xml><?xml version="1.0" encoding="utf-8"?>
<formControlPr xmlns="http://schemas.microsoft.com/office/spreadsheetml/2009/9/main" objectType="CheckBox" fmlaLink="synthese!$C$71" lockText="1" noThreeD="1"/>
</file>

<file path=xl/ctrlProps/ctrlProp93.xml><?xml version="1.0" encoding="utf-8"?>
<formControlPr xmlns="http://schemas.microsoft.com/office/spreadsheetml/2009/9/main" objectType="CheckBox" fmlaLink="synthese!$B$95" lockText="1" noThreeD="1"/>
</file>

<file path=xl/ctrlProps/ctrlProp94.xml><?xml version="1.0" encoding="utf-8"?>
<formControlPr xmlns="http://schemas.microsoft.com/office/spreadsheetml/2009/9/main" objectType="CheckBox" fmlaLink="synthese!$C$95" lockText="1" noThreeD="1"/>
</file>

<file path=xl/ctrlProps/ctrlProp95.xml><?xml version="1.0" encoding="utf-8"?>
<formControlPr xmlns="http://schemas.microsoft.com/office/spreadsheetml/2009/9/main" objectType="CheckBox" fmlaLink="synthese!$C$71" lockText="1" noThreeD="1"/>
</file>

<file path=xl/ctrlProps/ctrlProp96.xml><?xml version="1.0" encoding="utf-8"?>
<formControlPr xmlns="http://schemas.microsoft.com/office/spreadsheetml/2009/9/main" objectType="CheckBox" fmlaLink="synthese!$B$96" lockText="1" noThreeD="1"/>
</file>

<file path=xl/ctrlProps/ctrlProp97.xml><?xml version="1.0" encoding="utf-8"?>
<formControlPr xmlns="http://schemas.microsoft.com/office/spreadsheetml/2009/9/main" objectType="CheckBox" fmlaLink="synthese!$C$96" lockText="1" noThreeD="1"/>
</file>

<file path=xl/ctrlProps/ctrlProp98.xml><?xml version="1.0" encoding="utf-8"?>
<formControlPr xmlns="http://schemas.microsoft.com/office/spreadsheetml/2009/9/main" objectType="CheckBox" fmlaLink="synthese!$C$71" lockText="1" noThreeD="1"/>
</file>

<file path=xl/ctrlProps/ctrlProp99.xml><?xml version="1.0" encoding="utf-8"?>
<formControlPr xmlns="http://schemas.microsoft.com/office/spreadsheetml/2009/9/main" objectType="CheckBox" fmlaLink="synthese!$B$97" lockText="1" noThreeD="1"/>
</file>

<file path=xl/ctrlProps/ctrlProp100.xml><?xml version="1.0" encoding="utf-8"?>
<formControlPr xmlns="http://schemas.microsoft.com/office/spreadsheetml/2009/9/main" objectType="CheckBox" fmlaLink="synthese!$C$97" lockText="1" noThreeD="1"/>
</file>

<file path=xl/ctrlProps/ctrlProp101.xml><?xml version="1.0" encoding="utf-8"?>
<formControlPr xmlns="http://schemas.microsoft.com/office/spreadsheetml/2009/9/main" objectType="CheckBox" fmlaLink="synthese!$C$71" lockText="1" noThreeD="1"/>
</file>

<file path=xl/ctrlProps/ctrlProp102.xml><?xml version="1.0" encoding="utf-8"?>
<formControlPr xmlns="http://schemas.microsoft.com/office/spreadsheetml/2009/9/main" objectType="CheckBox" fmlaLink="synthese!$B$98" lockText="1" noThreeD="1"/>
</file>

<file path=xl/ctrlProps/ctrlProp103.xml><?xml version="1.0" encoding="utf-8"?>
<formControlPr xmlns="http://schemas.microsoft.com/office/spreadsheetml/2009/9/main" objectType="CheckBox" fmlaLink="synthese!$C$98" lockText="1" noThreeD="1"/>
</file>

<file path=xl/ctrlProps/ctrlProp104.xml><?xml version="1.0" encoding="utf-8"?>
<formControlPr xmlns="http://schemas.microsoft.com/office/spreadsheetml/2009/9/main" objectType="CheckBox" fmlaLink="synthese!$C$71" lockText="1" noThreeD="1"/>
</file>

<file path=xl/ctrlProps/ctrlProp105.xml><?xml version="1.0" encoding="utf-8"?>
<formControlPr xmlns="http://schemas.microsoft.com/office/spreadsheetml/2009/9/main" objectType="CheckBox" fmlaLink="synthese!$B$99" lockText="1" noThreeD="1"/>
</file>

<file path=xl/ctrlProps/ctrlProp106.xml><?xml version="1.0" encoding="utf-8"?>
<formControlPr xmlns="http://schemas.microsoft.com/office/spreadsheetml/2009/9/main" objectType="CheckBox" fmlaLink="synthese!$C$99" lockText="1" noThreeD="1"/>
</file>

<file path=xl/ctrlProps/ctrlProp107.xml><?xml version="1.0" encoding="utf-8"?>
<formControlPr xmlns="http://schemas.microsoft.com/office/spreadsheetml/2009/9/main" objectType="CheckBox" fmlaLink="synthese!$C$71" lockText="1" noThreeD="1"/>
</file>

<file path=xl/ctrlProps/ctrlProp108.xml><?xml version="1.0" encoding="utf-8"?>
<formControlPr xmlns="http://schemas.microsoft.com/office/spreadsheetml/2009/9/main" objectType="CheckBox" fmlaLink="synthese!$B$100" lockText="1" noThreeD="1"/>
</file>

<file path=xl/ctrlProps/ctrlProp109.xml><?xml version="1.0" encoding="utf-8"?>
<formControlPr xmlns="http://schemas.microsoft.com/office/spreadsheetml/2009/9/main" objectType="CheckBox" fmlaLink="synthese!$C$100" lockText="1" noThreeD="1"/>
</file>

<file path=xl/ctrlProps/ctrlProp110.xml><?xml version="1.0" encoding="utf-8"?>
<formControlPr xmlns="http://schemas.microsoft.com/office/spreadsheetml/2009/9/main" objectType="CheckBox" fmlaLink="synthese!$C$71" lockText="1" noThreeD="1"/>
</file>

<file path=xl/ctrlProps/ctrlProp111.xml><?xml version="1.0" encoding="utf-8"?>
<formControlPr xmlns="http://schemas.microsoft.com/office/spreadsheetml/2009/9/main" objectType="CheckBox" fmlaLink="synthese!$B$101" lockText="1" noThreeD="1"/>
</file>

<file path=xl/ctrlProps/ctrlProp112.xml><?xml version="1.0" encoding="utf-8"?>
<formControlPr xmlns="http://schemas.microsoft.com/office/spreadsheetml/2009/9/main" objectType="CheckBox" fmlaLink="synthese!$C$101" lockText="1" noThreeD="1"/>
</file>

<file path=xl/ctrlProps/ctrlProp113.xml><?xml version="1.0" encoding="utf-8"?>
<formControlPr xmlns="http://schemas.microsoft.com/office/spreadsheetml/2009/9/main" objectType="CheckBox" fmlaLink="synthese!$C$71" lockText="1" noThreeD="1"/>
</file>

<file path=xl/ctrlProps/ctrlProp114.xml><?xml version="1.0" encoding="utf-8"?>
<formControlPr xmlns="http://schemas.microsoft.com/office/spreadsheetml/2009/9/main" objectType="CheckBox" fmlaLink="synthese!$B$102" lockText="1" noThreeD="1"/>
</file>

<file path=xl/ctrlProps/ctrlProp115.xml><?xml version="1.0" encoding="utf-8"?>
<formControlPr xmlns="http://schemas.microsoft.com/office/spreadsheetml/2009/9/main" objectType="CheckBox" fmlaLink="synthese!$C$102" lockText="1" noThreeD="1"/>
</file>

<file path=xl/ctrlProps/ctrlProp116.xml><?xml version="1.0" encoding="utf-8"?>
<formControlPr xmlns="http://schemas.microsoft.com/office/spreadsheetml/2009/9/main" objectType="CheckBox" fmlaLink="synthese!$C$71" lockText="1" noThreeD="1"/>
</file>

<file path=xl/ctrlProps/ctrlProp117.xml><?xml version="1.0" encoding="utf-8"?>
<formControlPr xmlns="http://schemas.microsoft.com/office/spreadsheetml/2009/9/main" objectType="CheckBox" fmlaLink="synthese!$B$103" lockText="1" noThreeD="1"/>
</file>

<file path=xl/ctrlProps/ctrlProp118.xml><?xml version="1.0" encoding="utf-8"?>
<formControlPr xmlns="http://schemas.microsoft.com/office/spreadsheetml/2009/9/main" objectType="CheckBox" fmlaLink="synthese!$C$103" lockText="1" noThreeD="1"/>
</file>

<file path=xl/ctrlProps/ctrlProp119.xml><?xml version="1.0" encoding="utf-8"?>
<formControlPr xmlns="http://schemas.microsoft.com/office/spreadsheetml/2009/9/main" objectType="CheckBox" fmlaLink="synthese!$B$104" lockText="1" noThreeD="1"/>
</file>

<file path=xl/ctrlProps/ctrlProp120.xml><?xml version="1.0" encoding="utf-8"?>
<formControlPr xmlns="http://schemas.microsoft.com/office/spreadsheetml/2009/9/main" objectType="CheckBox" fmlaLink="synthese!$C$104"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2124075</xdr:colOff>
          <xdr:row>10</xdr:row>
          <xdr:rowOff>1409700</xdr:rowOff>
        </xdr:to>
        <xdr:sp macro="" textlink="">
          <xdr:nvSpPr>
            <xdr:cNvPr id="35882" name="Keyword" hidden="1">
              <a:extLst>
                <a:ext uri="{63B3BB69-23CF-44E3-9099-C40C66FF867C}">
                  <a14:compatExt spid="_x0000_s35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1438275</xdr:colOff>
          <xdr:row>23</xdr:row>
          <xdr:rowOff>47625</xdr:rowOff>
        </xdr:from>
        <xdr:to>
          <xdr:col>6</xdr:col>
          <xdr:colOff>1743075</xdr:colOff>
          <xdr:row>23</xdr:row>
          <xdr:rowOff>266700</xdr:rowOff>
        </xdr:to>
        <xdr:sp macro="" textlink="">
          <xdr:nvSpPr>
            <xdr:cNvPr id="35891" name="Check Box 51" hidden="1">
              <a:extLst>
                <a:ext uri="{63B3BB69-23CF-44E3-9099-C40C66FF867C}">
                  <a14:compatExt spid="_x0000_s3589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2124075</xdr:colOff>
          <xdr:row>3</xdr:row>
          <xdr:rowOff>1409700</xdr:rowOff>
        </xdr:to>
        <xdr:sp macro="" textlink="">
          <xdr:nvSpPr>
            <xdr:cNvPr id="5147" name="Role"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1457325</xdr:colOff>
          <xdr:row>2</xdr:row>
          <xdr:rowOff>76200</xdr:rowOff>
        </xdr:from>
        <xdr:to>
          <xdr:col>4</xdr:col>
          <xdr:colOff>1733550</xdr:colOff>
          <xdr:row>2</xdr:row>
          <xdr:rowOff>295275</xdr:rowOff>
        </xdr:to>
        <xdr:sp macro="" textlink="">
          <xdr:nvSpPr>
            <xdr:cNvPr id="103427" name="Check Box 3" hidden="1">
              <a:extLst>
                <a:ext uri="{63B3BB69-23CF-44E3-9099-C40C66FF867C}">
                  <a14:compatExt spid="_x0000_s103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3</xdr:row>
          <xdr:rowOff>76200</xdr:rowOff>
        </xdr:from>
        <xdr:to>
          <xdr:col>4</xdr:col>
          <xdr:colOff>1733550</xdr:colOff>
          <xdr:row>3</xdr:row>
          <xdr:rowOff>295275</xdr:rowOff>
        </xdr:to>
        <xdr:sp macro="" textlink="">
          <xdr:nvSpPr>
            <xdr:cNvPr id="103429" name="Check Box 5" hidden="1">
              <a:extLst>
                <a:ext uri="{63B3BB69-23CF-44E3-9099-C40C66FF867C}">
                  <a14:compatExt spid="_x0000_s103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1447800</xdr:colOff>
          <xdr:row>4</xdr:row>
          <xdr:rowOff>304800</xdr:rowOff>
        </xdr:from>
        <xdr:to>
          <xdr:col>4</xdr:col>
          <xdr:colOff>1724025</xdr:colOff>
          <xdr:row>4</xdr:row>
          <xdr:rowOff>523875</xdr:rowOff>
        </xdr:to>
        <xdr:sp macro="" textlink="">
          <xdr:nvSpPr>
            <xdr:cNvPr id="103430" name="Check Box 6" hidden="1">
              <a:extLst>
                <a:ext uri="{63B3BB69-23CF-44E3-9099-C40C66FF867C}">
                  <a14:compatExt spid="_x0000_s103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5</xdr:row>
          <xdr:rowOff>200025</xdr:rowOff>
        </xdr:from>
        <xdr:to>
          <xdr:col>4</xdr:col>
          <xdr:colOff>1733550</xdr:colOff>
          <xdr:row>5</xdr:row>
          <xdr:rowOff>419100</xdr:rowOff>
        </xdr:to>
        <xdr:sp macro="" textlink="">
          <xdr:nvSpPr>
            <xdr:cNvPr id="103431" name="Check Box 7" hidden="1">
              <a:extLst>
                <a:ext uri="{63B3BB69-23CF-44E3-9099-C40C66FF867C}">
                  <a14:compatExt spid="_x0000_s1034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1476375</xdr:colOff>
          <xdr:row>6</xdr:row>
          <xdr:rowOff>247650</xdr:rowOff>
        </xdr:from>
        <xdr:to>
          <xdr:col>4</xdr:col>
          <xdr:colOff>1752600</xdr:colOff>
          <xdr:row>6</xdr:row>
          <xdr:rowOff>466725</xdr:rowOff>
        </xdr:to>
        <xdr:sp macro="" textlink="">
          <xdr:nvSpPr>
            <xdr:cNvPr id="103432" name="Check Box 8" hidden="1">
              <a:extLst>
                <a:ext uri="{63B3BB69-23CF-44E3-9099-C40C66FF867C}">
                  <a14:compatExt spid="_x0000_s10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7</xdr:row>
          <xdr:rowOff>314325</xdr:rowOff>
        </xdr:from>
        <xdr:to>
          <xdr:col>4</xdr:col>
          <xdr:colOff>1733550</xdr:colOff>
          <xdr:row>7</xdr:row>
          <xdr:rowOff>533400</xdr:rowOff>
        </xdr:to>
        <xdr:sp macro="" textlink="">
          <xdr:nvSpPr>
            <xdr:cNvPr id="103433" name="Check Box 9" hidden="1">
              <a:extLst>
                <a:ext uri="{63B3BB69-23CF-44E3-9099-C40C66FF867C}">
                  <a14:compatExt spid="_x0000_s10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17</xdr:row>
          <xdr:rowOff>133350</xdr:rowOff>
        </xdr:from>
        <xdr:to>
          <xdr:col>4</xdr:col>
          <xdr:colOff>1790700</xdr:colOff>
          <xdr:row>17</xdr:row>
          <xdr:rowOff>352425</xdr:rowOff>
        </xdr:to>
        <xdr:sp macro="" textlink="">
          <xdr:nvSpPr>
            <xdr:cNvPr id="103437" name="Check Box 13" hidden="1">
              <a:extLst>
                <a:ext uri="{63B3BB69-23CF-44E3-9099-C40C66FF867C}">
                  <a14:compatExt spid="_x0000_s103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18</xdr:row>
          <xdr:rowOff>133350</xdr:rowOff>
        </xdr:from>
        <xdr:to>
          <xdr:col>4</xdr:col>
          <xdr:colOff>1790700</xdr:colOff>
          <xdr:row>18</xdr:row>
          <xdr:rowOff>352425</xdr:rowOff>
        </xdr:to>
        <xdr:sp macro="" textlink="">
          <xdr:nvSpPr>
            <xdr:cNvPr id="103438" name="Check Box 14" hidden="1">
              <a:extLst>
                <a:ext uri="{63B3BB69-23CF-44E3-9099-C40C66FF867C}">
                  <a14:compatExt spid="_x0000_s103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22</xdr:row>
          <xdr:rowOff>685800</xdr:rowOff>
        </xdr:from>
        <xdr:to>
          <xdr:col>4</xdr:col>
          <xdr:colOff>1666875</xdr:colOff>
          <xdr:row>22</xdr:row>
          <xdr:rowOff>904875</xdr:rowOff>
        </xdr:to>
        <xdr:sp macro="" textlink="">
          <xdr:nvSpPr>
            <xdr:cNvPr id="103439" name="Check Box 15" hidden="1">
              <a:extLst>
                <a:ext uri="{63B3BB69-23CF-44E3-9099-C40C66FF867C}">
                  <a14:compatExt spid="_x0000_s103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23</xdr:row>
          <xdr:rowOff>123825</xdr:rowOff>
        </xdr:from>
        <xdr:to>
          <xdr:col>4</xdr:col>
          <xdr:colOff>1638300</xdr:colOff>
          <xdr:row>23</xdr:row>
          <xdr:rowOff>342900</xdr:rowOff>
        </xdr:to>
        <xdr:sp macro="" textlink="">
          <xdr:nvSpPr>
            <xdr:cNvPr id="103441" name="Check Box 17" hidden="1">
              <a:extLst>
                <a:ext uri="{63B3BB69-23CF-44E3-9099-C40C66FF867C}">
                  <a14:compatExt spid="_x0000_s103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24</xdr:row>
          <xdr:rowOff>685800</xdr:rowOff>
        </xdr:from>
        <xdr:to>
          <xdr:col>4</xdr:col>
          <xdr:colOff>1666875</xdr:colOff>
          <xdr:row>24</xdr:row>
          <xdr:rowOff>904875</xdr:rowOff>
        </xdr:to>
        <xdr:sp macro="" textlink="">
          <xdr:nvSpPr>
            <xdr:cNvPr id="103442" name="Check Box 18" hidden="1">
              <a:extLst>
                <a:ext uri="{63B3BB69-23CF-44E3-9099-C40C66FF867C}">
                  <a14:compatExt spid="_x0000_s103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25</xdr:row>
          <xdr:rowOff>619125</xdr:rowOff>
        </xdr:from>
        <xdr:to>
          <xdr:col>4</xdr:col>
          <xdr:colOff>1666875</xdr:colOff>
          <xdr:row>25</xdr:row>
          <xdr:rowOff>838200</xdr:rowOff>
        </xdr:to>
        <xdr:sp macro="" textlink="">
          <xdr:nvSpPr>
            <xdr:cNvPr id="103443" name="Check Box 19" hidden="1">
              <a:extLst>
                <a:ext uri="{63B3BB69-23CF-44E3-9099-C40C66FF867C}">
                  <a14:compatExt spid="_x0000_s103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1381125</xdr:colOff>
          <xdr:row>26</xdr:row>
          <xdr:rowOff>628650</xdr:rowOff>
        </xdr:from>
        <xdr:to>
          <xdr:col>4</xdr:col>
          <xdr:colOff>1657350</xdr:colOff>
          <xdr:row>26</xdr:row>
          <xdr:rowOff>847725</xdr:rowOff>
        </xdr:to>
        <xdr:sp macro="" textlink="">
          <xdr:nvSpPr>
            <xdr:cNvPr id="103444" name="Check Box 20" hidden="1">
              <a:extLst>
                <a:ext uri="{63B3BB69-23CF-44E3-9099-C40C66FF867C}">
                  <a14:compatExt spid="_x0000_s103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27</xdr:row>
          <xdr:rowOff>685800</xdr:rowOff>
        </xdr:from>
        <xdr:to>
          <xdr:col>4</xdr:col>
          <xdr:colOff>1666875</xdr:colOff>
          <xdr:row>27</xdr:row>
          <xdr:rowOff>904875</xdr:rowOff>
        </xdr:to>
        <xdr:sp macro="" textlink="">
          <xdr:nvSpPr>
            <xdr:cNvPr id="103445" name="Check Box 21" hidden="1">
              <a:extLst>
                <a:ext uri="{63B3BB69-23CF-44E3-9099-C40C66FF867C}">
                  <a14:compatExt spid="_x0000_s103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28</xdr:row>
          <xdr:rowOff>495300</xdr:rowOff>
        </xdr:from>
        <xdr:to>
          <xdr:col>4</xdr:col>
          <xdr:colOff>1638300</xdr:colOff>
          <xdr:row>28</xdr:row>
          <xdr:rowOff>714375</xdr:rowOff>
        </xdr:to>
        <xdr:sp macro="" textlink="">
          <xdr:nvSpPr>
            <xdr:cNvPr id="103446" name="Check Box 22" hidden="1">
              <a:extLst>
                <a:ext uri="{63B3BB69-23CF-44E3-9099-C40C66FF867C}">
                  <a14:compatExt spid="_x0000_s10344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1219200</xdr:colOff>
          <xdr:row>12</xdr:row>
          <xdr:rowOff>0</xdr:rowOff>
        </xdr:from>
        <xdr:to>
          <xdr:col>3</xdr:col>
          <xdr:colOff>1524000</xdr:colOff>
          <xdr:row>13</xdr:row>
          <xdr:rowOff>28575</xdr:rowOff>
        </xdr:to>
        <xdr:sp macro="" textlink="">
          <xdr:nvSpPr>
            <xdr:cNvPr id="62470" name="Check Box 6" hidden="1">
              <a:extLst>
                <a:ext uri="{63B3BB69-23CF-44E3-9099-C40C66FF867C}">
                  <a14:compatExt spid="_x0000_s624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28575</xdr:rowOff>
        </xdr:to>
        <xdr:sp macro="" textlink="">
          <xdr:nvSpPr>
            <xdr:cNvPr id="62503" name="Check Box 39" hidden="1">
              <a:extLst>
                <a:ext uri="{63B3BB69-23CF-44E3-9099-C40C66FF867C}">
                  <a14:compatExt spid="_x0000_s62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28575</xdr:rowOff>
        </xdr:to>
        <xdr:sp macro="" textlink="">
          <xdr:nvSpPr>
            <xdr:cNvPr id="62504" name="Check Box 40" hidden="1">
              <a:extLst>
                <a:ext uri="{63B3BB69-23CF-44E3-9099-C40C66FF867C}">
                  <a14:compatExt spid="_x0000_s62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28575</xdr:rowOff>
        </xdr:to>
        <xdr:sp macro="" textlink="">
          <xdr:nvSpPr>
            <xdr:cNvPr id="62505" name="Check Box 41" hidden="1">
              <a:extLst>
                <a:ext uri="{63B3BB69-23CF-44E3-9099-C40C66FF867C}">
                  <a14:compatExt spid="_x0000_s62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28575</xdr:rowOff>
        </xdr:to>
        <xdr:sp macro="" textlink="">
          <xdr:nvSpPr>
            <xdr:cNvPr id="62506" name="Check Box 42" hidden="1">
              <a:extLst>
                <a:ext uri="{63B3BB69-23CF-44E3-9099-C40C66FF867C}">
                  <a14:compatExt spid="_x0000_s62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28575</xdr:rowOff>
        </xdr:to>
        <xdr:sp macro="" textlink="">
          <xdr:nvSpPr>
            <xdr:cNvPr id="62507" name="Check Box 43" hidden="1">
              <a:extLst>
                <a:ext uri="{63B3BB69-23CF-44E3-9099-C40C66FF867C}">
                  <a14:compatExt spid="_x0000_s62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28575</xdr:rowOff>
        </xdr:to>
        <xdr:sp macro="" textlink="">
          <xdr:nvSpPr>
            <xdr:cNvPr id="62508" name="Check Box 44" hidden="1">
              <a:extLst>
                <a:ext uri="{63B3BB69-23CF-44E3-9099-C40C66FF867C}">
                  <a14:compatExt spid="_x0000_s62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28575</xdr:rowOff>
        </xdr:to>
        <xdr:sp macro="" textlink="">
          <xdr:nvSpPr>
            <xdr:cNvPr id="62509" name="Check Box 45" hidden="1">
              <a:extLst>
                <a:ext uri="{63B3BB69-23CF-44E3-9099-C40C66FF867C}">
                  <a14:compatExt spid="_x0000_s62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28575</xdr:rowOff>
        </xdr:to>
        <xdr:sp macro="" textlink="">
          <xdr:nvSpPr>
            <xdr:cNvPr id="62510" name="Check Box 46" hidden="1">
              <a:extLst>
                <a:ext uri="{63B3BB69-23CF-44E3-9099-C40C66FF867C}">
                  <a14:compatExt spid="_x0000_s62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28575</xdr:rowOff>
        </xdr:to>
        <xdr:sp macro="" textlink="">
          <xdr:nvSpPr>
            <xdr:cNvPr id="62511" name="Check Box 47" hidden="1">
              <a:extLst>
                <a:ext uri="{63B3BB69-23CF-44E3-9099-C40C66FF867C}">
                  <a14:compatExt spid="_x0000_s62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28575</xdr:rowOff>
        </xdr:to>
        <xdr:sp macro="" textlink="">
          <xdr:nvSpPr>
            <xdr:cNvPr id="62512" name="Check Box 48" hidden="1">
              <a:extLst>
                <a:ext uri="{63B3BB69-23CF-44E3-9099-C40C66FF867C}">
                  <a14:compatExt spid="_x0000_s62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28575</xdr:rowOff>
        </xdr:to>
        <xdr:sp macro="" textlink="">
          <xdr:nvSpPr>
            <xdr:cNvPr id="62513" name="Check Box 49" hidden="1">
              <a:extLst>
                <a:ext uri="{63B3BB69-23CF-44E3-9099-C40C66FF867C}">
                  <a14:compatExt spid="_x0000_s62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28575</xdr:rowOff>
        </xdr:to>
        <xdr:sp macro="" textlink="">
          <xdr:nvSpPr>
            <xdr:cNvPr id="62514" name="Check Box 50" hidden="1">
              <a:extLst>
                <a:ext uri="{63B3BB69-23CF-44E3-9099-C40C66FF867C}">
                  <a14:compatExt spid="_x0000_s62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28575</xdr:rowOff>
        </xdr:to>
        <xdr:sp macro="" textlink="">
          <xdr:nvSpPr>
            <xdr:cNvPr id="62515" name="Check Box 51" hidden="1">
              <a:extLst>
                <a:ext uri="{63B3BB69-23CF-44E3-9099-C40C66FF867C}">
                  <a14:compatExt spid="_x0000_s62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28575</xdr:rowOff>
        </xdr:to>
        <xdr:sp macro="" textlink="">
          <xdr:nvSpPr>
            <xdr:cNvPr id="62516" name="Check Box 52" hidden="1">
              <a:extLst>
                <a:ext uri="{63B3BB69-23CF-44E3-9099-C40C66FF867C}">
                  <a14:compatExt spid="_x0000_s62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28575</xdr:rowOff>
        </xdr:to>
        <xdr:sp macro="" textlink="">
          <xdr:nvSpPr>
            <xdr:cNvPr id="62517" name="Check Box 53" hidden="1">
              <a:extLst>
                <a:ext uri="{63B3BB69-23CF-44E3-9099-C40C66FF867C}">
                  <a14:compatExt spid="_x0000_s62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28575</xdr:rowOff>
        </xdr:to>
        <xdr:sp macro="" textlink="">
          <xdr:nvSpPr>
            <xdr:cNvPr id="62518" name="Check Box 54" hidden="1">
              <a:extLst>
                <a:ext uri="{63B3BB69-23CF-44E3-9099-C40C66FF867C}">
                  <a14:compatExt spid="_x0000_s62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11</xdr:row>
          <xdr:rowOff>161925</xdr:rowOff>
        </xdr:from>
        <xdr:to>
          <xdr:col>4</xdr:col>
          <xdr:colOff>2209800</xdr:colOff>
          <xdr:row>13</xdr:row>
          <xdr:rowOff>0</xdr:rowOff>
        </xdr:to>
        <xdr:sp macro="" textlink="">
          <xdr:nvSpPr>
            <xdr:cNvPr id="62519" name="Check Box 55" hidden="1">
              <a:extLst>
                <a:ext uri="{63B3BB69-23CF-44E3-9099-C40C66FF867C}">
                  <a14:compatExt spid="_x0000_s62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12</xdr:row>
          <xdr:rowOff>161925</xdr:rowOff>
        </xdr:from>
        <xdr:to>
          <xdr:col>4</xdr:col>
          <xdr:colOff>2209800</xdr:colOff>
          <xdr:row>14</xdr:row>
          <xdr:rowOff>0</xdr:rowOff>
        </xdr:to>
        <xdr:sp macro="" textlink="">
          <xdr:nvSpPr>
            <xdr:cNvPr id="62520" name="Check Box 56" hidden="1">
              <a:extLst>
                <a:ext uri="{63B3BB69-23CF-44E3-9099-C40C66FF867C}">
                  <a14:compatExt spid="_x0000_s62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13</xdr:row>
          <xdr:rowOff>161925</xdr:rowOff>
        </xdr:from>
        <xdr:to>
          <xdr:col>4</xdr:col>
          <xdr:colOff>2209800</xdr:colOff>
          <xdr:row>15</xdr:row>
          <xdr:rowOff>0</xdr:rowOff>
        </xdr:to>
        <xdr:sp macro="" textlink="">
          <xdr:nvSpPr>
            <xdr:cNvPr id="62521" name="Check Box 57" hidden="1">
              <a:extLst>
                <a:ext uri="{63B3BB69-23CF-44E3-9099-C40C66FF867C}">
                  <a14:compatExt spid="_x0000_s62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161925</xdr:rowOff>
        </xdr:from>
        <xdr:to>
          <xdr:col>4</xdr:col>
          <xdr:colOff>2209800</xdr:colOff>
          <xdr:row>16</xdr:row>
          <xdr:rowOff>0</xdr:rowOff>
        </xdr:to>
        <xdr:sp macro="" textlink="">
          <xdr:nvSpPr>
            <xdr:cNvPr id="62522" name="Check Box 58" hidden="1">
              <a:extLst>
                <a:ext uri="{63B3BB69-23CF-44E3-9099-C40C66FF867C}">
                  <a14:compatExt spid="_x0000_s62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161925</xdr:rowOff>
        </xdr:from>
        <xdr:to>
          <xdr:col>4</xdr:col>
          <xdr:colOff>2209800</xdr:colOff>
          <xdr:row>16</xdr:row>
          <xdr:rowOff>0</xdr:rowOff>
        </xdr:to>
        <xdr:sp macro="" textlink="">
          <xdr:nvSpPr>
            <xdr:cNvPr id="62523" name="Check Box 59" hidden="1">
              <a:extLst>
                <a:ext uri="{63B3BB69-23CF-44E3-9099-C40C66FF867C}">
                  <a14:compatExt spid="_x0000_s62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161925</xdr:rowOff>
        </xdr:from>
        <xdr:to>
          <xdr:col>4</xdr:col>
          <xdr:colOff>2209800</xdr:colOff>
          <xdr:row>17</xdr:row>
          <xdr:rowOff>0</xdr:rowOff>
        </xdr:to>
        <xdr:sp macro="" textlink="">
          <xdr:nvSpPr>
            <xdr:cNvPr id="62524" name="Check Box 60" hidden="1">
              <a:extLst>
                <a:ext uri="{63B3BB69-23CF-44E3-9099-C40C66FF867C}">
                  <a14:compatExt spid="_x0000_s62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161925</xdr:rowOff>
        </xdr:from>
        <xdr:to>
          <xdr:col>4</xdr:col>
          <xdr:colOff>2209800</xdr:colOff>
          <xdr:row>17</xdr:row>
          <xdr:rowOff>0</xdr:rowOff>
        </xdr:to>
        <xdr:sp macro="" textlink="">
          <xdr:nvSpPr>
            <xdr:cNvPr id="62525" name="Check Box 61" hidden="1">
              <a:extLst>
                <a:ext uri="{63B3BB69-23CF-44E3-9099-C40C66FF867C}">
                  <a14:compatExt spid="_x0000_s62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161925</xdr:rowOff>
        </xdr:from>
        <xdr:to>
          <xdr:col>4</xdr:col>
          <xdr:colOff>2209800</xdr:colOff>
          <xdr:row>18</xdr:row>
          <xdr:rowOff>0</xdr:rowOff>
        </xdr:to>
        <xdr:sp macro="" textlink="">
          <xdr:nvSpPr>
            <xdr:cNvPr id="62526" name="Check Box 62" hidden="1">
              <a:extLst>
                <a:ext uri="{63B3BB69-23CF-44E3-9099-C40C66FF867C}">
                  <a14:compatExt spid="_x0000_s62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161925</xdr:rowOff>
        </xdr:from>
        <xdr:to>
          <xdr:col>4</xdr:col>
          <xdr:colOff>2209800</xdr:colOff>
          <xdr:row>18</xdr:row>
          <xdr:rowOff>0</xdr:rowOff>
        </xdr:to>
        <xdr:sp macro="" textlink="">
          <xdr:nvSpPr>
            <xdr:cNvPr id="62527" name="Check Box 63" hidden="1">
              <a:extLst>
                <a:ext uri="{63B3BB69-23CF-44E3-9099-C40C66FF867C}">
                  <a14:compatExt spid="_x0000_s62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161925</xdr:rowOff>
        </xdr:from>
        <xdr:to>
          <xdr:col>4</xdr:col>
          <xdr:colOff>2209800</xdr:colOff>
          <xdr:row>19</xdr:row>
          <xdr:rowOff>0</xdr:rowOff>
        </xdr:to>
        <xdr:sp macro="" textlink="">
          <xdr:nvSpPr>
            <xdr:cNvPr id="62528" name="Check Box 64" hidden="1">
              <a:extLst>
                <a:ext uri="{63B3BB69-23CF-44E3-9099-C40C66FF867C}">
                  <a14:compatExt spid="_x0000_s62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161925</xdr:rowOff>
        </xdr:from>
        <xdr:to>
          <xdr:col>4</xdr:col>
          <xdr:colOff>2209800</xdr:colOff>
          <xdr:row>19</xdr:row>
          <xdr:rowOff>0</xdr:rowOff>
        </xdr:to>
        <xdr:sp macro="" textlink="">
          <xdr:nvSpPr>
            <xdr:cNvPr id="62529" name="Check Box 65" hidden="1">
              <a:extLst>
                <a:ext uri="{63B3BB69-23CF-44E3-9099-C40C66FF867C}">
                  <a14:compatExt spid="_x0000_s6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161925</xdr:rowOff>
        </xdr:from>
        <xdr:to>
          <xdr:col>4</xdr:col>
          <xdr:colOff>2209800</xdr:colOff>
          <xdr:row>20</xdr:row>
          <xdr:rowOff>0</xdr:rowOff>
        </xdr:to>
        <xdr:sp macro="" textlink="">
          <xdr:nvSpPr>
            <xdr:cNvPr id="62530" name="Check Box 66" hidden="1">
              <a:extLst>
                <a:ext uri="{63B3BB69-23CF-44E3-9099-C40C66FF867C}">
                  <a14:compatExt spid="_x0000_s6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161925</xdr:rowOff>
        </xdr:from>
        <xdr:to>
          <xdr:col>4</xdr:col>
          <xdr:colOff>2209800</xdr:colOff>
          <xdr:row>20</xdr:row>
          <xdr:rowOff>0</xdr:rowOff>
        </xdr:to>
        <xdr:sp macro="" textlink="">
          <xdr:nvSpPr>
            <xdr:cNvPr id="62531" name="Check Box 67" hidden="1">
              <a:extLst>
                <a:ext uri="{63B3BB69-23CF-44E3-9099-C40C66FF867C}">
                  <a14:compatExt spid="_x0000_s6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161925</xdr:rowOff>
        </xdr:from>
        <xdr:to>
          <xdr:col>4</xdr:col>
          <xdr:colOff>2209800</xdr:colOff>
          <xdr:row>21</xdr:row>
          <xdr:rowOff>0</xdr:rowOff>
        </xdr:to>
        <xdr:sp macro="" textlink="">
          <xdr:nvSpPr>
            <xdr:cNvPr id="62532" name="Check Box 68" hidden="1">
              <a:extLst>
                <a:ext uri="{63B3BB69-23CF-44E3-9099-C40C66FF867C}">
                  <a14:compatExt spid="_x0000_s6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161925</xdr:rowOff>
        </xdr:from>
        <xdr:to>
          <xdr:col>4</xdr:col>
          <xdr:colOff>2209800</xdr:colOff>
          <xdr:row>21</xdr:row>
          <xdr:rowOff>0</xdr:rowOff>
        </xdr:to>
        <xdr:sp macro="" textlink="">
          <xdr:nvSpPr>
            <xdr:cNvPr id="62533" name="Check Box 69" hidden="1">
              <a:extLst>
                <a:ext uri="{63B3BB69-23CF-44E3-9099-C40C66FF867C}">
                  <a14:compatExt spid="_x0000_s62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1</xdr:row>
          <xdr:rowOff>209550</xdr:rowOff>
        </xdr:from>
        <xdr:to>
          <xdr:col>4</xdr:col>
          <xdr:colOff>2124075</xdr:colOff>
          <xdr:row>1</xdr:row>
          <xdr:rowOff>428625</xdr:rowOff>
        </xdr:to>
        <xdr:sp macro="" textlink="">
          <xdr:nvSpPr>
            <xdr:cNvPr id="62537" name="Check Box 73" hidden="1">
              <a:extLst>
                <a:ext uri="{63B3BB69-23CF-44E3-9099-C40C66FF867C}">
                  <a14:compatExt spid="_x0000_s62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22</xdr:row>
          <xdr:rowOff>0</xdr:rowOff>
        </xdr:from>
        <xdr:to>
          <xdr:col>3</xdr:col>
          <xdr:colOff>1524000</xdr:colOff>
          <xdr:row>23</xdr:row>
          <xdr:rowOff>28575</xdr:rowOff>
        </xdr:to>
        <xdr:sp macro="" textlink="">
          <xdr:nvSpPr>
            <xdr:cNvPr id="62539" name="Check Box 75" hidden="1">
              <a:extLst>
                <a:ext uri="{63B3BB69-23CF-44E3-9099-C40C66FF867C}">
                  <a14:compatExt spid="_x0000_s62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28575</xdr:rowOff>
        </xdr:to>
        <xdr:sp macro="" textlink="">
          <xdr:nvSpPr>
            <xdr:cNvPr id="62540" name="Check Box 76" hidden="1">
              <a:extLst>
                <a:ext uri="{63B3BB69-23CF-44E3-9099-C40C66FF867C}">
                  <a14:compatExt spid="_x0000_s62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28575</xdr:rowOff>
        </xdr:to>
        <xdr:sp macro="" textlink="">
          <xdr:nvSpPr>
            <xdr:cNvPr id="62541" name="Check Box 77" hidden="1">
              <a:extLst>
                <a:ext uri="{63B3BB69-23CF-44E3-9099-C40C66FF867C}">
                  <a14:compatExt spid="_x0000_s62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28575</xdr:rowOff>
        </xdr:to>
        <xdr:sp macro="" textlink="">
          <xdr:nvSpPr>
            <xdr:cNvPr id="62542" name="Check Box 78" hidden="1">
              <a:extLst>
                <a:ext uri="{63B3BB69-23CF-44E3-9099-C40C66FF867C}">
                  <a14:compatExt spid="_x0000_s62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28575</xdr:rowOff>
        </xdr:to>
        <xdr:sp macro="" textlink="">
          <xdr:nvSpPr>
            <xdr:cNvPr id="62543" name="Check Box 79" hidden="1">
              <a:extLst>
                <a:ext uri="{63B3BB69-23CF-44E3-9099-C40C66FF867C}">
                  <a14:compatExt spid="_x0000_s62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28575</xdr:rowOff>
        </xdr:to>
        <xdr:sp macro="" textlink="">
          <xdr:nvSpPr>
            <xdr:cNvPr id="62544" name="Check Box 80" hidden="1">
              <a:extLst>
                <a:ext uri="{63B3BB69-23CF-44E3-9099-C40C66FF867C}">
                  <a14:compatExt spid="_x0000_s62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28575</xdr:rowOff>
        </xdr:to>
        <xdr:sp macro="" textlink="">
          <xdr:nvSpPr>
            <xdr:cNvPr id="62545" name="Check Box 81" hidden="1">
              <a:extLst>
                <a:ext uri="{63B3BB69-23CF-44E3-9099-C40C66FF867C}">
                  <a14:compatExt spid="_x0000_s62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21</xdr:row>
          <xdr:rowOff>161925</xdr:rowOff>
        </xdr:from>
        <xdr:to>
          <xdr:col>4</xdr:col>
          <xdr:colOff>2209800</xdr:colOff>
          <xdr:row>23</xdr:row>
          <xdr:rowOff>0</xdr:rowOff>
        </xdr:to>
        <xdr:sp macro="" textlink="">
          <xdr:nvSpPr>
            <xdr:cNvPr id="62546" name="Check Box 82" hidden="1">
              <a:extLst>
                <a:ext uri="{63B3BB69-23CF-44E3-9099-C40C66FF867C}">
                  <a14:compatExt spid="_x0000_s62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22</xdr:row>
          <xdr:rowOff>161925</xdr:rowOff>
        </xdr:from>
        <xdr:to>
          <xdr:col>4</xdr:col>
          <xdr:colOff>2209800</xdr:colOff>
          <xdr:row>24</xdr:row>
          <xdr:rowOff>0</xdr:rowOff>
        </xdr:to>
        <xdr:sp macro="" textlink="">
          <xdr:nvSpPr>
            <xdr:cNvPr id="62547" name="Check Box 83" hidden="1">
              <a:extLst>
                <a:ext uri="{63B3BB69-23CF-44E3-9099-C40C66FF867C}">
                  <a14:compatExt spid="_x0000_s62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23</xdr:row>
          <xdr:rowOff>161925</xdr:rowOff>
        </xdr:from>
        <xdr:to>
          <xdr:col>4</xdr:col>
          <xdr:colOff>2209800</xdr:colOff>
          <xdr:row>25</xdr:row>
          <xdr:rowOff>0</xdr:rowOff>
        </xdr:to>
        <xdr:sp macro="" textlink="">
          <xdr:nvSpPr>
            <xdr:cNvPr id="62548" name="Check Box 84" hidden="1">
              <a:extLst>
                <a:ext uri="{63B3BB69-23CF-44E3-9099-C40C66FF867C}">
                  <a14:compatExt spid="_x0000_s62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161925</xdr:rowOff>
        </xdr:from>
        <xdr:to>
          <xdr:col>4</xdr:col>
          <xdr:colOff>2209800</xdr:colOff>
          <xdr:row>26</xdr:row>
          <xdr:rowOff>0</xdr:rowOff>
        </xdr:to>
        <xdr:sp macro="" textlink="">
          <xdr:nvSpPr>
            <xdr:cNvPr id="62549" name="Check Box 85" hidden="1">
              <a:extLst>
                <a:ext uri="{63B3BB69-23CF-44E3-9099-C40C66FF867C}">
                  <a14:compatExt spid="_x0000_s62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161925</xdr:rowOff>
        </xdr:from>
        <xdr:to>
          <xdr:col>4</xdr:col>
          <xdr:colOff>2209800</xdr:colOff>
          <xdr:row>26</xdr:row>
          <xdr:rowOff>0</xdr:rowOff>
        </xdr:to>
        <xdr:sp macro="" textlink="">
          <xdr:nvSpPr>
            <xdr:cNvPr id="62550" name="Check Box 86" hidden="1">
              <a:extLst>
                <a:ext uri="{63B3BB69-23CF-44E3-9099-C40C66FF867C}">
                  <a14:compatExt spid="_x0000_s62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27</xdr:row>
          <xdr:rowOff>0</xdr:rowOff>
        </xdr:from>
        <xdr:to>
          <xdr:col>3</xdr:col>
          <xdr:colOff>1524000</xdr:colOff>
          <xdr:row>28</xdr:row>
          <xdr:rowOff>28575</xdr:rowOff>
        </xdr:to>
        <xdr:sp macro="" textlink="">
          <xdr:nvSpPr>
            <xdr:cNvPr id="62554" name="Check Box 90" hidden="1">
              <a:extLst>
                <a:ext uri="{63B3BB69-23CF-44E3-9099-C40C66FF867C}">
                  <a14:compatExt spid="_x0000_s62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26</xdr:row>
          <xdr:rowOff>161925</xdr:rowOff>
        </xdr:from>
        <xdr:to>
          <xdr:col>4</xdr:col>
          <xdr:colOff>2209800</xdr:colOff>
          <xdr:row>28</xdr:row>
          <xdr:rowOff>0</xdr:rowOff>
        </xdr:to>
        <xdr:sp macro="" textlink="">
          <xdr:nvSpPr>
            <xdr:cNvPr id="62555" name="Check Box 91" hidden="1">
              <a:extLst>
                <a:ext uri="{63B3BB69-23CF-44E3-9099-C40C66FF867C}">
                  <a14:compatExt spid="_x0000_s62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28</xdr:row>
          <xdr:rowOff>0</xdr:rowOff>
        </xdr:from>
        <xdr:to>
          <xdr:col>3</xdr:col>
          <xdr:colOff>1524000</xdr:colOff>
          <xdr:row>29</xdr:row>
          <xdr:rowOff>28575</xdr:rowOff>
        </xdr:to>
        <xdr:sp macro="" textlink="">
          <xdr:nvSpPr>
            <xdr:cNvPr id="62557" name="Check Box 93" hidden="1">
              <a:extLst>
                <a:ext uri="{63B3BB69-23CF-44E3-9099-C40C66FF867C}">
                  <a14:compatExt spid="_x0000_s62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27</xdr:row>
          <xdr:rowOff>161925</xdr:rowOff>
        </xdr:from>
        <xdr:to>
          <xdr:col>4</xdr:col>
          <xdr:colOff>2209800</xdr:colOff>
          <xdr:row>29</xdr:row>
          <xdr:rowOff>0</xdr:rowOff>
        </xdr:to>
        <xdr:sp macro="" textlink="">
          <xdr:nvSpPr>
            <xdr:cNvPr id="62558" name="Check Box 94" hidden="1">
              <a:extLst>
                <a:ext uri="{63B3BB69-23CF-44E3-9099-C40C66FF867C}">
                  <a14:compatExt spid="_x0000_s62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29</xdr:row>
          <xdr:rowOff>0</xdr:rowOff>
        </xdr:from>
        <xdr:to>
          <xdr:col>3</xdr:col>
          <xdr:colOff>1524000</xdr:colOff>
          <xdr:row>30</xdr:row>
          <xdr:rowOff>28575</xdr:rowOff>
        </xdr:to>
        <xdr:sp macro="" textlink="">
          <xdr:nvSpPr>
            <xdr:cNvPr id="62559" name="Check Box 95" hidden="1">
              <a:extLst>
                <a:ext uri="{63B3BB69-23CF-44E3-9099-C40C66FF867C}">
                  <a14:compatExt spid="_x0000_s62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28</xdr:row>
          <xdr:rowOff>161925</xdr:rowOff>
        </xdr:from>
        <xdr:to>
          <xdr:col>4</xdr:col>
          <xdr:colOff>2209800</xdr:colOff>
          <xdr:row>30</xdr:row>
          <xdr:rowOff>0</xdr:rowOff>
        </xdr:to>
        <xdr:sp macro="" textlink="">
          <xdr:nvSpPr>
            <xdr:cNvPr id="62560" name="Check Box 96" hidden="1">
              <a:extLst>
                <a:ext uri="{63B3BB69-23CF-44E3-9099-C40C66FF867C}">
                  <a14:compatExt spid="_x0000_s62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161925</xdr:rowOff>
        </xdr:from>
        <xdr:to>
          <xdr:col>4</xdr:col>
          <xdr:colOff>2209800</xdr:colOff>
          <xdr:row>31</xdr:row>
          <xdr:rowOff>0</xdr:rowOff>
        </xdr:to>
        <xdr:sp macro="" textlink="">
          <xdr:nvSpPr>
            <xdr:cNvPr id="62561" name="Check Box 97" hidden="1">
              <a:extLst>
                <a:ext uri="{63B3BB69-23CF-44E3-9099-C40C66FF867C}">
                  <a14:compatExt spid="_x0000_s62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30</xdr:row>
          <xdr:rowOff>0</xdr:rowOff>
        </xdr:from>
        <xdr:to>
          <xdr:col>3</xdr:col>
          <xdr:colOff>1524000</xdr:colOff>
          <xdr:row>31</xdr:row>
          <xdr:rowOff>28575</xdr:rowOff>
        </xdr:to>
        <xdr:sp macro="" textlink="">
          <xdr:nvSpPr>
            <xdr:cNvPr id="62562" name="Check Box 98" hidden="1">
              <a:extLst>
                <a:ext uri="{63B3BB69-23CF-44E3-9099-C40C66FF867C}">
                  <a14:compatExt spid="_x0000_s62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161925</xdr:rowOff>
        </xdr:from>
        <xdr:to>
          <xdr:col>4</xdr:col>
          <xdr:colOff>2209800</xdr:colOff>
          <xdr:row>31</xdr:row>
          <xdr:rowOff>0</xdr:rowOff>
        </xdr:to>
        <xdr:sp macro="" textlink="">
          <xdr:nvSpPr>
            <xdr:cNvPr id="62563" name="Check Box 99" hidden="1">
              <a:extLst>
                <a:ext uri="{63B3BB69-23CF-44E3-9099-C40C66FF867C}">
                  <a14:compatExt spid="_x0000_s62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161925</xdr:rowOff>
        </xdr:from>
        <xdr:to>
          <xdr:col>4</xdr:col>
          <xdr:colOff>2209800</xdr:colOff>
          <xdr:row>32</xdr:row>
          <xdr:rowOff>0</xdr:rowOff>
        </xdr:to>
        <xdr:sp macro="" textlink="">
          <xdr:nvSpPr>
            <xdr:cNvPr id="62564" name="Check Box 100" hidden="1">
              <a:extLst>
                <a:ext uri="{63B3BB69-23CF-44E3-9099-C40C66FF867C}">
                  <a14:compatExt spid="_x0000_s62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31</xdr:row>
          <xdr:rowOff>0</xdr:rowOff>
        </xdr:from>
        <xdr:to>
          <xdr:col>3</xdr:col>
          <xdr:colOff>1524000</xdr:colOff>
          <xdr:row>32</xdr:row>
          <xdr:rowOff>28575</xdr:rowOff>
        </xdr:to>
        <xdr:sp macro="" textlink="">
          <xdr:nvSpPr>
            <xdr:cNvPr id="62565" name="Check Box 101" hidden="1">
              <a:extLst>
                <a:ext uri="{63B3BB69-23CF-44E3-9099-C40C66FF867C}">
                  <a14:compatExt spid="_x0000_s62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161925</xdr:rowOff>
        </xdr:from>
        <xdr:to>
          <xdr:col>4</xdr:col>
          <xdr:colOff>2209800</xdr:colOff>
          <xdr:row>32</xdr:row>
          <xdr:rowOff>0</xdr:rowOff>
        </xdr:to>
        <xdr:sp macro="" textlink="">
          <xdr:nvSpPr>
            <xdr:cNvPr id="62566" name="Check Box 102" hidden="1">
              <a:extLst>
                <a:ext uri="{63B3BB69-23CF-44E3-9099-C40C66FF867C}">
                  <a14:compatExt spid="_x0000_s62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161925</xdr:rowOff>
        </xdr:from>
        <xdr:to>
          <xdr:col>4</xdr:col>
          <xdr:colOff>2209800</xdr:colOff>
          <xdr:row>33</xdr:row>
          <xdr:rowOff>0</xdr:rowOff>
        </xdr:to>
        <xdr:sp macro="" textlink="">
          <xdr:nvSpPr>
            <xdr:cNvPr id="62567" name="Check Box 103" hidden="1">
              <a:extLst>
                <a:ext uri="{63B3BB69-23CF-44E3-9099-C40C66FF867C}">
                  <a14:compatExt spid="_x0000_s62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32</xdr:row>
          <xdr:rowOff>0</xdr:rowOff>
        </xdr:from>
        <xdr:to>
          <xdr:col>3</xdr:col>
          <xdr:colOff>1524000</xdr:colOff>
          <xdr:row>33</xdr:row>
          <xdr:rowOff>28575</xdr:rowOff>
        </xdr:to>
        <xdr:sp macro="" textlink="">
          <xdr:nvSpPr>
            <xdr:cNvPr id="62568" name="Check Box 104" hidden="1">
              <a:extLst>
                <a:ext uri="{63B3BB69-23CF-44E3-9099-C40C66FF867C}">
                  <a14:compatExt spid="_x0000_s62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161925</xdr:rowOff>
        </xdr:from>
        <xdr:to>
          <xdr:col>4</xdr:col>
          <xdr:colOff>2209800</xdr:colOff>
          <xdr:row>33</xdr:row>
          <xdr:rowOff>0</xdr:rowOff>
        </xdr:to>
        <xdr:sp macro="" textlink="">
          <xdr:nvSpPr>
            <xdr:cNvPr id="62569" name="Check Box 105" hidden="1">
              <a:extLst>
                <a:ext uri="{63B3BB69-23CF-44E3-9099-C40C66FF867C}">
                  <a14:compatExt spid="_x0000_s62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161925</xdr:rowOff>
        </xdr:from>
        <xdr:to>
          <xdr:col>4</xdr:col>
          <xdr:colOff>2209800</xdr:colOff>
          <xdr:row>34</xdr:row>
          <xdr:rowOff>0</xdr:rowOff>
        </xdr:to>
        <xdr:sp macro="" textlink="">
          <xdr:nvSpPr>
            <xdr:cNvPr id="62570" name="Check Box 106" hidden="1">
              <a:extLst>
                <a:ext uri="{63B3BB69-23CF-44E3-9099-C40C66FF867C}">
                  <a14:compatExt spid="_x0000_s6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33</xdr:row>
          <xdr:rowOff>0</xdr:rowOff>
        </xdr:from>
        <xdr:to>
          <xdr:col>3</xdr:col>
          <xdr:colOff>1524000</xdr:colOff>
          <xdr:row>34</xdr:row>
          <xdr:rowOff>28575</xdr:rowOff>
        </xdr:to>
        <xdr:sp macro="" textlink="">
          <xdr:nvSpPr>
            <xdr:cNvPr id="62571" name="Check Box 107" hidden="1">
              <a:extLst>
                <a:ext uri="{63B3BB69-23CF-44E3-9099-C40C66FF867C}">
                  <a14:compatExt spid="_x0000_s62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161925</xdr:rowOff>
        </xdr:from>
        <xdr:to>
          <xdr:col>4</xdr:col>
          <xdr:colOff>2209800</xdr:colOff>
          <xdr:row>34</xdr:row>
          <xdr:rowOff>0</xdr:rowOff>
        </xdr:to>
        <xdr:sp macro="" textlink="">
          <xdr:nvSpPr>
            <xdr:cNvPr id="62572" name="Check Box 108" hidden="1">
              <a:extLst>
                <a:ext uri="{63B3BB69-23CF-44E3-9099-C40C66FF867C}">
                  <a14:compatExt spid="_x0000_s62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161925</xdr:rowOff>
        </xdr:from>
        <xdr:to>
          <xdr:col>4</xdr:col>
          <xdr:colOff>2209800</xdr:colOff>
          <xdr:row>35</xdr:row>
          <xdr:rowOff>0</xdr:rowOff>
        </xdr:to>
        <xdr:sp macro="" textlink="">
          <xdr:nvSpPr>
            <xdr:cNvPr id="62573" name="Check Box 109" hidden="1">
              <a:extLst>
                <a:ext uri="{63B3BB69-23CF-44E3-9099-C40C66FF867C}">
                  <a14:compatExt spid="_x0000_s62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34</xdr:row>
          <xdr:rowOff>0</xdr:rowOff>
        </xdr:from>
        <xdr:to>
          <xdr:col>3</xdr:col>
          <xdr:colOff>1524000</xdr:colOff>
          <xdr:row>35</xdr:row>
          <xdr:rowOff>28575</xdr:rowOff>
        </xdr:to>
        <xdr:sp macro="" textlink="">
          <xdr:nvSpPr>
            <xdr:cNvPr id="62574" name="Check Box 110" hidden="1">
              <a:extLst>
                <a:ext uri="{63B3BB69-23CF-44E3-9099-C40C66FF867C}">
                  <a14:compatExt spid="_x0000_s62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161925</xdr:rowOff>
        </xdr:from>
        <xdr:to>
          <xdr:col>4</xdr:col>
          <xdr:colOff>2209800</xdr:colOff>
          <xdr:row>35</xdr:row>
          <xdr:rowOff>0</xdr:rowOff>
        </xdr:to>
        <xdr:sp macro="" textlink="">
          <xdr:nvSpPr>
            <xdr:cNvPr id="62575" name="Check Box 111" hidden="1">
              <a:extLst>
                <a:ext uri="{63B3BB69-23CF-44E3-9099-C40C66FF867C}">
                  <a14:compatExt spid="_x0000_s62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161925</xdr:rowOff>
        </xdr:from>
        <xdr:to>
          <xdr:col>4</xdr:col>
          <xdr:colOff>2209800</xdr:colOff>
          <xdr:row>36</xdr:row>
          <xdr:rowOff>0</xdr:rowOff>
        </xdr:to>
        <xdr:sp macro="" textlink="">
          <xdr:nvSpPr>
            <xdr:cNvPr id="62576" name="Check Box 112" hidden="1">
              <a:extLst>
                <a:ext uri="{63B3BB69-23CF-44E3-9099-C40C66FF867C}">
                  <a14:compatExt spid="_x0000_s62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35</xdr:row>
          <xdr:rowOff>0</xdr:rowOff>
        </xdr:from>
        <xdr:to>
          <xdr:col>3</xdr:col>
          <xdr:colOff>1524000</xdr:colOff>
          <xdr:row>36</xdr:row>
          <xdr:rowOff>28575</xdr:rowOff>
        </xdr:to>
        <xdr:sp macro="" textlink="">
          <xdr:nvSpPr>
            <xdr:cNvPr id="62577" name="Check Box 113" hidden="1">
              <a:extLst>
                <a:ext uri="{63B3BB69-23CF-44E3-9099-C40C66FF867C}">
                  <a14:compatExt spid="_x0000_s62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161925</xdr:rowOff>
        </xdr:from>
        <xdr:to>
          <xdr:col>4</xdr:col>
          <xdr:colOff>2209800</xdr:colOff>
          <xdr:row>36</xdr:row>
          <xdr:rowOff>0</xdr:rowOff>
        </xdr:to>
        <xdr:sp macro="" textlink="">
          <xdr:nvSpPr>
            <xdr:cNvPr id="62578" name="Check Box 114" hidden="1">
              <a:extLst>
                <a:ext uri="{63B3BB69-23CF-44E3-9099-C40C66FF867C}">
                  <a14:compatExt spid="_x0000_s62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161925</xdr:rowOff>
        </xdr:from>
        <xdr:to>
          <xdr:col>4</xdr:col>
          <xdr:colOff>2209800</xdr:colOff>
          <xdr:row>37</xdr:row>
          <xdr:rowOff>0</xdr:rowOff>
        </xdr:to>
        <xdr:sp macro="" textlink="">
          <xdr:nvSpPr>
            <xdr:cNvPr id="62579" name="Check Box 115" hidden="1">
              <a:extLst>
                <a:ext uri="{63B3BB69-23CF-44E3-9099-C40C66FF867C}">
                  <a14:compatExt spid="_x0000_s62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36</xdr:row>
          <xdr:rowOff>0</xdr:rowOff>
        </xdr:from>
        <xdr:to>
          <xdr:col>3</xdr:col>
          <xdr:colOff>1524000</xdr:colOff>
          <xdr:row>37</xdr:row>
          <xdr:rowOff>28575</xdr:rowOff>
        </xdr:to>
        <xdr:sp macro="" textlink="">
          <xdr:nvSpPr>
            <xdr:cNvPr id="62580" name="Check Box 116" hidden="1">
              <a:extLst>
                <a:ext uri="{63B3BB69-23CF-44E3-9099-C40C66FF867C}">
                  <a14:compatExt spid="_x0000_s62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161925</xdr:rowOff>
        </xdr:from>
        <xdr:to>
          <xdr:col>4</xdr:col>
          <xdr:colOff>2209800</xdr:colOff>
          <xdr:row>37</xdr:row>
          <xdr:rowOff>0</xdr:rowOff>
        </xdr:to>
        <xdr:sp macro="" textlink="">
          <xdr:nvSpPr>
            <xdr:cNvPr id="62581" name="Check Box 117" hidden="1">
              <a:extLst>
                <a:ext uri="{63B3BB69-23CF-44E3-9099-C40C66FF867C}">
                  <a14:compatExt spid="_x0000_s62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161925</xdr:rowOff>
        </xdr:from>
        <xdr:to>
          <xdr:col>4</xdr:col>
          <xdr:colOff>2209800</xdr:colOff>
          <xdr:row>38</xdr:row>
          <xdr:rowOff>0</xdr:rowOff>
        </xdr:to>
        <xdr:sp macro="" textlink="">
          <xdr:nvSpPr>
            <xdr:cNvPr id="62582" name="Check Box 118" hidden="1">
              <a:extLst>
                <a:ext uri="{63B3BB69-23CF-44E3-9099-C40C66FF867C}">
                  <a14:compatExt spid="_x0000_s62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37</xdr:row>
          <xdr:rowOff>0</xdr:rowOff>
        </xdr:from>
        <xdr:to>
          <xdr:col>3</xdr:col>
          <xdr:colOff>1524000</xdr:colOff>
          <xdr:row>38</xdr:row>
          <xdr:rowOff>28575</xdr:rowOff>
        </xdr:to>
        <xdr:sp macro="" textlink="">
          <xdr:nvSpPr>
            <xdr:cNvPr id="62583" name="Check Box 119" hidden="1">
              <a:extLst>
                <a:ext uri="{63B3BB69-23CF-44E3-9099-C40C66FF867C}">
                  <a14:compatExt spid="_x0000_s62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161925</xdr:rowOff>
        </xdr:from>
        <xdr:to>
          <xdr:col>4</xdr:col>
          <xdr:colOff>2209800</xdr:colOff>
          <xdr:row>38</xdr:row>
          <xdr:rowOff>0</xdr:rowOff>
        </xdr:to>
        <xdr:sp macro="" textlink="">
          <xdr:nvSpPr>
            <xdr:cNvPr id="62584" name="Check Box 120" hidden="1">
              <a:extLst>
                <a:ext uri="{63B3BB69-23CF-44E3-9099-C40C66FF867C}">
                  <a14:compatExt spid="_x0000_s62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161925</xdr:rowOff>
        </xdr:from>
        <xdr:to>
          <xdr:col>4</xdr:col>
          <xdr:colOff>2209800</xdr:colOff>
          <xdr:row>39</xdr:row>
          <xdr:rowOff>0</xdr:rowOff>
        </xdr:to>
        <xdr:sp macro="" textlink="">
          <xdr:nvSpPr>
            <xdr:cNvPr id="62585" name="Check Box 121" hidden="1">
              <a:extLst>
                <a:ext uri="{63B3BB69-23CF-44E3-9099-C40C66FF867C}">
                  <a14:compatExt spid="_x0000_s62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38</xdr:row>
          <xdr:rowOff>0</xdr:rowOff>
        </xdr:from>
        <xdr:to>
          <xdr:col>3</xdr:col>
          <xdr:colOff>1524000</xdr:colOff>
          <xdr:row>39</xdr:row>
          <xdr:rowOff>28575</xdr:rowOff>
        </xdr:to>
        <xdr:sp macro="" textlink="">
          <xdr:nvSpPr>
            <xdr:cNvPr id="62586" name="Check Box 122" hidden="1">
              <a:extLst>
                <a:ext uri="{63B3BB69-23CF-44E3-9099-C40C66FF867C}">
                  <a14:compatExt spid="_x0000_s62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161925</xdr:rowOff>
        </xdr:from>
        <xdr:to>
          <xdr:col>4</xdr:col>
          <xdr:colOff>2209800</xdr:colOff>
          <xdr:row>39</xdr:row>
          <xdr:rowOff>0</xdr:rowOff>
        </xdr:to>
        <xdr:sp macro="" textlink="">
          <xdr:nvSpPr>
            <xdr:cNvPr id="62587" name="Check Box 123" hidden="1">
              <a:extLst>
                <a:ext uri="{63B3BB69-23CF-44E3-9099-C40C66FF867C}">
                  <a14:compatExt spid="_x0000_s62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161925</xdr:rowOff>
        </xdr:from>
        <xdr:to>
          <xdr:col>4</xdr:col>
          <xdr:colOff>2209800</xdr:colOff>
          <xdr:row>40</xdr:row>
          <xdr:rowOff>0</xdr:rowOff>
        </xdr:to>
        <xdr:sp macro="" textlink="">
          <xdr:nvSpPr>
            <xdr:cNvPr id="62588" name="Check Box 124" hidden="1">
              <a:extLst>
                <a:ext uri="{63B3BB69-23CF-44E3-9099-C40C66FF867C}">
                  <a14:compatExt spid="_x0000_s62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39</xdr:row>
          <xdr:rowOff>0</xdr:rowOff>
        </xdr:from>
        <xdr:to>
          <xdr:col>3</xdr:col>
          <xdr:colOff>1524000</xdr:colOff>
          <xdr:row>40</xdr:row>
          <xdr:rowOff>28575</xdr:rowOff>
        </xdr:to>
        <xdr:sp macro="" textlink="">
          <xdr:nvSpPr>
            <xdr:cNvPr id="62589" name="Check Box 125" hidden="1">
              <a:extLst>
                <a:ext uri="{63B3BB69-23CF-44E3-9099-C40C66FF867C}">
                  <a14:compatExt spid="_x0000_s62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161925</xdr:rowOff>
        </xdr:from>
        <xdr:to>
          <xdr:col>4</xdr:col>
          <xdr:colOff>2209800</xdr:colOff>
          <xdr:row>40</xdr:row>
          <xdr:rowOff>0</xdr:rowOff>
        </xdr:to>
        <xdr:sp macro="" textlink="">
          <xdr:nvSpPr>
            <xdr:cNvPr id="62590" name="Check Box 126" hidden="1">
              <a:extLst>
                <a:ext uri="{63B3BB69-23CF-44E3-9099-C40C66FF867C}">
                  <a14:compatExt spid="_x0000_s62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161925</xdr:rowOff>
        </xdr:from>
        <xdr:to>
          <xdr:col>4</xdr:col>
          <xdr:colOff>2209800</xdr:colOff>
          <xdr:row>41</xdr:row>
          <xdr:rowOff>0</xdr:rowOff>
        </xdr:to>
        <xdr:sp macro="" textlink="">
          <xdr:nvSpPr>
            <xdr:cNvPr id="62591" name="Check Box 127" hidden="1">
              <a:extLst>
                <a:ext uri="{63B3BB69-23CF-44E3-9099-C40C66FF867C}">
                  <a14:compatExt spid="_x0000_s62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40</xdr:row>
          <xdr:rowOff>0</xdr:rowOff>
        </xdr:from>
        <xdr:to>
          <xdr:col>3</xdr:col>
          <xdr:colOff>1524000</xdr:colOff>
          <xdr:row>41</xdr:row>
          <xdr:rowOff>28575</xdr:rowOff>
        </xdr:to>
        <xdr:sp macro="" textlink="">
          <xdr:nvSpPr>
            <xdr:cNvPr id="62592" name="Check Box 128" hidden="1">
              <a:extLst>
                <a:ext uri="{63B3BB69-23CF-44E3-9099-C40C66FF867C}">
                  <a14:compatExt spid="_x0000_s62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161925</xdr:rowOff>
        </xdr:from>
        <xdr:to>
          <xdr:col>4</xdr:col>
          <xdr:colOff>2209800</xdr:colOff>
          <xdr:row>41</xdr:row>
          <xdr:rowOff>0</xdr:rowOff>
        </xdr:to>
        <xdr:sp macro="" textlink="">
          <xdr:nvSpPr>
            <xdr:cNvPr id="62593" name="Check Box 129" hidden="1">
              <a:extLst>
                <a:ext uri="{63B3BB69-23CF-44E3-9099-C40C66FF867C}">
                  <a14:compatExt spid="_x0000_s62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161925</xdr:rowOff>
        </xdr:from>
        <xdr:to>
          <xdr:col>4</xdr:col>
          <xdr:colOff>2209800</xdr:colOff>
          <xdr:row>42</xdr:row>
          <xdr:rowOff>0</xdr:rowOff>
        </xdr:to>
        <xdr:sp macro="" textlink="">
          <xdr:nvSpPr>
            <xdr:cNvPr id="62594" name="Check Box 130" hidden="1">
              <a:extLst>
                <a:ext uri="{63B3BB69-23CF-44E3-9099-C40C66FF867C}">
                  <a14:compatExt spid="_x0000_s62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41</xdr:row>
          <xdr:rowOff>0</xdr:rowOff>
        </xdr:from>
        <xdr:to>
          <xdr:col>3</xdr:col>
          <xdr:colOff>1524000</xdr:colOff>
          <xdr:row>42</xdr:row>
          <xdr:rowOff>28575</xdr:rowOff>
        </xdr:to>
        <xdr:sp macro="" textlink="">
          <xdr:nvSpPr>
            <xdr:cNvPr id="62595" name="Check Box 131" hidden="1">
              <a:extLst>
                <a:ext uri="{63B3BB69-23CF-44E3-9099-C40C66FF867C}">
                  <a14:compatExt spid="_x0000_s62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161925</xdr:rowOff>
        </xdr:from>
        <xdr:to>
          <xdr:col>4</xdr:col>
          <xdr:colOff>2209800</xdr:colOff>
          <xdr:row>42</xdr:row>
          <xdr:rowOff>0</xdr:rowOff>
        </xdr:to>
        <xdr:sp macro="" textlink="">
          <xdr:nvSpPr>
            <xdr:cNvPr id="62596" name="Check Box 132" hidden="1">
              <a:extLst>
                <a:ext uri="{63B3BB69-23CF-44E3-9099-C40C66FF867C}">
                  <a14:compatExt spid="_x0000_s62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161925</xdr:rowOff>
        </xdr:from>
        <xdr:to>
          <xdr:col>4</xdr:col>
          <xdr:colOff>2209800</xdr:colOff>
          <xdr:row>43</xdr:row>
          <xdr:rowOff>0</xdr:rowOff>
        </xdr:to>
        <xdr:sp macro="" textlink="">
          <xdr:nvSpPr>
            <xdr:cNvPr id="62597" name="Check Box 133" hidden="1">
              <a:extLst>
                <a:ext uri="{63B3BB69-23CF-44E3-9099-C40C66FF867C}">
                  <a14:compatExt spid="_x0000_s62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42</xdr:row>
          <xdr:rowOff>0</xdr:rowOff>
        </xdr:from>
        <xdr:to>
          <xdr:col>3</xdr:col>
          <xdr:colOff>1524000</xdr:colOff>
          <xdr:row>43</xdr:row>
          <xdr:rowOff>28575</xdr:rowOff>
        </xdr:to>
        <xdr:sp macro="" textlink="">
          <xdr:nvSpPr>
            <xdr:cNvPr id="62598" name="Check Box 134" hidden="1">
              <a:extLst>
                <a:ext uri="{63B3BB69-23CF-44E3-9099-C40C66FF867C}">
                  <a14:compatExt spid="_x0000_s62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161925</xdr:rowOff>
        </xdr:from>
        <xdr:to>
          <xdr:col>4</xdr:col>
          <xdr:colOff>2209800</xdr:colOff>
          <xdr:row>43</xdr:row>
          <xdr:rowOff>0</xdr:rowOff>
        </xdr:to>
        <xdr:sp macro="" textlink="">
          <xdr:nvSpPr>
            <xdr:cNvPr id="62599" name="Check Box 135" hidden="1">
              <a:extLst>
                <a:ext uri="{63B3BB69-23CF-44E3-9099-C40C66FF867C}">
                  <a14:compatExt spid="_x0000_s62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161925</xdr:rowOff>
        </xdr:from>
        <xdr:to>
          <xdr:col>4</xdr:col>
          <xdr:colOff>2209800</xdr:colOff>
          <xdr:row>44</xdr:row>
          <xdr:rowOff>0</xdr:rowOff>
        </xdr:to>
        <xdr:sp macro="" textlink="">
          <xdr:nvSpPr>
            <xdr:cNvPr id="62600" name="Check Box 136" hidden="1">
              <a:extLst>
                <a:ext uri="{63B3BB69-23CF-44E3-9099-C40C66FF867C}">
                  <a14:compatExt spid="_x0000_s62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43</xdr:row>
          <xdr:rowOff>0</xdr:rowOff>
        </xdr:from>
        <xdr:to>
          <xdr:col>3</xdr:col>
          <xdr:colOff>1524000</xdr:colOff>
          <xdr:row>44</xdr:row>
          <xdr:rowOff>28575</xdr:rowOff>
        </xdr:to>
        <xdr:sp macro="" textlink="">
          <xdr:nvSpPr>
            <xdr:cNvPr id="62601" name="Check Box 137" hidden="1">
              <a:extLst>
                <a:ext uri="{63B3BB69-23CF-44E3-9099-C40C66FF867C}">
                  <a14:compatExt spid="_x0000_s62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161925</xdr:rowOff>
        </xdr:from>
        <xdr:to>
          <xdr:col>4</xdr:col>
          <xdr:colOff>2209800</xdr:colOff>
          <xdr:row>44</xdr:row>
          <xdr:rowOff>0</xdr:rowOff>
        </xdr:to>
        <xdr:sp macro="" textlink="">
          <xdr:nvSpPr>
            <xdr:cNvPr id="62602" name="Check Box 138" hidden="1">
              <a:extLst>
                <a:ext uri="{63B3BB69-23CF-44E3-9099-C40C66FF867C}">
                  <a14:compatExt spid="_x0000_s62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161925</xdr:rowOff>
        </xdr:from>
        <xdr:to>
          <xdr:col>4</xdr:col>
          <xdr:colOff>2209800</xdr:colOff>
          <xdr:row>45</xdr:row>
          <xdr:rowOff>0</xdr:rowOff>
        </xdr:to>
        <xdr:sp macro="" textlink="">
          <xdr:nvSpPr>
            <xdr:cNvPr id="62603" name="Check Box 139" hidden="1">
              <a:extLst>
                <a:ext uri="{63B3BB69-23CF-44E3-9099-C40C66FF867C}">
                  <a14:compatExt spid="_x0000_s62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44</xdr:row>
          <xdr:rowOff>0</xdr:rowOff>
        </xdr:from>
        <xdr:to>
          <xdr:col>3</xdr:col>
          <xdr:colOff>1524000</xdr:colOff>
          <xdr:row>45</xdr:row>
          <xdr:rowOff>28575</xdr:rowOff>
        </xdr:to>
        <xdr:sp macro="" textlink="">
          <xdr:nvSpPr>
            <xdr:cNvPr id="62604" name="Check Box 140" hidden="1">
              <a:extLst>
                <a:ext uri="{63B3BB69-23CF-44E3-9099-C40C66FF867C}">
                  <a14:compatExt spid="_x0000_s62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161925</xdr:rowOff>
        </xdr:from>
        <xdr:to>
          <xdr:col>4</xdr:col>
          <xdr:colOff>2209800</xdr:colOff>
          <xdr:row>45</xdr:row>
          <xdr:rowOff>0</xdr:rowOff>
        </xdr:to>
        <xdr:sp macro="" textlink="">
          <xdr:nvSpPr>
            <xdr:cNvPr id="62605" name="Check Box 141" hidden="1">
              <a:extLst>
                <a:ext uri="{63B3BB69-23CF-44E3-9099-C40C66FF867C}">
                  <a14:compatExt spid="_x0000_s62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161925</xdr:rowOff>
        </xdr:from>
        <xdr:to>
          <xdr:col>4</xdr:col>
          <xdr:colOff>2209800</xdr:colOff>
          <xdr:row>46</xdr:row>
          <xdr:rowOff>0</xdr:rowOff>
        </xdr:to>
        <xdr:sp macro="" textlink="">
          <xdr:nvSpPr>
            <xdr:cNvPr id="62606" name="Check Box 142" hidden="1">
              <a:extLst>
                <a:ext uri="{63B3BB69-23CF-44E3-9099-C40C66FF867C}">
                  <a14:compatExt spid="_x0000_s62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45</xdr:row>
          <xdr:rowOff>0</xdr:rowOff>
        </xdr:from>
        <xdr:to>
          <xdr:col>3</xdr:col>
          <xdr:colOff>1524000</xdr:colOff>
          <xdr:row>46</xdr:row>
          <xdr:rowOff>28575</xdr:rowOff>
        </xdr:to>
        <xdr:sp macro="" textlink="">
          <xdr:nvSpPr>
            <xdr:cNvPr id="62607" name="Check Box 143" hidden="1">
              <a:extLst>
                <a:ext uri="{63B3BB69-23CF-44E3-9099-C40C66FF867C}">
                  <a14:compatExt spid="_x0000_s62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161925</xdr:rowOff>
        </xdr:from>
        <xdr:to>
          <xdr:col>4</xdr:col>
          <xdr:colOff>2209800</xdr:colOff>
          <xdr:row>46</xdr:row>
          <xdr:rowOff>0</xdr:rowOff>
        </xdr:to>
        <xdr:sp macro="" textlink="">
          <xdr:nvSpPr>
            <xdr:cNvPr id="62608" name="Check Box 144" hidden="1">
              <a:extLst>
                <a:ext uri="{63B3BB69-23CF-44E3-9099-C40C66FF867C}">
                  <a14:compatExt spid="_x0000_s62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161925</xdr:rowOff>
        </xdr:from>
        <xdr:to>
          <xdr:col>4</xdr:col>
          <xdr:colOff>2209800</xdr:colOff>
          <xdr:row>47</xdr:row>
          <xdr:rowOff>0</xdr:rowOff>
        </xdr:to>
        <xdr:sp macro="" textlink="">
          <xdr:nvSpPr>
            <xdr:cNvPr id="62609" name="Check Box 145" hidden="1">
              <a:extLst>
                <a:ext uri="{63B3BB69-23CF-44E3-9099-C40C66FF867C}">
                  <a14:compatExt spid="_x0000_s62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46</xdr:row>
          <xdr:rowOff>0</xdr:rowOff>
        </xdr:from>
        <xdr:to>
          <xdr:col>3</xdr:col>
          <xdr:colOff>1524000</xdr:colOff>
          <xdr:row>47</xdr:row>
          <xdr:rowOff>28575</xdr:rowOff>
        </xdr:to>
        <xdr:sp macro="" textlink="">
          <xdr:nvSpPr>
            <xdr:cNvPr id="62610" name="Check Box 146" hidden="1">
              <a:extLst>
                <a:ext uri="{63B3BB69-23CF-44E3-9099-C40C66FF867C}">
                  <a14:compatExt spid="_x0000_s62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161925</xdr:rowOff>
        </xdr:from>
        <xdr:to>
          <xdr:col>4</xdr:col>
          <xdr:colOff>2209800</xdr:colOff>
          <xdr:row>47</xdr:row>
          <xdr:rowOff>0</xdr:rowOff>
        </xdr:to>
        <xdr:sp macro="" textlink="">
          <xdr:nvSpPr>
            <xdr:cNvPr id="62611" name="Check Box 147" hidden="1">
              <a:extLst>
                <a:ext uri="{63B3BB69-23CF-44E3-9099-C40C66FF867C}">
                  <a14:compatExt spid="_x0000_s62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47</xdr:row>
          <xdr:rowOff>104775</xdr:rowOff>
        </xdr:from>
        <xdr:to>
          <xdr:col>3</xdr:col>
          <xdr:colOff>1514475</xdr:colOff>
          <xdr:row>47</xdr:row>
          <xdr:rowOff>323850</xdr:rowOff>
        </xdr:to>
        <xdr:sp macro="" textlink="">
          <xdr:nvSpPr>
            <xdr:cNvPr id="62613" name="Check Box 149" hidden="1">
              <a:extLst>
                <a:ext uri="{63B3BB69-23CF-44E3-9099-C40C66FF867C}">
                  <a14:compatExt spid="_x0000_s62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1914525</xdr:colOff>
          <xdr:row>47</xdr:row>
          <xdr:rowOff>76200</xdr:rowOff>
        </xdr:from>
        <xdr:to>
          <xdr:col>4</xdr:col>
          <xdr:colOff>2219325</xdr:colOff>
          <xdr:row>47</xdr:row>
          <xdr:rowOff>295275</xdr:rowOff>
        </xdr:to>
        <xdr:sp macro="" textlink="">
          <xdr:nvSpPr>
            <xdr:cNvPr id="62614" name="Check Box 150" hidden="1">
              <a:extLst>
                <a:ext uri="{63B3BB69-23CF-44E3-9099-C40C66FF867C}">
                  <a14:compatExt spid="_x0000_s6261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157.164.47.151/confluence/pages/viewpage.action?pageId=6357072" TargetMode="External"/><Relationship Id="rId7" Type="http://schemas.openxmlformats.org/officeDocument/2006/relationships/printerSettings" Target="../printerSettings/printerSettings4.bin"/><Relationship Id="rId2" Type="http://schemas.openxmlformats.org/officeDocument/2006/relationships/hyperlink" Target="http://157.164.47.151/confluence/display/METAWAL/Titre+court" TargetMode="External"/><Relationship Id="rId1" Type="http://schemas.openxmlformats.org/officeDocument/2006/relationships/hyperlink" Target="http://157.164.47.151/confluence/display/METAWAL/Titre" TargetMode="External"/><Relationship Id="rId6" Type="http://schemas.openxmlformats.org/officeDocument/2006/relationships/hyperlink" Target="http://157.164.47.151/confluence/display/METAWAL/Titre+court" TargetMode="External"/><Relationship Id="rId5" Type="http://schemas.openxmlformats.org/officeDocument/2006/relationships/hyperlink" Target="http://157.164.47.151/confluence/display/METAWAL/Titre+court" TargetMode="External"/><Relationship Id="rId4" Type="http://schemas.openxmlformats.org/officeDocument/2006/relationships/hyperlink" Target="http://157.164.47.151/confluence/display/METAWAL/Titre+court"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157.164.47.151/confluence/pages/viewpage.action?pageId=6357044" TargetMode="External"/><Relationship Id="rId13" Type="http://schemas.openxmlformats.org/officeDocument/2006/relationships/hyperlink" Target="http://157.164.47.151/confluence/display/METAWAL/Identifiant+de+la+ressource" TargetMode="External"/><Relationship Id="rId18" Type="http://schemas.openxmlformats.org/officeDocument/2006/relationships/hyperlink" Target="http://157.164.47.151/confluence/pages/viewpage.action?pageId=6357156" TargetMode="External"/><Relationship Id="rId26" Type="http://schemas.openxmlformats.org/officeDocument/2006/relationships/ctrlProp" Target="../ctrlProps/ctrlProp1.xml"/><Relationship Id="rId3" Type="http://schemas.openxmlformats.org/officeDocument/2006/relationships/hyperlink" Target="http://157.164.47.151/confluence/pages/viewpage.action?pageId=6357156" TargetMode="External"/><Relationship Id="rId21" Type="http://schemas.openxmlformats.org/officeDocument/2006/relationships/printerSettings" Target="../printerSettings/printerSettings5.bin"/><Relationship Id="rId7" Type="http://schemas.openxmlformats.org/officeDocument/2006/relationships/hyperlink" Target="http://157.164.47.151/confluence/pages/viewpage.action?pageId=6357156" TargetMode="External"/><Relationship Id="rId12" Type="http://schemas.openxmlformats.org/officeDocument/2006/relationships/hyperlink" Target="http://157.164.47.151/confluence/pages/viewpage.action?pageId=6357150" TargetMode="External"/><Relationship Id="rId17" Type="http://schemas.openxmlformats.org/officeDocument/2006/relationships/hyperlink" Target="http://157.164.47.151/confluence/display/METAWAL/Etat" TargetMode="External"/><Relationship Id="rId25" Type="http://schemas.openxmlformats.org/officeDocument/2006/relationships/image" Target="../media/image1.emf"/><Relationship Id="rId2" Type="http://schemas.openxmlformats.org/officeDocument/2006/relationships/hyperlink" Target="http://157.164.47.151/confluence/pages/viewpage.action?pageId=6357036" TargetMode="External"/><Relationship Id="rId16" Type="http://schemas.openxmlformats.org/officeDocument/2006/relationships/hyperlink" Target="http://157.164.47.151/confluence/pages/viewpage.action?pageId=14352509" TargetMode="External"/><Relationship Id="rId20" Type="http://schemas.openxmlformats.org/officeDocument/2006/relationships/hyperlink" Target="http://www.eionet.europa.eu/gemet/fr/themes/" TargetMode="External"/><Relationship Id="rId1" Type="http://schemas.openxmlformats.org/officeDocument/2006/relationships/hyperlink" Target="http://157.164.47.151/confluence/pages/viewpage.action?pageId=6357036" TargetMode="External"/><Relationship Id="rId6" Type="http://schemas.openxmlformats.org/officeDocument/2006/relationships/hyperlink" Target="http://157.164.47.151/confluence/pages/viewpage.action?pageId=6357156" TargetMode="External"/><Relationship Id="rId11" Type="http://schemas.openxmlformats.org/officeDocument/2006/relationships/hyperlink" Target="http://157.164.47.151/confluence/display/METAWAL/Langue+de+la+ressource" TargetMode="External"/><Relationship Id="rId24" Type="http://schemas.openxmlformats.org/officeDocument/2006/relationships/control" Target="../activeX/activeX1.xml"/><Relationship Id="rId5" Type="http://schemas.openxmlformats.org/officeDocument/2006/relationships/hyperlink" Target="http://157.164.47.151/confluence/pages/viewpage.action?pageId=6357156" TargetMode="External"/><Relationship Id="rId15" Type="http://schemas.openxmlformats.org/officeDocument/2006/relationships/hyperlink" Target="http://157.164.47.151/confluence/pages/viewpage.action?pageId=14352509" TargetMode="External"/><Relationship Id="rId23" Type="http://schemas.openxmlformats.org/officeDocument/2006/relationships/vmlDrawing" Target="../drawings/vmlDrawing1.vml"/><Relationship Id="rId10" Type="http://schemas.openxmlformats.org/officeDocument/2006/relationships/hyperlink" Target="http://157.164.47.151/confluence/pages/viewpage.action?pageId=6357044" TargetMode="External"/><Relationship Id="rId19" Type="http://schemas.openxmlformats.org/officeDocument/2006/relationships/hyperlink" Target="http://157.164.47.151/confluence/pages/viewpage.action?pageId=6357156" TargetMode="External"/><Relationship Id="rId4" Type="http://schemas.openxmlformats.org/officeDocument/2006/relationships/hyperlink" Target="http://157.164.47.151/confluence/pages/viewpage.action?pageId=6357166" TargetMode="External"/><Relationship Id="rId9" Type="http://schemas.openxmlformats.org/officeDocument/2006/relationships/hyperlink" Target="http://157.164.47.151/confluence/pages/viewpage.action?pageId=6357044" TargetMode="External"/><Relationship Id="rId14" Type="http://schemas.openxmlformats.org/officeDocument/2006/relationships/hyperlink" Target="http://157.164.47.151/confluence/pages/viewpage.action?pageId=6357160" TargetMode="External"/><Relationship Id="rId22" Type="http://schemas.openxmlformats.org/officeDocument/2006/relationships/drawing" Target="../drawings/drawing1.xml"/><Relationship Id="rId27" Type="http://schemas.openxmlformats.org/officeDocument/2006/relationships/comments" Target="../comments1.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157.164.47.151/confluence/display/METAWAL/Organisation" TargetMode="External"/><Relationship Id="rId7" Type="http://schemas.openxmlformats.org/officeDocument/2006/relationships/drawing" Target="../drawings/drawing2.xml"/><Relationship Id="rId2"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pages/viewpage.action?pageId=6357099" TargetMode="External"/><Relationship Id="rId6" Type="http://schemas.openxmlformats.org/officeDocument/2006/relationships/printerSettings" Target="../printerSettings/printerSettings6.bin"/><Relationship Id="rId11" Type="http://schemas.openxmlformats.org/officeDocument/2006/relationships/comments" Target="../comments2.xml"/><Relationship Id="rId5" Type="http://schemas.openxmlformats.org/officeDocument/2006/relationships/hyperlink" Target="http://geoportail.wallonie.be/" TargetMode="External"/><Relationship Id="rId10" Type="http://schemas.openxmlformats.org/officeDocument/2006/relationships/image" Target="../media/image2.emf"/><Relationship Id="rId4" Type="http://schemas.openxmlformats.org/officeDocument/2006/relationships/hyperlink" Target="http://157.164.47.151/confluence/display/METAWAL/Nom+de+la+personne" TargetMode="External"/><Relationship Id="rId9"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8" Type="http://schemas.openxmlformats.org/officeDocument/2006/relationships/hyperlink" Target="http://157.164.47.151/confluence/display/METAWAL/Contraintes+sur+la+ressource" TargetMode="External"/><Relationship Id="rId13" Type="http://schemas.openxmlformats.org/officeDocument/2006/relationships/hyperlink" Target="http://157.164.47.151/confluence/display/METAWAL/Contraintes+sur+la+ressource" TargetMode="External"/><Relationship Id="rId18" Type="http://schemas.openxmlformats.org/officeDocument/2006/relationships/hyperlink" Target="http://157.164.47.151/confluence/display/METAWAL/Contraintes+sur+la+ressource" TargetMode="External"/><Relationship Id="rId26" Type="http://schemas.openxmlformats.org/officeDocument/2006/relationships/ctrlProp" Target="../ctrlProps/ctrlProp6.xml"/><Relationship Id="rId3" Type="http://schemas.openxmlformats.org/officeDocument/2006/relationships/hyperlink" Target="http://157.164.47.151/confluence/display/METAWAL/Contraintes+sur+la+ressource" TargetMode="External"/><Relationship Id="rId21" Type="http://schemas.openxmlformats.org/officeDocument/2006/relationships/vmlDrawing" Target="../drawings/vmlDrawing3.vml"/><Relationship Id="rId34" Type="http://schemas.openxmlformats.org/officeDocument/2006/relationships/ctrlProp" Target="../ctrlProps/ctrlProp14.xml"/><Relationship Id="rId7" Type="http://schemas.openxmlformats.org/officeDocument/2006/relationships/hyperlink" Target="http://157.164.47.151/confluence/display/METAWAL/Contraintes+sur+la+ressource" TargetMode="External"/><Relationship Id="rId12" Type="http://schemas.openxmlformats.org/officeDocument/2006/relationships/hyperlink" Target="http://157.164.47.151/confluence/display/METAWAL/Contraintes+sur+la+ressource" TargetMode="External"/><Relationship Id="rId17" Type="http://schemas.openxmlformats.org/officeDocument/2006/relationships/hyperlink" Target="http://157.164.47.151/confluence/display/METAWAL/Contraintes+sur+la+ressource" TargetMode="External"/><Relationship Id="rId25" Type="http://schemas.openxmlformats.org/officeDocument/2006/relationships/ctrlProp" Target="../ctrlProps/ctrlProp5.xml"/><Relationship Id="rId33" Type="http://schemas.openxmlformats.org/officeDocument/2006/relationships/ctrlProp" Target="../ctrlProps/ctrlProp13.xml"/><Relationship Id="rId2" Type="http://schemas.openxmlformats.org/officeDocument/2006/relationships/hyperlink" Target="http://157.164.47.151/confluence/display/METAWAL/Contraintes+sur+la+ressource" TargetMode="External"/><Relationship Id="rId16" Type="http://schemas.openxmlformats.org/officeDocument/2006/relationships/hyperlink" Target="http://157.164.47.151/confluence/display/METAWAL/Contraintes+sur+la+ressource" TargetMode="External"/><Relationship Id="rId20" Type="http://schemas.openxmlformats.org/officeDocument/2006/relationships/drawing" Target="../drawings/drawing3.xml"/><Relationship Id="rId29" Type="http://schemas.openxmlformats.org/officeDocument/2006/relationships/ctrlProp" Target="../ctrlProps/ctrlProp9.xml"/><Relationship Id="rId1" Type="http://schemas.openxmlformats.org/officeDocument/2006/relationships/hyperlink" Target="http://157.164.47.151/confluence/display/METAWAL/Contraintes+sur+la+ressource" TargetMode="External"/><Relationship Id="rId6" Type="http://schemas.openxmlformats.org/officeDocument/2006/relationships/hyperlink" Target="http://157.164.47.151/confluence/display/METAWAL/Contraintes+sur+la+ressource" TargetMode="External"/><Relationship Id="rId11" Type="http://schemas.openxmlformats.org/officeDocument/2006/relationships/hyperlink" Target="http://157.164.47.151/confluence/display/METAWAL/Contraintes+sur+la+ressource" TargetMode="Externa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omments" Target="../comments3.xml"/><Relationship Id="rId5" Type="http://schemas.openxmlformats.org/officeDocument/2006/relationships/hyperlink" Target="http://157.164.47.151/confluence/display/METAWAL/Contraintes+sur+la+ressource" TargetMode="External"/><Relationship Id="rId15" Type="http://schemas.openxmlformats.org/officeDocument/2006/relationships/hyperlink" Target="http://157.164.47.151/confluence/display/METAWAL/Contraintes+sur+la+ressource" TargetMode="Externa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10" Type="http://schemas.openxmlformats.org/officeDocument/2006/relationships/hyperlink" Target="http://157.164.47.151/confluence/display/METAWAL/Contraintes+sur+la+ressource" TargetMode="External"/><Relationship Id="rId19" Type="http://schemas.openxmlformats.org/officeDocument/2006/relationships/printerSettings" Target="../printerSettings/printerSettings7.bin"/><Relationship Id="rId31" Type="http://schemas.openxmlformats.org/officeDocument/2006/relationships/ctrlProp" Target="../ctrlProps/ctrlProp11.xml"/><Relationship Id="rId4" Type="http://schemas.openxmlformats.org/officeDocument/2006/relationships/hyperlink" Target="http://157.164.47.151/confluence/display/METAWAL/Contraintes+sur+la+ressource" TargetMode="External"/><Relationship Id="rId9" Type="http://schemas.openxmlformats.org/officeDocument/2006/relationships/hyperlink" Target="http://157.164.47.151/confluence/display/METAWAL/Contraintes+sur+la+ressource" TargetMode="External"/><Relationship Id="rId14" Type="http://schemas.openxmlformats.org/officeDocument/2006/relationships/hyperlink" Target="http://157.164.47.151/confluence/display/METAWAL/Contraintes+sur+la+ressource" TargetMode="Externa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Processus+de+distribution+et+de+commande" TargetMode="External"/><Relationship Id="rId26" Type="http://schemas.openxmlformats.org/officeDocument/2006/relationships/hyperlink" Target="http://geoportail.wallonie.be/" TargetMode="External"/><Relationship Id="rId39" Type="http://schemas.openxmlformats.org/officeDocument/2006/relationships/hyperlink" Target="http://geoportail.wallonie.be/" TargetMode="External"/><Relationship Id="rId3" Type="http://schemas.openxmlformats.org/officeDocument/2006/relationships/hyperlink" Target="http://157.164.47.151/confluence/display/METAWAL/Ressource+en+ligne" TargetMode="External"/><Relationship Id="rId21" Type="http://schemas.openxmlformats.org/officeDocument/2006/relationships/hyperlink" Target="http://157.164.47.151/confluence/display/METAWAL/Format+de+distribution" TargetMode="External"/><Relationship Id="rId34" Type="http://schemas.openxmlformats.org/officeDocument/2006/relationships/hyperlink" Target="http://157.164.47.151/confluence/display/METAWAL/Format+de+distribution" TargetMode="External"/><Relationship Id="rId42" Type="http://schemas.openxmlformats.org/officeDocument/2006/relationships/hyperlink" Target="http://157.164.47.151/confluence/display/METAWAL/Format+de+distribution" TargetMode="External"/><Relationship Id="rId47" Type="http://schemas.openxmlformats.org/officeDocument/2006/relationships/hyperlink" Target="http://157.164.47.151/confluence/display/METAWAL/Ressource+en+ligne" TargetMode="External"/><Relationship Id="rId50" Type="http://schemas.openxmlformats.org/officeDocument/2006/relationships/hyperlink" Target="http://geoservices.wallonie.be/arcgis/services/INDUSTRIES_SERVICES/SEVESO/MapServer/WMSServer"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Format+de+distribution" TargetMode="External"/><Relationship Id="rId17" Type="http://schemas.openxmlformats.org/officeDocument/2006/relationships/hyperlink" Target="http://geoportail.wallonie.be/" TargetMode="External"/><Relationship Id="rId25" Type="http://schemas.openxmlformats.org/officeDocument/2006/relationships/hyperlink" Target="http://157.164.47.151/confluence/display/METAWAL/Ressource+en+ligne" TargetMode="External"/><Relationship Id="rId33" Type="http://schemas.openxmlformats.org/officeDocument/2006/relationships/hyperlink" Target="http://157.164.47.151/confluence/display/METAWAL/Format+de+distribution" TargetMode="External"/><Relationship Id="rId38" Type="http://schemas.openxmlformats.org/officeDocument/2006/relationships/hyperlink" Target="http://157.164.47.151/confluence/display/METAWAL/Ressource+en+ligne" TargetMode="External"/><Relationship Id="rId46" Type="http://schemas.openxmlformats.org/officeDocument/2006/relationships/hyperlink" Target="http://157.164.47.151/confluence/display/METAWAL/Ressource+en+ligne" TargetMode="External"/><Relationship Id="rId2" Type="http://schemas.openxmlformats.org/officeDocument/2006/relationships/hyperlink" Target="http://157.164.47.151/confluence/display/METAWAL/Ressource+en+lign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Format+de+distribution" TargetMode="External"/><Relationship Id="rId29" Type="http://schemas.openxmlformats.org/officeDocument/2006/relationships/hyperlink" Target="http://157.164.47.151/confluence/display/METAWAL/Format+de+distribution" TargetMode="External"/><Relationship Id="rId41"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display/METAWAL/Ressource+en+ligne"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Format+de+distribution" TargetMode="External"/><Relationship Id="rId24" Type="http://schemas.openxmlformats.org/officeDocument/2006/relationships/hyperlink" Target="http://157.164.47.151/confluence/display/METAWAL/Ressource+en+ligne" TargetMode="External"/><Relationship Id="rId32" Type="http://schemas.openxmlformats.org/officeDocument/2006/relationships/hyperlink" Target="http://157.164.47.151/confluence/pages/viewpage.action?pageId=6357097" TargetMode="External"/><Relationship Id="rId37" Type="http://schemas.openxmlformats.org/officeDocument/2006/relationships/hyperlink" Target="http://157.164.47.151/confluence/display/METAWAL/Ressource+en+ligne" TargetMode="External"/><Relationship Id="rId40" Type="http://schemas.openxmlformats.org/officeDocument/2006/relationships/hyperlink" Target="http://157.164.47.151/confluence/display/METAWAL/Processus+de+distribution+et+de+commande" TargetMode="External"/><Relationship Id="rId45" Type="http://schemas.openxmlformats.org/officeDocument/2006/relationships/hyperlink" Target="http://157.164.47.151/confluence/display/METAWAL/Ressource+en+ligne" TargetMode="External"/><Relationship Id="rId53" Type="http://schemas.openxmlformats.org/officeDocument/2006/relationships/comments" Target="../comments4.xm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157.164.47.151/confluence/display/METAWAL/Ressource+en+ligne" TargetMode="External"/><Relationship Id="rId28" Type="http://schemas.openxmlformats.org/officeDocument/2006/relationships/hyperlink" Target="http://157.164.47.151/confluence/pages/viewpage.action?pageId=6357097" TargetMode="External"/><Relationship Id="rId36" Type="http://schemas.openxmlformats.org/officeDocument/2006/relationships/hyperlink" Target="http://157.164.47.151/confluence/display/METAWAL/Ressource+en+ligne" TargetMode="External"/><Relationship Id="rId49" Type="http://schemas.openxmlformats.org/officeDocument/2006/relationships/hyperlink" Target="http://geoapps.wallonie.be/inondations" TargetMode="External"/><Relationship Id="rId10" Type="http://schemas.openxmlformats.org/officeDocument/2006/relationships/hyperlink" Target="http://157.164.47.151/confluence/pages/viewpage.action?pageId=6357097" TargetMode="External"/><Relationship Id="rId19" Type="http://schemas.openxmlformats.org/officeDocument/2006/relationships/hyperlink" Target="http://157.164.47.151/confluence/pages/viewpage.action?pageId=6357097" TargetMode="External"/><Relationship Id="rId31" Type="http://schemas.openxmlformats.org/officeDocument/2006/relationships/hyperlink" Target="http://157.164.47.151/confluence/display/METAWAL/Processus+de+distribution+et+de+commande" TargetMode="External"/><Relationship Id="rId44" Type="http://schemas.openxmlformats.org/officeDocument/2006/relationships/hyperlink" Target="http://157.164.47.151/confluence/display/METAWAL/Ressource+en+ligne" TargetMode="External"/><Relationship Id="rId52" Type="http://schemas.openxmlformats.org/officeDocument/2006/relationships/vmlDrawing" Target="../drawings/vmlDrawing4.vml"/><Relationship Id="rId4" Type="http://schemas.openxmlformats.org/officeDocument/2006/relationships/hyperlink" Target="http://157.164.47.151/confluence/display/METAWAL/Ressource+en+ligne" TargetMode="External"/><Relationship Id="rId9" Type="http://schemas.openxmlformats.org/officeDocument/2006/relationships/hyperlink" Target="http://157.164.47.151/confluence/display/METAWAL/Processus+de+distribution+et+de+command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157.164.47.151/confluence/display/METAWAL/Ressource+en+ligne" TargetMode="External"/><Relationship Id="rId27" Type="http://schemas.openxmlformats.org/officeDocument/2006/relationships/hyperlink" Target="http://157.164.47.151/confluence/display/METAWAL/Processus+de+distribution+et+de+commande" TargetMode="External"/><Relationship Id="rId30" Type="http://schemas.openxmlformats.org/officeDocument/2006/relationships/hyperlink" Target="http://157.164.47.151/confluence/display/METAWAL/Format+de+distribution" TargetMode="External"/><Relationship Id="rId35" Type="http://schemas.openxmlformats.org/officeDocument/2006/relationships/hyperlink" Target="http://157.164.47.151/confluence/display/METAWAL/Ressource+en+ligne" TargetMode="External"/><Relationship Id="rId43" Type="http://schemas.openxmlformats.org/officeDocument/2006/relationships/hyperlink" Target="http://157.164.47.151/confluence/display/METAWAL/Format+de+distribution" TargetMode="External"/><Relationship Id="rId48" Type="http://schemas.openxmlformats.org/officeDocument/2006/relationships/hyperlink" Target="http://geoportail.wallonie.be/" TargetMode="External"/><Relationship Id="rId8" Type="http://schemas.openxmlformats.org/officeDocument/2006/relationships/hyperlink" Target="http://157.164.47.151/confluence/display/METAWAL/Ressource+en+ligne" TargetMode="External"/><Relationship Id="rId5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hyperlink" Target="http://157.164.47.151/confluence/pages/viewpage.action?pageId=6357298" TargetMode="External"/><Relationship Id="rId2" Type="http://schemas.openxmlformats.org/officeDocument/2006/relationships/hyperlink" Target="http://157.164.47.151/confluence/pages/viewpage.action?pageId=6357160" TargetMode="External"/><Relationship Id="rId1" Type="http://schemas.openxmlformats.org/officeDocument/2006/relationships/hyperlink" Target="http://157.164.47.151/confluence/pages/viewpage.action?pageId=6357160" TargetMode="External"/><Relationship Id="rId4"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ctrlProp" Target="../ctrlProps/ctrlProp96.xml"/><Relationship Id="rId89" Type="http://schemas.openxmlformats.org/officeDocument/2006/relationships/ctrlProp" Target="../ctrlProps/ctrlProp101.xml"/><Relationship Id="rId2" Type="http://schemas.openxmlformats.org/officeDocument/2006/relationships/printerSettings" Target="../printerSettings/printerSettings10.bin"/><Relationship Id="rId16" Type="http://schemas.openxmlformats.org/officeDocument/2006/relationships/ctrlProp" Target="../ctrlProps/ctrlProp28.xml"/><Relationship Id="rId29" Type="http://schemas.openxmlformats.org/officeDocument/2006/relationships/ctrlProp" Target="../ctrlProps/ctrlProp41.xml"/><Relationship Id="rId107" Type="http://schemas.openxmlformats.org/officeDocument/2006/relationships/ctrlProp" Target="../ctrlProps/ctrlProp119.xml"/><Relationship Id="rId11" Type="http://schemas.openxmlformats.org/officeDocument/2006/relationships/ctrlProp" Target="../ctrlProps/ctrlProp23.xml"/><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45" Type="http://schemas.openxmlformats.org/officeDocument/2006/relationships/ctrlProp" Target="../ctrlProps/ctrlProp57.xml"/><Relationship Id="rId53" Type="http://schemas.openxmlformats.org/officeDocument/2006/relationships/ctrlProp" Target="../ctrlProps/ctrlProp65.xml"/><Relationship Id="rId58" Type="http://schemas.openxmlformats.org/officeDocument/2006/relationships/ctrlProp" Target="../ctrlProps/ctrlProp70.xml"/><Relationship Id="rId66" Type="http://schemas.openxmlformats.org/officeDocument/2006/relationships/ctrlProp" Target="../ctrlProps/ctrlProp78.xml"/><Relationship Id="rId74" Type="http://schemas.openxmlformats.org/officeDocument/2006/relationships/ctrlProp" Target="../ctrlProps/ctrlProp86.xml"/><Relationship Id="rId79" Type="http://schemas.openxmlformats.org/officeDocument/2006/relationships/ctrlProp" Target="../ctrlProps/ctrlProp91.xml"/><Relationship Id="rId87" Type="http://schemas.openxmlformats.org/officeDocument/2006/relationships/ctrlProp" Target="../ctrlProps/ctrlProp99.xml"/><Relationship Id="rId102" Type="http://schemas.openxmlformats.org/officeDocument/2006/relationships/ctrlProp" Target="../ctrlProps/ctrlProp114.xml"/><Relationship Id="rId5" Type="http://schemas.openxmlformats.org/officeDocument/2006/relationships/ctrlProp" Target="../ctrlProps/ctrlProp17.xml"/><Relationship Id="rId61" Type="http://schemas.openxmlformats.org/officeDocument/2006/relationships/ctrlProp" Target="../ctrlProps/ctrlProp73.xml"/><Relationship Id="rId82" Type="http://schemas.openxmlformats.org/officeDocument/2006/relationships/ctrlProp" Target="../ctrlProps/ctrlProp94.xml"/><Relationship Id="rId90" Type="http://schemas.openxmlformats.org/officeDocument/2006/relationships/ctrlProp" Target="../ctrlProps/ctrlProp102.xml"/><Relationship Id="rId95" Type="http://schemas.openxmlformats.org/officeDocument/2006/relationships/ctrlProp" Target="../ctrlProps/ctrlProp107.xml"/><Relationship Id="rId19" Type="http://schemas.openxmlformats.org/officeDocument/2006/relationships/ctrlProp" Target="../ctrlProps/ctrlProp3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48" Type="http://schemas.openxmlformats.org/officeDocument/2006/relationships/ctrlProp" Target="../ctrlProps/ctrlProp60.xml"/><Relationship Id="rId56" Type="http://schemas.openxmlformats.org/officeDocument/2006/relationships/ctrlProp" Target="../ctrlProps/ctrlProp68.xml"/><Relationship Id="rId64" Type="http://schemas.openxmlformats.org/officeDocument/2006/relationships/ctrlProp" Target="../ctrlProps/ctrlProp76.xml"/><Relationship Id="rId69" Type="http://schemas.openxmlformats.org/officeDocument/2006/relationships/ctrlProp" Target="../ctrlProps/ctrlProp81.xml"/><Relationship Id="rId77" Type="http://schemas.openxmlformats.org/officeDocument/2006/relationships/ctrlProp" Target="../ctrlProps/ctrlProp89.xml"/><Relationship Id="rId100" Type="http://schemas.openxmlformats.org/officeDocument/2006/relationships/ctrlProp" Target="../ctrlProps/ctrlProp112.xml"/><Relationship Id="rId105" Type="http://schemas.openxmlformats.org/officeDocument/2006/relationships/ctrlProp" Target="../ctrlProps/ctrlProp117.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ctrlProp" Target="../ctrlProps/ctrlProp84.xml"/><Relationship Id="rId80" Type="http://schemas.openxmlformats.org/officeDocument/2006/relationships/ctrlProp" Target="../ctrlProps/ctrlProp92.xml"/><Relationship Id="rId85" Type="http://schemas.openxmlformats.org/officeDocument/2006/relationships/ctrlProp" Target="../ctrlProps/ctrlProp97.xml"/><Relationship Id="rId93" Type="http://schemas.openxmlformats.org/officeDocument/2006/relationships/ctrlProp" Target="../ctrlProps/ctrlProp105.xml"/><Relationship Id="rId98" Type="http://schemas.openxmlformats.org/officeDocument/2006/relationships/ctrlProp" Target="../ctrlProps/ctrlProp110.xml"/><Relationship Id="rId3" Type="http://schemas.openxmlformats.org/officeDocument/2006/relationships/drawing" Target="../drawings/drawing4.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103" Type="http://schemas.openxmlformats.org/officeDocument/2006/relationships/ctrlProp" Target="../ctrlProps/ctrlProp115.xml"/><Relationship Id="rId108" Type="http://schemas.openxmlformats.org/officeDocument/2006/relationships/ctrlProp" Target="../ctrlProps/ctrlProp120.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ctrlProp" Target="../ctrlProps/ctrlProp82.xml"/><Relationship Id="rId75" Type="http://schemas.openxmlformats.org/officeDocument/2006/relationships/ctrlProp" Target="../ctrlProps/ctrlProp87.xml"/><Relationship Id="rId83" Type="http://schemas.openxmlformats.org/officeDocument/2006/relationships/ctrlProp" Target="../ctrlProps/ctrlProp95.xml"/><Relationship Id="rId88" Type="http://schemas.openxmlformats.org/officeDocument/2006/relationships/ctrlProp" Target="../ctrlProps/ctrlProp100.xml"/><Relationship Id="rId91" Type="http://schemas.openxmlformats.org/officeDocument/2006/relationships/ctrlProp" Target="../ctrlProps/ctrlProp103.xml"/><Relationship Id="rId96" Type="http://schemas.openxmlformats.org/officeDocument/2006/relationships/ctrlProp" Target="../ctrlProps/ctrlProp108.xml"/><Relationship Id="rId1" Type="http://schemas.openxmlformats.org/officeDocument/2006/relationships/hyperlink" Target="http://157.164.47.151/confluence/pages/viewpage.action?pageId=6357156" TargetMode="External"/><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6" Type="http://schemas.openxmlformats.org/officeDocument/2006/relationships/ctrlProp" Target="../ctrlProps/ctrlProp118.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ctrlProp" Target="../ctrlProps/ctrlProp85.xml"/><Relationship Id="rId78" Type="http://schemas.openxmlformats.org/officeDocument/2006/relationships/ctrlProp" Target="../ctrlProps/ctrlProp90.xml"/><Relationship Id="rId81" Type="http://schemas.openxmlformats.org/officeDocument/2006/relationships/ctrlProp" Target="../ctrlProps/ctrlProp93.xml"/><Relationship Id="rId86" Type="http://schemas.openxmlformats.org/officeDocument/2006/relationships/ctrlProp" Target="../ctrlProps/ctrlProp98.xml"/><Relationship Id="rId94" Type="http://schemas.openxmlformats.org/officeDocument/2006/relationships/ctrlProp" Target="../ctrlProps/ctrlProp106.xml"/><Relationship Id="rId99" Type="http://schemas.openxmlformats.org/officeDocument/2006/relationships/ctrlProp" Target="../ctrlProps/ctrlProp111.xml"/><Relationship Id="rId101" Type="http://schemas.openxmlformats.org/officeDocument/2006/relationships/ctrlProp" Target="../ctrlProps/ctrlProp113.xml"/><Relationship Id="rId4" Type="http://schemas.openxmlformats.org/officeDocument/2006/relationships/vmlDrawing" Target="../drawings/vmlDrawing5.v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109" Type="http://schemas.openxmlformats.org/officeDocument/2006/relationships/comments" Target="../comments5.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ctrlProp" Target="../ctrlProps/ctrlProp88.xml"/><Relationship Id="rId97" Type="http://schemas.openxmlformats.org/officeDocument/2006/relationships/ctrlProp" Target="../ctrlProps/ctrlProp109.xml"/><Relationship Id="rId104" Type="http://schemas.openxmlformats.org/officeDocument/2006/relationships/ctrlProp" Target="../ctrlProps/ctrlProp116.xml"/><Relationship Id="rId7" Type="http://schemas.openxmlformats.org/officeDocument/2006/relationships/ctrlProp" Target="../ctrlProps/ctrlProp19.xml"/><Relationship Id="rId71" Type="http://schemas.openxmlformats.org/officeDocument/2006/relationships/ctrlProp" Target="../ctrlProps/ctrlProp83.xml"/><Relationship Id="rId92" Type="http://schemas.openxmlformats.org/officeDocument/2006/relationships/ctrlProp" Target="../ctrlProps/ctrlProp104.xml"/></Relationships>
</file>

<file path=xl/worksheets/_rels/sheet14.xml.rels><?xml version="1.0" encoding="UTF-8" standalone="yes"?>
<Relationships xmlns="http://schemas.openxmlformats.org/package/2006/relationships"><Relationship Id="rId8" Type="http://schemas.openxmlformats.org/officeDocument/2006/relationships/hyperlink" Target="http://157.164.47.151/confluence/display/METAWAL/Ressource+en+ligne" TargetMode="External"/><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Ressource+en+ligne" TargetMode="External"/><Relationship Id="rId26" Type="http://schemas.openxmlformats.org/officeDocument/2006/relationships/comments" Target="../comments6.xml"/><Relationship Id="rId3" Type="http://schemas.openxmlformats.org/officeDocument/2006/relationships/hyperlink" Target="http://157.164.47.151/confluence/display/METAWAL/Vignette" TargetMode="External"/><Relationship Id="rId21" Type="http://schemas.openxmlformats.org/officeDocument/2006/relationships/hyperlink" Target="http://geoportail.wallonie.be/files/docs/Inondations/AleaEtZi_2013/Note_methodo_carto20131015_Final.pdf"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Ressource+en+ligne" TargetMode="External"/><Relationship Id="rId17" Type="http://schemas.openxmlformats.org/officeDocument/2006/relationships/hyperlink" Target="http://157.164.47.151/confluence/display/METAWAL/Ressource+en+ligne" TargetMode="External"/><Relationship Id="rId25" Type="http://schemas.openxmlformats.org/officeDocument/2006/relationships/vmlDrawing" Target="../drawings/vmlDrawing6.vml"/><Relationship Id="rId2" Type="http://schemas.openxmlformats.org/officeDocument/2006/relationships/hyperlink" Target="http://157.164.47.151/confluence/display/METAWAL/Vignett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Ressource+en+ligne" TargetMode="External"/><Relationship Id="rId1" Type="http://schemas.openxmlformats.org/officeDocument/2006/relationships/hyperlink" Target="http://157.164.47.151/confluence/pages/viewpage.action?pageId=6357070"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Ressource+en+ligne" TargetMode="External"/><Relationship Id="rId24" Type="http://schemas.openxmlformats.org/officeDocument/2006/relationships/hyperlink" Target="http://environnement.wallonie.be/inondations/" TargetMode="Externa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metawal.wallonie.be/geonetwork/srv/en/resources.get?id=431&amp;fname=Visio-ALEA_INOND_2013Diagram.pdf&amp;access=private" TargetMode="External"/><Relationship Id="rId10" Type="http://schemas.openxmlformats.org/officeDocument/2006/relationships/hyperlink" Target="http://157.164.47.151/confluence/display/METAWAL/Ressource+en+ligne" TargetMode="External"/><Relationship Id="rId19" Type="http://schemas.openxmlformats.org/officeDocument/2006/relationships/hyperlink" Target="http://157.164.47.151/confluence/display/METAWAL/Ressource+en+ligne" TargetMode="External"/><Relationship Id="rId4" Type="http://schemas.openxmlformats.org/officeDocument/2006/relationships/hyperlink" Target="http://157.164.47.151/confluence/display/METAWAL/Vignette" TargetMode="External"/><Relationship Id="rId9" Type="http://schemas.openxmlformats.org/officeDocument/2006/relationships/hyperlink" Target="http://157.164.47.151/confluence/display/METAWAL/Ressource+en+lign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geoportail.wallonie.be/cms/files/docs/AleaInondation.html"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8" Type="http://schemas.openxmlformats.org/officeDocument/2006/relationships/hyperlink" Target="http://157.164.47.151/confluence/pages/viewpage.action?pageId=6357144" TargetMode="External"/><Relationship Id="rId13" Type="http://schemas.openxmlformats.org/officeDocument/2006/relationships/comments" Target="../comments7.xml"/><Relationship Id="rId3" Type="http://schemas.openxmlformats.org/officeDocument/2006/relationships/hyperlink" Target="http://157.164.47.151/confluence/display/METAWAL/Etendue+spatiale" TargetMode="External"/><Relationship Id="rId7" Type="http://schemas.openxmlformats.org/officeDocument/2006/relationships/hyperlink" Target="http://157.164.47.151/confluence/pages/viewpage.action?pageId=6357068" TargetMode="External"/><Relationship Id="rId12" Type="http://schemas.openxmlformats.org/officeDocument/2006/relationships/vmlDrawing" Target="../drawings/vmlDrawing7.vml"/><Relationship Id="rId2" Type="http://schemas.openxmlformats.org/officeDocument/2006/relationships/hyperlink" Target="http://157.164.47.151/confluence/pages/viewpage.action?pageId=6357172" TargetMode="External"/><Relationship Id="rId1" Type="http://schemas.openxmlformats.org/officeDocument/2006/relationships/hyperlink" Target="http://157.164.47.151/confluence/pages/viewpage.action?pageId=6357063" TargetMode="External"/><Relationship Id="rId6" Type="http://schemas.openxmlformats.org/officeDocument/2006/relationships/hyperlink" Target="http://157.164.47.151/confluence/display/METAWAL/Etendue+spatiale" TargetMode="External"/><Relationship Id="rId11" Type="http://schemas.openxmlformats.org/officeDocument/2006/relationships/printerSettings" Target="../printerSettings/printerSettings12.bin"/><Relationship Id="rId5" Type="http://schemas.openxmlformats.org/officeDocument/2006/relationships/hyperlink" Target="http://157.164.47.151/confluence/display/METAWAL/Etendue+spatiale" TargetMode="External"/><Relationship Id="rId10" Type="http://schemas.openxmlformats.org/officeDocument/2006/relationships/hyperlink" Target="http://157.164.47.151/confluence/display/METAWAL/Identifiant+de+la+ressource" TargetMode="External"/><Relationship Id="rId4" Type="http://schemas.openxmlformats.org/officeDocument/2006/relationships/hyperlink" Target="http://157.164.47.151/confluence/display/METAWAL/Etendue+spatiale" TargetMode="External"/><Relationship Id="rId9" Type="http://schemas.openxmlformats.org/officeDocument/2006/relationships/hyperlink" Target="http://157.164.47.151/confluence/pages/viewpage.action?pageId=6357146"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C000"/>
  </sheetPr>
  <dimension ref="B2:L24"/>
  <sheetViews>
    <sheetView showGridLines="0" tabSelected="1" zoomScaleNormal="100" workbookViewId="0">
      <selection activeCell="C18" sqref="C18"/>
    </sheetView>
  </sheetViews>
  <sheetFormatPr defaultColWidth="9.140625" defaultRowHeight="15" x14ac:dyDescent="0.25"/>
  <cols>
    <col min="1" max="1" width="5.5703125" customWidth="1"/>
    <col min="2" max="2" width="12.140625" customWidth="1"/>
    <col min="3" max="3" width="12.42578125" customWidth="1"/>
    <col min="4" max="4" width="12.5703125" customWidth="1"/>
    <col min="5" max="5" width="37.28515625" customWidth="1"/>
    <col min="9" max="9" width="10.28515625" customWidth="1"/>
  </cols>
  <sheetData>
    <row r="2" spans="2:12" ht="22.5" customHeight="1" x14ac:dyDescent="0.25">
      <c r="B2" s="484" t="s">
        <v>11300</v>
      </c>
      <c r="C2" s="483"/>
      <c r="D2" s="483"/>
      <c r="E2" s="483"/>
      <c r="F2" s="483"/>
      <c r="G2" s="483"/>
      <c r="H2" s="483"/>
      <c r="I2" s="483"/>
      <c r="K2" s="2"/>
      <c r="L2" s="2"/>
    </row>
    <row r="3" spans="2:12" x14ac:dyDescent="0.25">
      <c r="K3" s="2"/>
      <c r="L3" s="2"/>
    </row>
    <row r="4" spans="2:12" ht="20.25" customHeight="1" x14ac:dyDescent="0.25">
      <c r="B4" s="482" t="s">
        <v>11383</v>
      </c>
      <c r="C4" s="483"/>
      <c r="D4" s="483"/>
      <c r="E4" s="483"/>
      <c r="F4" s="483"/>
      <c r="G4" s="483"/>
      <c r="H4" s="483"/>
      <c r="I4" s="483"/>
      <c r="K4" s="2"/>
      <c r="L4" s="2"/>
    </row>
    <row r="5" spans="2:12" ht="29.25" customHeight="1" x14ac:dyDescent="0.25">
      <c r="B5" s="485" t="s">
        <v>11387</v>
      </c>
      <c r="C5" s="485"/>
      <c r="D5" s="485"/>
      <c r="E5" s="485"/>
      <c r="F5" s="485"/>
      <c r="G5" s="485"/>
      <c r="H5" s="485"/>
      <c r="I5" s="485"/>
      <c r="K5" s="2"/>
      <c r="L5" s="2"/>
    </row>
    <row r="6" spans="2:12" s="252" customFormat="1" ht="47.25" customHeight="1" x14ac:dyDescent="0.25">
      <c r="B6" s="485" t="s">
        <v>11384</v>
      </c>
      <c r="C6" s="485"/>
      <c r="D6" s="485"/>
      <c r="E6" s="485"/>
      <c r="F6" s="485"/>
      <c r="G6" s="485"/>
      <c r="H6" s="485"/>
      <c r="I6" s="485"/>
      <c r="K6" s="2"/>
      <c r="L6" s="2"/>
    </row>
    <row r="7" spans="2:12" ht="9" customHeight="1" x14ac:dyDescent="0.25">
      <c r="B7" s="486"/>
      <c r="C7" s="487"/>
      <c r="D7" s="487"/>
      <c r="E7" s="487"/>
      <c r="F7" s="487"/>
      <c r="G7" s="487"/>
      <c r="H7" s="487"/>
      <c r="I7" s="487"/>
      <c r="K7" s="2"/>
      <c r="L7" s="2"/>
    </row>
    <row r="8" spans="2:12" ht="34.5" customHeight="1" x14ac:dyDescent="0.25">
      <c r="B8" s="482" t="s">
        <v>11386</v>
      </c>
      <c r="C8" s="483"/>
      <c r="D8" s="483"/>
      <c r="E8" s="483"/>
      <c r="F8" s="483"/>
      <c r="G8" s="483"/>
      <c r="H8" s="483"/>
      <c r="I8" s="483"/>
      <c r="K8" s="2"/>
      <c r="L8" s="2"/>
    </row>
    <row r="9" spans="2:12" ht="30" customHeight="1" x14ac:dyDescent="0.25">
      <c r="B9" s="482" t="s">
        <v>11298</v>
      </c>
      <c r="C9" s="483"/>
      <c r="D9" s="483"/>
      <c r="E9" s="483"/>
      <c r="F9" s="483"/>
      <c r="G9" s="483"/>
      <c r="H9" s="483"/>
      <c r="I9" s="483"/>
      <c r="K9" s="2"/>
      <c r="L9" s="2"/>
    </row>
    <row r="10" spans="2:12" ht="16.5" customHeight="1" x14ac:dyDescent="0.25">
      <c r="B10" s="53" t="s">
        <v>11352</v>
      </c>
      <c r="K10" s="2"/>
      <c r="L10" s="2"/>
    </row>
    <row r="11" spans="2:12" s="252" customFormat="1" ht="12" customHeight="1" x14ac:dyDescent="0.25">
      <c r="B11" s="53"/>
      <c r="K11" s="2"/>
      <c r="L11" s="2"/>
    </row>
    <row r="12" spans="2:12" x14ac:dyDescent="0.25">
      <c r="B12" s="62" t="s">
        <v>5558</v>
      </c>
      <c r="K12" s="2"/>
      <c r="L12" s="2"/>
    </row>
    <row r="13" spans="2:12" ht="15.75" thickBot="1" x14ac:dyDescent="0.3"/>
    <row r="14" spans="2:12" ht="15.75" thickBot="1" x14ac:dyDescent="0.3">
      <c r="B14" s="3" t="s">
        <v>57</v>
      </c>
      <c r="C14" s="4" t="s">
        <v>101</v>
      </c>
      <c r="D14" s="5" t="s">
        <v>102</v>
      </c>
      <c r="E14" s="6" t="s">
        <v>103</v>
      </c>
    </row>
    <row r="15" spans="2:12" x14ac:dyDescent="0.25">
      <c r="B15" s="112"/>
      <c r="C15" s="113"/>
      <c r="D15" s="114"/>
      <c r="E15" s="115"/>
    </row>
    <row r="16" spans="2:12" x14ac:dyDescent="0.25">
      <c r="B16" s="112"/>
      <c r="C16" s="113"/>
      <c r="D16" s="114"/>
      <c r="E16" s="115"/>
    </row>
    <row r="17" spans="2:9" x14ac:dyDescent="0.25">
      <c r="B17" s="112"/>
      <c r="C17" s="113"/>
      <c r="D17" s="114"/>
      <c r="E17" s="115"/>
    </row>
    <row r="18" spans="2:9" x14ac:dyDescent="0.25">
      <c r="B18" s="112"/>
      <c r="C18" s="113"/>
      <c r="D18" s="114"/>
      <c r="E18" s="115"/>
    </row>
    <row r="19" spans="2:9" x14ac:dyDescent="0.25">
      <c r="B19" s="112"/>
      <c r="C19" s="113"/>
      <c r="D19" s="114"/>
      <c r="E19" s="115"/>
    </row>
    <row r="20" spans="2:9" ht="15.75" thickBot="1" x14ac:dyDescent="0.3">
      <c r="B20" s="116"/>
      <c r="C20" s="117"/>
      <c r="D20" s="118"/>
      <c r="E20" s="119"/>
    </row>
    <row r="22" spans="2:9" x14ac:dyDescent="0.25">
      <c r="B22" s="62" t="s">
        <v>11153</v>
      </c>
    </row>
    <row r="23" spans="2:9" ht="30" customHeight="1" x14ac:dyDescent="0.25">
      <c r="B23" s="482" t="s">
        <v>11299</v>
      </c>
      <c r="C23" s="483"/>
      <c r="D23" s="483"/>
      <c r="E23" s="483"/>
      <c r="F23" s="483"/>
      <c r="G23" s="483"/>
      <c r="H23" s="483"/>
      <c r="I23" s="483"/>
    </row>
    <row r="24" spans="2:9" ht="30" customHeight="1" x14ac:dyDescent="0.25">
      <c r="B24" s="482" t="s">
        <v>11344</v>
      </c>
      <c r="C24" s="483"/>
      <c r="D24" s="483"/>
      <c r="E24" s="483"/>
      <c r="F24" s="483"/>
      <c r="G24" s="483"/>
      <c r="H24" s="483"/>
      <c r="I24" s="483"/>
    </row>
  </sheetData>
  <sheetProtection password="D10F" sheet="1" objects="1" scenarios="1" selectLockedCells="1"/>
  <mergeCells count="9">
    <mergeCell ref="B9:I9"/>
    <mergeCell ref="B23:I23"/>
    <mergeCell ref="B24:I24"/>
    <mergeCell ref="B8:I8"/>
    <mergeCell ref="B2:I2"/>
    <mergeCell ref="B4:I4"/>
    <mergeCell ref="B5:I5"/>
    <mergeCell ref="B6:I6"/>
    <mergeCell ref="B7:I7"/>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sheetPr>
  <dimension ref="A1:G2"/>
  <sheetViews>
    <sheetView showGridLines="0" topLeftCell="C1" workbookViewId="0">
      <pane ySplit="1" topLeftCell="A2" activePane="bottomLeft" state="frozen"/>
      <selection activeCell="B40" sqref="B40"/>
      <selection pane="bottomLeft" activeCell="B40" sqref="B40"/>
    </sheetView>
  </sheetViews>
  <sheetFormatPr defaultColWidth="9.140625" defaultRowHeight="15" x14ac:dyDescent="0.25"/>
  <cols>
    <col min="1" max="1" width="22.5703125" customWidth="1"/>
    <col min="2" max="2" width="39.140625" bestFit="1" customWidth="1"/>
    <col min="3" max="3" width="13.85546875" bestFit="1" customWidth="1"/>
    <col min="4" max="4" width="38.28515625" style="57" customWidth="1"/>
    <col min="5" max="5" width="57.42578125" bestFit="1" customWidth="1"/>
    <col min="6" max="6" width="42.140625" bestFit="1" customWidth="1"/>
    <col min="7" max="7" width="68.85546875" bestFit="1" customWidth="1"/>
  </cols>
  <sheetData>
    <row r="1" spans="1:7" x14ac:dyDescent="0.25">
      <c r="A1" s="17" t="s">
        <v>6</v>
      </c>
      <c r="B1" s="16" t="s">
        <v>0</v>
      </c>
      <c r="C1" s="14" t="s">
        <v>2</v>
      </c>
      <c r="D1" s="10" t="s">
        <v>1</v>
      </c>
      <c r="E1" s="14" t="s">
        <v>4</v>
      </c>
      <c r="F1" s="14" t="s">
        <v>3</v>
      </c>
      <c r="G1" s="18" t="s">
        <v>5</v>
      </c>
    </row>
    <row r="2" spans="1:7" s="2" customFormat="1" x14ac:dyDescent="0.25"/>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0000"/>
  </sheetPr>
  <dimension ref="A1:G6"/>
  <sheetViews>
    <sheetView workbookViewId="0">
      <selection activeCell="B30" sqref="B30"/>
    </sheetView>
  </sheetViews>
  <sheetFormatPr defaultColWidth="9.140625" defaultRowHeight="15" x14ac:dyDescent="0.25"/>
  <cols>
    <col min="1" max="1" width="41" customWidth="1"/>
    <col min="2" max="2" width="41.42578125" customWidth="1"/>
    <col min="3" max="3" width="32.140625" bestFit="1" customWidth="1"/>
    <col min="4" max="4" width="12.42578125" bestFit="1" customWidth="1"/>
    <col min="7" max="7" width="10.42578125" bestFit="1" customWidth="1"/>
  </cols>
  <sheetData>
    <row r="1" spans="1:7" x14ac:dyDescent="0.25">
      <c r="A1" s="42" t="s">
        <v>272</v>
      </c>
      <c r="B1" s="26" t="s">
        <v>331</v>
      </c>
      <c r="C1" s="42" t="s">
        <v>273</v>
      </c>
      <c r="D1" s="26" t="s">
        <v>188</v>
      </c>
    </row>
    <row r="2" spans="1:7" x14ac:dyDescent="0.25">
      <c r="A2" s="24" t="s">
        <v>93</v>
      </c>
      <c r="B2" t="s">
        <v>10889</v>
      </c>
      <c r="C2" s="85" t="s">
        <v>5755</v>
      </c>
      <c r="D2" t="s">
        <v>94</v>
      </c>
      <c r="G2" s="85"/>
    </row>
    <row r="3" spans="1:7" x14ac:dyDescent="0.25">
      <c r="A3" s="24" t="s">
        <v>95</v>
      </c>
      <c r="B3" t="s">
        <v>10890</v>
      </c>
      <c r="C3" s="85" t="s">
        <v>5756</v>
      </c>
      <c r="D3" t="s">
        <v>94</v>
      </c>
      <c r="G3" s="85"/>
    </row>
    <row r="4" spans="1:7" x14ac:dyDescent="0.25">
      <c r="A4" s="24" t="s">
        <v>213</v>
      </c>
      <c r="B4" t="s">
        <v>10888</v>
      </c>
      <c r="C4" s="85" t="s">
        <v>5757</v>
      </c>
      <c r="D4" t="s">
        <v>94</v>
      </c>
      <c r="G4" s="85"/>
    </row>
    <row r="5" spans="1:7" x14ac:dyDescent="0.25">
      <c r="A5" s="24" t="s">
        <v>96</v>
      </c>
      <c r="B5" t="s">
        <v>10887</v>
      </c>
      <c r="C5" s="85" t="s">
        <v>5758</v>
      </c>
      <c r="D5" t="s">
        <v>97</v>
      </c>
      <c r="G5" s="85"/>
    </row>
    <row r="6" spans="1:7" x14ac:dyDescent="0.25">
      <c r="A6" s="24" t="s">
        <v>122</v>
      </c>
      <c r="B6" s="24" t="s">
        <v>10886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B5332"/>
  <sheetViews>
    <sheetView topLeftCell="A37" zoomScale="85" zoomScaleNormal="85" workbookViewId="0">
      <selection activeCell="B57" sqref="B57"/>
    </sheetView>
  </sheetViews>
  <sheetFormatPr defaultColWidth="9.140625" defaultRowHeight="15" x14ac:dyDescent="0.25"/>
  <cols>
    <col min="1" max="1" width="41.28515625" customWidth="1"/>
    <col min="2" max="2" width="51" customWidth="1"/>
    <col min="3" max="3" width="38.28515625" bestFit="1" customWidth="1"/>
    <col min="4" max="4" width="40" customWidth="1"/>
    <col min="5" max="5" width="33.42578125" customWidth="1"/>
    <col min="6" max="6" width="40.85546875" customWidth="1"/>
    <col min="7" max="7" width="37.7109375" customWidth="1"/>
    <col min="9" max="9" width="30.28515625" bestFit="1" customWidth="1"/>
  </cols>
  <sheetData>
    <row r="1" spans="1:2" x14ac:dyDescent="0.25">
      <c r="A1" s="25" t="s">
        <v>272</v>
      </c>
      <c r="B1" s="26" t="s">
        <v>278</v>
      </c>
    </row>
    <row r="2" spans="1:2" x14ac:dyDescent="0.25">
      <c r="A2" s="24" t="s">
        <v>93</v>
      </c>
      <c r="B2" t="s">
        <v>214</v>
      </c>
    </row>
    <row r="3" spans="1:2" x14ac:dyDescent="0.25">
      <c r="A3" s="22" t="s">
        <v>93</v>
      </c>
      <c r="B3" t="s">
        <v>215</v>
      </c>
    </row>
    <row r="4" spans="1:2" x14ac:dyDescent="0.25">
      <c r="A4" s="22" t="s">
        <v>93</v>
      </c>
      <c r="B4" t="s">
        <v>216</v>
      </c>
    </row>
    <row r="5" spans="1:2" x14ac:dyDescent="0.25">
      <c r="A5" s="22" t="s">
        <v>93</v>
      </c>
      <c r="B5" t="s">
        <v>217</v>
      </c>
    </row>
    <row r="6" spans="1:2" x14ac:dyDescent="0.25">
      <c r="A6" s="22" t="s">
        <v>93</v>
      </c>
      <c r="B6" t="s">
        <v>218</v>
      </c>
    </row>
    <row r="7" spans="1:2" x14ac:dyDescent="0.25">
      <c r="A7" s="22" t="s">
        <v>93</v>
      </c>
      <c r="B7" t="s">
        <v>219</v>
      </c>
    </row>
    <row r="8" spans="1:2" x14ac:dyDescent="0.25">
      <c r="A8" s="22" t="s">
        <v>93</v>
      </c>
      <c r="B8" t="s">
        <v>220</v>
      </c>
    </row>
    <row r="9" spans="1:2" x14ac:dyDescent="0.25">
      <c r="A9" s="22" t="s">
        <v>93</v>
      </c>
      <c r="B9" t="s">
        <v>221</v>
      </c>
    </row>
    <row r="10" spans="1:2" x14ac:dyDescent="0.25">
      <c r="A10" s="22" t="s">
        <v>93</v>
      </c>
      <c r="B10" t="s">
        <v>222</v>
      </c>
    </row>
    <row r="11" spans="1:2" x14ac:dyDescent="0.25">
      <c r="A11" s="22" t="s">
        <v>93</v>
      </c>
      <c r="B11" t="s">
        <v>223</v>
      </c>
    </row>
    <row r="12" spans="1:2" x14ac:dyDescent="0.25">
      <c r="A12" s="22" t="s">
        <v>93</v>
      </c>
      <c r="B12" t="s">
        <v>224</v>
      </c>
    </row>
    <row r="13" spans="1:2" x14ac:dyDescent="0.25">
      <c r="A13" s="22" t="s">
        <v>93</v>
      </c>
      <c r="B13" t="s">
        <v>225</v>
      </c>
    </row>
    <row r="14" spans="1:2" x14ac:dyDescent="0.25">
      <c r="A14" s="22" t="s">
        <v>93</v>
      </c>
      <c r="B14" t="s">
        <v>226</v>
      </c>
    </row>
    <row r="15" spans="1:2" x14ac:dyDescent="0.25">
      <c r="A15" s="22" t="s">
        <v>93</v>
      </c>
      <c r="B15" t="s">
        <v>227</v>
      </c>
    </row>
    <row r="16" spans="1:2" x14ac:dyDescent="0.25">
      <c r="A16" s="22" t="s">
        <v>93</v>
      </c>
      <c r="B16" t="s">
        <v>228</v>
      </c>
    </row>
    <row r="17" spans="1:2" x14ac:dyDescent="0.25">
      <c r="A17" s="22" t="s">
        <v>93</v>
      </c>
      <c r="B17" t="s">
        <v>229</v>
      </c>
    </row>
    <row r="18" spans="1:2" x14ac:dyDescent="0.25">
      <c r="A18" s="22" t="s">
        <v>93</v>
      </c>
      <c r="B18" t="s">
        <v>230</v>
      </c>
    </row>
    <row r="19" spans="1:2" x14ac:dyDescent="0.25">
      <c r="A19" s="22" t="s">
        <v>93</v>
      </c>
      <c r="B19" t="s">
        <v>231</v>
      </c>
    </row>
    <row r="20" spans="1:2" x14ac:dyDescent="0.25">
      <c r="A20" s="22" t="s">
        <v>93</v>
      </c>
      <c r="B20" t="s">
        <v>232</v>
      </c>
    </row>
    <row r="21" spans="1:2" x14ac:dyDescent="0.25">
      <c r="A21" s="22" t="s">
        <v>93</v>
      </c>
      <c r="B21" t="s">
        <v>233</v>
      </c>
    </row>
    <row r="22" spans="1:2" x14ac:dyDescent="0.25">
      <c r="A22" s="22" t="s">
        <v>93</v>
      </c>
      <c r="B22" t="s">
        <v>234</v>
      </c>
    </row>
    <row r="23" spans="1:2" x14ac:dyDescent="0.25">
      <c r="A23" s="22" t="s">
        <v>93</v>
      </c>
      <c r="B23" t="s">
        <v>235</v>
      </c>
    </row>
    <row r="24" spans="1:2" x14ac:dyDescent="0.25">
      <c r="A24" s="22" t="s">
        <v>93</v>
      </c>
      <c r="B24" t="s">
        <v>236</v>
      </c>
    </row>
    <row r="25" spans="1:2" x14ac:dyDescent="0.25">
      <c r="A25" s="22" t="s">
        <v>93</v>
      </c>
      <c r="B25" t="s">
        <v>237</v>
      </c>
    </row>
    <row r="26" spans="1:2" x14ac:dyDescent="0.25">
      <c r="A26" s="22" t="s">
        <v>93</v>
      </c>
      <c r="B26" t="s">
        <v>238</v>
      </c>
    </row>
    <row r="27" spans="1:2" x14ac:dyDescent="0.25">
      <c r="A27" s="22" t="s">
        <v>93</v>
      </c>
      <c r="B27" t="s">
        <v>239</v>
      </c>
    </row>
    <row r="28" spans="1:2" x14ac:dyDescent="0.25">
      <c r="A28" s="22" t="s">
        <v>93</v>
      </c>
      <c r="B28" t="s">
        <v>91</v>
      </c>
    </row>
    <row r="29" spans="1:2" x14ac:dyDescent="0.25">
      <c r="A29" s="22" t="s">
        <v>93</v>
      </c>
      <c r="B29" t="s">
        <v>240</v>
      </c>
    </row>
    <row r="30" spans="1:2" x14ac:dyDescent="0.25">
      <c r="A30" s="22" t="s">
        <v>93</v>
      </c>
      <c r="B30" t="s">
        <v>241</v>
      </c>
    </row>
    <row r="31" spans="1:2" x14ac:dyDescent="0.25">
      <c r="A31" s="22" t="s">
        <v>93</v>
      </c>
      <c r="B31" t="s">
        <v>242</v>
      </c>
    </row>
    <row r="32" spans="1:2" x14ac:dyDescent="0.25">
      <c r="A32" s="22" t="s">
        <v>93</v>
      </c>
      <c r="B32" t="s">
        <v>243</v>
      </c>
    </row>
    <row r="33" spans="1:2" x14ac:dyDescent="0.25">
      <c r="A33" s="22" t="s">
        <v>93</v>
      </c>
      <c r="B33" t="s">
        <v>244</v>
      </c>
    </row>
    <row r="34" spans="1:2" x14ac:dyDescent="0.25">
      <c r="A34" s="22" t="s">
        <v>93</v>
      </c>
      <c r="B34" t="s">
        <v>245</v>
      </c>
    </row>
    <row r="35" spans="1:2" x14ac:dyDescent="0.25">
      <c r="A35" s="22" t="s">
        <v>93</v>
      </c>
      <c r="B35" t="s">
        <v>246</v>
      </c>
    </row>
    <row r="36" spans="1:2" x14ac:dyDescent="0.25">
      <c r="A36" s="22" t="s">
        <v>247</v>
      </c>
      <c r="B36" s="90" t="s">
        <v>5765</v>
      </c>
    </row>
    <row r="37" spans="1:2" x14ac:dyDescent="0.25">
      <c r="A37" s="22" t="s">
        <v>247</v>
      </c>
      <c r="B37" s="90" t="s">
        <v>279</v>
      </c>
    </row>
    <row r="38" spans="1:2" x14ac:dyDescent="0.25">
      <c r="A38" t="s">
        <v>247</v>
      </c>
      <c r="B38" s="90" t="s">
        <v>5766</v>
      </c>
    </row>
    <row r="39" spans="1:2" x14ac:dyDescent="0.25">
      <c r="A39" t="s">
        <v>247</v>
      </c>
      <c r="B39" s="90" t="s">
        <v>5767</v>
      </c>
    </row>
    <row r="40" spans="1:2" x14ac:dyDescent="0.25">
      <c r="A40" t="s">
        <v>247</v>
      </c>
      <c r="B40" s="90" t="s">
        <v>5768</v>
      </c>
    </row>
    <row r="41" spans="1:2" x14ac:dyDescent="0.25">
      <c r="A41" t="s">
        <v>247</v>
      </c>
      <c r="B41" s="90" t="s">
        <v>5769</v>
      </c>
    </row>
    <row r="42" spans="1:2" x14ac:dyDescent="0.25">
      <c r="A42" t="s">
        <v>247</v>
      </c>
      <c r="B42" s="90" t="s">
        <v>5770</v>
      </c>
    </row>
    <row r="43" spans="1:2" x14ac:dyDescent="0.25">
      <c r="A43" t="s">
        <v>247</v>
      </c>
      <c r="B43" s="90" t="s">
        <v>5771</v>
      </c>
    </row>
    <row r="44" spans="1:2" x14ac:dyDescent="0.25">
      <c r="A44" t="s">
        <v>247</v>
      </c>
      <c r="B44" s="90" t="s">
        <v>5772</v>
      </c>
    </row>
    <row r="45" spans="1:2" x14ac:dyDescent="0.25">
      <c r="A45" t="s">
        <v>247</v>
      </c>
      <c r="B45" s="90" t="s">
        <v>5773</v>
      </c>
    </row>
    <row r="46" spans="1:2" x14ac:dyDescent="0.25">
      <c r="A46" t="s">
        <v>247</v>
      </c>
      <c r="B46" s="90" t="s">
        <v>5774</v>
      </c>
    </row>
    <row r="47" spans="1:2" x14ac:dyDescent="0.25">
      <c r="A47" t="s">
        <v>247</v>
      </c>
      <c r="B47" s="90" t="s">
        <v>5775</v>
      </c>
    </row>
    <row r="48" spans="1:2" x14ac:dyDescent="0.25">
      <c r="A48" t="s">
        <v>247</v>
      </c>
      <c r="B48" s="90" t="s">
        <v>5776</v>
      </c>
    </row>
    <row r="49" spans="1:2" x14ac:dyDescent="0.25">
      <c r="A49" t="s">
        <v>247</v>
      </c>
      <c r="B49" s="90" t="s">
        <v>5777</v>
      </c>
    </row>
    <row r="50" spans="1:2" x14ac:dyDescent="0.25">
      <c r="A50" t="s">
        <v>247</v>
      </c>
      <c r="B50" s="90" t="s">
        <v>5778</v>
      </c>
    </row>
    <row r="51" spans="1:2" x14ac:dyDescent="0.25">
      <c r="A51" t="s">
        <v>247</v>
      </c>
      <c r="B51" s="90" t="s">
        <v>5779</v>
      </c>
    </row>
    <row r="52" spans="1:2" x14ac:dyDescent="0.25">
      <c r="A52" t="s">
        <v>247</v>
      </c>
      <c r="B52" s="90" t="s">
        <v>5780</v>
      </c>
    </row>
    <row r="53" spans="1:2" x14ac:dyDescent="0.25">
      <c r="A53" t="s">
        <v>247</v>
      </c>
      <c r="B53" s="90" t="s">
        <v>5781</v>
      </c>
    </row>
    <row r="54" spans="1:2" x14ac:dyDescent="0.25">
      <c r="A54" t="s">
        <v>247</v>
      </c>
      <c r="B54" s="90" t="s">
        <v>5782</v>
      </c>
    </row>
    <row r="55" spans="1:2" x14ac:dyDescent="0.25">
      <c r="A55" t="s">
        <v>247</v>
      </c>
      <c r="B55" s="90" t="s">
        <v>5783</v>
      </c>
    </row>
    <row r="56" spans="1:2" x14ac:dyDescent="0.25">
      <c r="A56" t="s">
        <v>247</v>
      </c>
      <c r="B56" s="90" t="s">
        <v>5784</v>
      </c>
    </row>
    <row r="57" spans="1:2" x14ac:dyDescent="0.25">
      <c r="A57" t="s">
        <v>247</v>
      </c>
      <c r="B57" s="90" t="s">
        <v>5785</v>
      </c>
    </row>
    <row r="58" spans="1:2" x14ac:dyDescent="0.25">
      <c r="A58" t="s">
        <v>247</v>
      </c>
      <c r="B58" s="90" t="s">
        <v>5786</v>
      </c>
    </row>
    <row r="59" spans="1:2" x14ac:dyDescent="0.25">
      <c r="A59" t="s">
        <v>247</v>
      </c>
      <c r="B59" s="90" t="s">
        <v>5787</v>
      </c>
    </row>
    <row r="60" spans="1:2" x14ac:dyDescent="0.25">
      <c r="A60" t="s">
        <v>247</v>
      </c>
      <c r="B60" s="90" t="s">
        <v>451</v>
      </c>
    </row>
    <row r="61" spans="1:2" x14ac:dyDescent="0.25">
      <c r="A61" t="s">
        <v>247</v>
      </c>
      <c r="B61" s="90" t="s">
        <v>5788</v>
      </c>
    </row>
    <row r="62" spans="1:2" x14ac:dyDescent="0.25">
      <c r="A62" t="s">
        <v>247</v>
      </c>
      <c r="B62" s="90" t="s">
        <v>5789</v>
      </c>
    </row>
    <row r="63" spans="1:2" x14ac:dyDescent="0.25">
      <c r="A63" t="s">
        <v>247</v>
      </c>
      <c r="B63" s="90" t="s">
        <v>5790</v>
      </c>
    </row>
    <row r="64" spans="1:2" x14ac:dyDescent="0.25">
      <c r="A64" t="s">
        <v>247</v>
      </c>
      <c r="B64" s="90" t="s">
        <v>5791</v>
      </c>
    </row>
    <row r="65" spans="1:2" x14ac:dyDescent="0.25">
      <c r="A65" t="s">
        <v>247</v>
      </c>
      <c r="B65" s="90" t="s">
        <v>5792</v>
      </c>
    </row>
    <row r="66" spans="1:2" x14ac:dyDescent="0.25">
      <c r="A66" t="s">
        <v>247</v>
      </c>
      <c r="B66" s="90" t="s">
        <v>5793</v>
      </c>
    </row>
    <row r="67" spans="1:2" x14ac:dyDescent="0.25">
      <c r="A67" t="s">
        <v>247</v>
      </c>
      <c r="B67" s="90" t="s">
        <v>5794</v>
      </c>
    </row>
    <row r="68" spans="1:2" x14ac:dyDescent="0.25">
      <c r="A68" t="s">
        <v>247</v>
      </c>
      <c r="B68" s="90" t="s">
        <v>5795</v>
      </c>
    </row>
    <row r="69" spans="1:2" x14ac:dyDescent="0.25">
      <c r="A69" t="s">
        <v>247</v>
      </c>
      <c r="B69" s="90" t="s">
        <v>5796</v>
      </c>
    </row>
    <row r="70" spans="1:2" x14ac:dyDescent="0.25">
      <c r="A70" s="19" t="s">
        <v>247</v>
      </c>
      <c r="B70" s="90" t="s">
        <v>5797</v>
      </c>
    </row>
    <row r="71" spans="1:2" x14ac:dyDescent="0.25">
      <c r="A71" s="19" t="s">
        <v>247</v>
      </c>
      <c r="B71" s="90" t="s">
        <v>5798</v>
      </c>
    </row>
    <row r="72" spans="1:2" x14ac:dyDescent="0.25">
      <c r="A72" s="19" t="s">
        <v>247</v>
      </c>
      <c r="B72" s="90" t="s">
        <v>5799</v>
      </c>
    </row>
    <row r="73" spans="1:2" x14ac:dyDescent="0.25">
      <c r="A73" s="19" t="s">
        <v>247</v>
      </c>
      <c r="B73" s="90" t="s">
        <v>5800</v>
      </c>
    </row>
    <row r="74" spans="1:2" x14ac:dyDescent="0.25">
      <c r="A74" s="19" t="s">
        <v>247</v>
      </c>
      <c r="B74" s="90" t="s">
        <v>5801</v>
      </c>
    </row>
    <row r="75" spans="1:2" x14ac:dyDescent="0.25">
      <c r="A75" s="20" t="s">
        <v>247</v>
      </c>
      <c r="B75" s="90" t="s">
        <v>5802</v>
      </c>
    </row>
    <row r="76" spans="1:2" s="252" customFormat="1" x14ac:dyDescent="0.25">
      <c r="A76" s="20"/>
      <c r="B76" s="90"/>
    </row>
    <row r="77" spans="1:2" x14ac:dyDescent="0.25">
      <c r="A77" s="21" t="s">
        <v>96</v>
      </c>
      <c r="B77" s="90" t="s">
        <v>299</v>
      </c>
    </row>
    <row r="78" spans="1:2" x14ac:dyDescent="0.25">
      <c r="A78" s="21" t="s">
        <v>96</v>
      </c>
      <c r="B78" s="90" t="s">
        <v>300</v>
      </c>
    </row>
    <row r="79" spans="1:2" x14ac:dyDescent="0.25">
      <c r="A79" s="21" t="s">
        <v>96</v>
      </c>
      <c r="B79" s="90" t="s">
        <v>301</v>
      </c>
    </row>
    <row r="80" spans="1:2" x14ac:dyDescent="0.25">
      <c r="A80" s="21" t="s">
        <v>96</v>
      </c>
      <c r="B80" s="90" t="s">
        <v>302</v>
      </c>
    </row>
    <row r="81" spans="1:2" x14ac:dyDescent="0.25">
      <c r="A81" s="21" t="s">
        <v>96</v>
      </c>
      <c r="B81" s="90" t="s">
        <v>303</v>
      </c>
    </row>
    <row r="82" spans="1:2" x14ac:dyDescent="0.25">
      <c r="A82" s="21" t="s">
        <v>96</v>
      </c>
      <c r="B82" s="90" t="s">
        <v>304</v>
      </c>
    </row>
    <row r="83" spans="1:2" x14ac:dyDescent="0.25">
      <c r="A83" s="21" t="s">
        <v>96</v>
      </c>
      <c r="B83" s="90" t="s">
        <v>305</v>
      </c>
    </row>
    <row r="84" spans="1:2" x14ac:dyDescent="0.25">
      <c r="A84" s="21" t="s">
        <v>96</v>
      </c>
      <c r="B84" s="90" t="s">
        <v>306</v>
      </c>
    </row>
    <row r="85" spans="1:2" x14ac:dyDescent="0.25">
      <c r="A85" s="21" t="s">
        <v>96</v>
      </c>
      <c r="B85" s="90" t="s">
        <v>307</v>
      </c>
    </row>
    <row r="86" spans="1:2" x14ac:dyDescent="0.25">
      <c r="A86" s="21" t="s">
        <v>96</v>
      </c>
      <c r="B86" s="90" t="s">
        <v>308</v>
      </c>
    </row>
    <row r="87" spans="1:2" x14ac:dyDescent="0.25">
      <c r="A87" s="21" t="s">
        <v>96</v>
      </c>
      <c r="B87" s="90" t="s">
        <v>309</v>
      </c>
    </row>
    <row r="88" spans="1:2" x14ac:dyDescent="0.25">
      <c r="A88" s="21" t="s">
        <v>96</v>
      </c>
      <c r="B88" s="90" t="s">
        <v>10850</v>
      </c>
    </row>
    <row r="89" spans="1:2" x14ac:dyDescent="0.25">
      <c r="A89" s="21" t="s">
        <v>96</v>
      </c>
      <c r="B89" s="90" t="s">
        <v>310</v>
      </c>
    </row>
    <row r="90" spans="1:2" x14ac:dyDescent="0.25">
      <c r="A90" s="21" t="s">
        <v>96</v>
      </c>
      <c r="B90" s="90" t="s">
        <v>311</v>
      </c>
    </row>
    <row r="91" spans="1:2" x14ac:dyDescent="0.25">
      <c r="A91" s="21" t="s">
        <v>96</v>
      </c>
      <c r="B91" s="90" t="s">
        <v>312</v>
      </c>
    </row>
    <row r="92" spans="1:2" x14ac:dyDescent="0.25">
      <c r="A92" s="21" t="s">
        <v>96</v>
      </c>
      <c r="B92" s="90" t="s">
        <v>313</v>
      </c>
    </row>
    <row r="93" spans="1:2" x14ac:dyDescent="0.25">
      <c r="A93" s="21" t="s">
        <v>96</v>
      </c>
      <c r="B93" s="90" t="s">
        <v>314</v>
      </c>
    </row>
    <row r="94" spans="1:2" x14ac:dyDescent="0.25">
      <c r="A94" s="21" t="s">
        <v>96</v>
      </c>
      <c r="B94" s="90" t="s">
        <v>315</v>
      </c>
    </row>
    <row r="95" spans="1:2" x14ac:dyDescent="0.25">
      <c r="A95" s="21" t="s">
        <v>96</v>
      </c>
      <c r="B95" s="90" t="s">
        <v>316</v>
      </c>
    </row>
    <row r="96" spans="1:2" x14ac:dyDescent="0.25">
      <c r="A96" s="21" t="s">
        <v>96</v>
      </c>
      <c r="B96" s="90" t="s">
        <v>317</v>
      </c>
    </row>
    <row r="97" spans="1:2" x14ac:dyDescent="0.25">
      <c r="A97" s="21" t="s">
        <v>96</v>
      </c>
      <c r="B97" s="90" t="s">
        <v>318</v>
      </c>
    </row>
    <row r="98" spans="1:2" x14ac:dyDescent="0.25">
      <c r="A98" s="21" t="s">
        <v>96</v>
      </c>
      <c r="B98" s="90" t="s">
        <v>319</v>
      </c>
    </row>
    <row r="99" spans="1:2" x14ac:dyDescent="0.25">
      <c r="A99" s="21" t="s">
        <v>96</v>
      </c>
      <c r="B99" s="90" t="s">
        <v>320</v>
      </c>
    </row>
    <row r="100" spans="1:2" x14ac:dyDescent="0.25">
      <c r="A100" s="21" t="s">
        <v>96</v>
      </c>
      <c r="B100" s="90" t="s">
        <v>321</v>
      </c>
    </row>
    <row r="101" spans="1:2" x14ac:dyDescent="0.25">
      <c r="A101" s="21" t="s">
        <v>96</v>
      </c>
      <c r="B101" s="90" t="s">
        <v>322</v>
      </c>
    </row>
    <row r="102" spans="1:2" x14ac:dyDescent="0.25">
      <c r="A102" s="21" t="s">
        <v>96</v>
      </c>
      <c r="B102" s="90" t="s">
        <v>323</v>
      </c>
    </row>
    <row r="103" spans="1:2" s="252" customFormat="1" x14ac:dyDescent="0.25">
      <c r="A103" s="21"/>
      <c r="B103" s="90"/>
    </row>
    <row r="104" spans="1:2" x14ac:dyDescent="0.25">
      <c r="A104" s="27" t="s">
        <v>122</v>
      </c>
      <c r="B104" s="91" t="s">
        <v>279</v>
      </c>
    </row>
    <row r="105" spans="1:2" x14ac:dyDescent="0.25">
      <c r="A105" s="27" t="s">
        <v>122</v>
      </c>
      <c r="B105" s="91" t="s">
        <v>280</v>
      </c>
    </row>
    <row r="106" spans="1:2" x14ac:dyDescent="0.25">
      <c r="A106" s="27" t="s">
        <v>122</v>
      </c>
      <c r="B106" s="91" t="s">
        <v>281</v>
      </c>
    </row>
    <row r="107" spans="1:2" x14ac:dyDescent="0.25">
      <c r="A107" s="27" t="s">
        <v>122</v>
      </c>
      <c r="B107" s="91" t="s">
        <v>282</v>
      </c>
    </row>
    <row r="108" spans="1:2" x14ac:dyDescent="0.25">
      <c r="A108" s="27" t="s">
        <v>122</v>
      </c>
      <c r="B108" s="91" t="s">
        <v>283</v>
      </c>
    </row>
    <row r="109" spans="1:2" x14ac:dyDescent="0.25">
      <c r="A109" s="27" t="s">
        <v>122</v>
      </c>
      <c r="B109" s="91" t="s">
        <v>284</v>
      </c>
    </row>
    <row r="110" spans="1:2" x14ac:dyDescent="0.25">
      <c r="A110" s="27" t="s">
        <v>122</v>
      </c>
      <c r="B110" s="91" t="s">
        <v>285</v>
      </c>
    </row>
    <row r="111" spans="1:2" x14ac:dyDescent="0.25">
      <c r="A111" s="27" t="s">
        <v>122</v>
      </c>
      <c r="B111" s="91" t="s">
        <v>286</v>
      </c>
    </row>
    <row r="112" spans="1:2" x14ac:dyDescent="0.25">
      <c r="A112" s="27" t="s">
        <v>122</v>
      </c>
      <c r="B112" s="91" t="s">
        <v>287</v>
      </c>
    </row>
    <row r="113" spans="1:2" x14ac:dyDescent="0.25">
      <c r="A113" s="27" t="s">
        <v>122</v>
      </c>
      <c r="B113" s="91" t="s">
        <v>288</v>
      </c>
    </row>
    <row r="114" spans="1:2" x14ac:dyDescent="0.25">
      <c r="A114" s="27" t="s">
        <v>122</v>
      </c>
      <c r="B114" s="91" t="s">
        <v>289</v>
      </c>
    </row>
    <row r="115" spans="1:2" x14ac:dyDescent="0.25">
      <c r="A115" s="27" t="s">
        <v>122</v>
      </c>
      <c r="B115" s="91" t="s">
        <v>290</v>
      </c>
    </row>
    <row r="116" spans="1:2" x14ac:dyDescent="0.25">
      <c r="A116" s="27" t="s">
        <v>122</v>
      </c>
      <c r="B116" s="91" t="s">
        <v>291</v>
      </c>
    </row>
    <row r="117" spans="1:2" x14ac:dyDescent="0.25">
      <c r="A117" s="27" t="s">
        <v>122</v>
      </c>
      <c r="B117" s="91" t="s">
        <v>292</v>
      </c>
    </row>
    <row r="118" spans="1:2" x14ac:dyDescent="0.25">
      <c r="A118" s="27" t="s">
        <v>122</v>
      </c>
      <c r="B118" s="91" t="s">
        <v>293</v>
      </c>
    </row>
    <row r="119" spans="1:2" x14ac:dyDescent="0.25">
      <c r="A119" s="27" t="s">
        <v>122</v>
      </c>
      <c r="B119" s="91" t="s">
        <v>294</v>
      </c>
    </row>
    <row r="120" spans="1:2" x14ac:dyDescent="0.25">
      <c r="A120" s="27" t="s">
        <v>122</v>
      </c>
      <c r="B120" s="91" t="s">
        <v>295</v>
      </c>
    </row>
    <row r="121" spans="1:2" x14ac:dyDescent="0.25">
      <c r="A121" s="27" t="s">
        <v>122</v>
      </c>
      <c r="B121" s="91" t="s">
        <v>296</v>
      </c>
    </row>
    <row r="122" spans="1:2" x14ac:dyDescent="0.25">
      <c r="A122" s="27" t="s">
        <v>122</v>
      </c>
      <c r="B122" s="91" t="s">
        <v>297</v>
      </c>
    </row>
    <row r="123" spans="1:2" s="252" customFormat="1" x14ac:dyDescent="0.25">
      <c r="A123" s="27"/>
      <c r="B123" s="91"/>
    </row>
    <row r="124" spans="1:2" x14ac:dyDescent="0.25">
      <c r="A124" s="52" t="s">
        <v>95</v>
      </c>
      <c r="B124" s="90" t="s">
        <v>5803</v>
      </c>
    </row>
    <row r="125" spans="1:2" x14ac:dyDescent="0.25">
      <c r="A125" s="52" t="s">
        <v>95</v>
      </c>
      <c r="B125" s="90" t="s">
        <v>5804</v>
      </c>
    </row>
    <row r="126" spans="1:2" x14ac:dyDescent="0.25">
      <c r="A126" s="52" t="s">
        <v>95</v>
      </c>
      <c r="B126" s="90" t="s">
        <v>5805</v>
      </c>
    </row>
    <row r="127" spans="1:2" x14ac:dyDescent="0.25">
      <c r="A127" s="52" t="s">
        <v>95</v>
      </c>
      <c r="B127" s="90" t="s">
        <v>5806</v>
      </c>
    </row>
    <row r="128" spans="1:2" x14ac:dyDescent="0.25">
      <c r="A128" s="52" t="s">
        <v>95</v>
      </c>
      <c r="B128" s="90" t="s">
        <v>5807</v>
      </c>
    </row>
    <row r="129" spans="1:2" x14ac:dyDescent="0.25">
      <c r="A129" s="52" t="s">
        <v>95</v>
      </c>
      <c r="B129" s="90" t="s">
        <v>5808</v>
      </c>
    </row>
    <row r="130" spans="1:2" x14ac:dyDescent="0.25">
      <c r="A130" s="52" t="s">
        <v>95</v>
      </c>
      <c r="B130" s="90" t="s">
        <v>5809</v>
      </c>
    </row>
    <row r="131" spans="1:2" x14ac:dyDescent="0.25">
      <c r="A131" s="52" t="s">
        <v>95</v>
      </c>
      <c r="B131" s="90" t="s">
        <v>5810</v>
      </c>
    </row>
    <row r="132" spans="1:2" x14ac:dyDescent="0.25">
      <c r="A132" s="52" t="s">
        <v>95</v>
      </c>
      <c r="B132" s="90" t="s">
        <v>5811</v>
      </c>
    </row>
    <row r="133" spans="1:2" x14ac:dyDescent="0.25">
      <c r="A133" s="52" t="s">
        <v>95</v>
      </c>
      <c r="B133" s="90" t="s">
        <v>5812</v>
      </c>
    </row>
    <row r="134" spans="1:2" x14ac:dyDescent="0.25">
      <c r="A134" s="52" t="s">
        <v>95</v>
      </c>
      <c r="B134" s="90" t="s">
        <v>5813</v>
      </c>
    </row>
    <row r="135" spans="1:2" x14ac:dyDescent="0.25">
      <c r="A135" s="52" t="s">
        <v>95</v>
      </c>
      <c r="B135" s="90" t="s">
        <v>5814</v>
      </c>
    </row>
    <row r="136" spans="1:2" x14ac:dyDescent="0.25">
      <c r="A136" s="52" t="s">
        <v>95</v>
      </c>
      <c r="B136" s="90" t="s">
        <v>5815</v>
      </c>
    </row>
    <row r="137" spans="1:2" x14ac:dyDescent="0.25">
      <c r="A137" s="52" t="s">
        <v>95</v>
      </c>
      <c r="B137" s="90" t="s">
        <v>5816</v>
      </c>
    </row>
    <row r="138" spans="1:2" x14ac:dyDescent="0.25">
      <c r="A138" s="52" t="s">
        <v>95</v>
      </c>
      <c r="B138" s="90" t="s">
        <v>5817</v>
      </c>
    </row>
    <row r="139" spans="1:2" x14ac:dyDescent="0.25">
      <c r="A139" s="52" t="s">
        <v>95</v>
      </c>
      <c r="B139" s="90" t="s">
        <v>5818</v>
      </c>
    </row>
    <row r="140" spans="1:2" x14ac:dyDescent="0.25">
      <c r="A140" s="52" t="s">
        <v>95</v>
      </c>
      <c r="B140" s="90" t="s">
        <v>5819</v>
      </c>
    </row>
    <row r="141" spans="1:2" x14ac:dyDescent="0.25">
      <c r="A141" s="52" t="s">
        <v>95</v>
      </c>
      <c r="B141" s="90" t="s">
        <v>5820</v>
      </c>
    </row>
    <row r="142" spans="1:2" x14ac:dyDescent="0.25">
      <c r="A142" s="52" t="s">
        <v>95</v>
      </c>
      <c r="B142" s="90" t="s">
        <v>5821</v>
      </c>
    </row>
    <row r="143" spans="1:2" x14ac:dyDescent="0.25">
      <c r="A143" s="52" t="s">
        <v>95</v>
      </c>
      <c r="B143" s="90" t="s">
        <v>5822</v>
      </c>
    </row>
    <row r="144" spans="1:2" x14ac:dyDescent="0.25">
      <c r="A144" s="52" t="s">
        <v>95</v>
      </c>
      <c r="B144" s="90" t="s">
        <v>5823</v>
      </c>
    </row>
    <row r="145" spans="1:2" x14ac:dyDescent="0.25">
      <c r="A145" s="52" t="s">
        <v>95</v>
      </c>
      <c r="B145" s="90" t="s">
        <v>5824</v>
      </c>
    </row>
    <row r="146" spans="1:2" x14ac:dyDescent="0.25">
      <c r="A146" s="52" t="s">
        <v>95</v>
      </c>
      <c r="B146" s="90" t="s">
        <v>5825</v>
      </c>
    </row>
    <row r="147" spans="1:2" x14ac:dyDescent="0.25">
      <c r="A147" s="52" t="s">
        <v>95</v>
      </c>
      <c r="B147" s="90" t="s">
        <v>5826</v>
      </c>
    </row>
    <row r="148" spans="1:2" x14ac:dyDescent="0.25">
      <c r="A148" s="52" t="s">
        <v>95</v>
      </c>
      <c r="B148" s="90" t="s">
        <v>5827</v>
      </c>
    </row>
    <row r="149" spans="1:2" x14ac:dyDescent="0.25">
      <c r="A149" s="52" t="s">
        <v>95</v>
      </c>
      <c r="B149" s="90" t="s">
        <v>5828</v>
      </c>
    </row>
    <row r="150" spans="1:2" x14ac:dyDescent="0.25">
      <c r="A150" s="52" t="s">
        <v>95</v>
      </c>
      <c r="B150" s="90" t="s">
        <v>5829</v>
      </c>
    </row>
    <row r="151" spans="1:2" x14ac:dyDescent="0.25">
      <c r="A151" s="52" t="s">
        <v>95</v>
      </c>
      <c r="B151" s="90" t="s">
        <v>5830</v>
      </c>
    </row>
    <row r="152" spans="1:2" x14ac:dyDescent="0.25">
      <c r="A152" s="52" t="s">
        <v>95</v>
      </c>
      <c r="B152" s="90" t="s">
        <v>5831</v>
      </c>
    </row>
    <row r="153" spans="1:2" x14ac:dyDescent="0.25">
      <c r="A153" s="52" t="s">
        <v>95</v>
      </c>
      <c r="B153" s="90" t="s">
        <v>5832</v>
      </c>
    </row>
    <row r="154" spans="1:2" x14ac:dyDescent="0.25">
      <c r="A154" s="52" t="s">
        <v>95</v>
      </c>
      <c r="B154" s="90" t="s">
        <v>5833</v>
      </c>
    </row>
    <row r="155" spans="1:2" x14ac:dyDescent="0.25">
      <c r="A155" s="52" t="s">
        <v>95</v>
      </c>
      <c r="B155" s="90" t="s">
        <v>5834</v>
      </c>
    </row>
    <row r="156" spans="1:2" x14ac:dyDescent="0.25">
      <c r="A156" s="52" t="s">
        <v>95</v>
      </c>
      <c r="B156" s="90" t="s">
        <v>5835</v>
      </c>
    </row>
    <row r="157" spans="1:2" x14ac:dyDescent="0.25">
      <c r="A157" s="52" t="s">
        <v>95</v>
      </c>
      <c r="B157" s="90" t="s">
        <v>5836</v>
      </c>
    </row>
    <row r="158" spans="1:2" x14ac:dyDescent="0.25">
      <c r="A158" s="52" t="s">
        <v>95</v>
      </c>
      <c r="B158" s="90" t="s">
        <v>5837</v>
      </c>
    </row>
    <row r="159" spans="1:2" x14ac:dyDescent="0.25">
      <c r="A159" s="52" t="s">
        <v>95</v>
      </c>
      <c r="B159" s="90" t="s">
        <v>5838</v>
      </c>
    </row>
    <row r="160" spans="1:2" x14ac:dyDescent="0.25">
      <c r="A160" s="52" t="s">
        <v>95</v>
      </c>
      <c r="B160" s="90" t="s">
        <v>5839</v>
      </c>
    </row>
    <row r="161" spans="1:2" x14ac:dyDescent="0.25">
      <c r="A161" s="52" t="s">
        <v>95</v>
      </c>
      <c r="B161" s="90" t="s">
        <v>5840</v>
      </c>
    </row>
    <row r="162" spans="1:2" x14ac:dyDescent="0.25">
      <c r="A162" s="52" t="s">
        <v>95</v>
      </c>
      <c r="B162" s="90" t="s">
        <v>5841</v>
      </c>
    </row>
    <row r="163" spans="1:2" x14ac:dyDescent="0.25">
      <c r="A163" s="52" t="s">
        <v>95</v>
      </c>
      <c r="B163" s="90" t="s">
        <v>5842</v>
      </c>
    </row>
    <row r="164" spans="1:2" x14ac:dyDescent="0.25">
      <c r="A164" s="52" t="s">
        <v>95</v>
      </c>
      <c r="B164" s="90" t="s">
        <v>5843</v>
      </c>
    </row>
    <row r="165" spans="1:2" x14ac:dyDescent="0.25">
      <c r="A165" s="52" t="s">
        <v>95</v>
      </c>
      <c r="B165" s="90" t="s">
        <v>5844</v>
      </c>
    </row>
    <row r="166" spans="1:2" x14ac:dyDescent="0.25">
      <c r="A166" s="52" t="s">
        <v>95</v>
      </c>
      <c r="B166" s="90" t="s">
        <v>5845</v>
      </c>
    </row>
    <row r="167" spans="1:2" x14ac:dyDescent="0.25">
      <c r="A167" s="52" t="s">
        <v>95</v>
      </c>
      <c r="B167" s="90" t="s">
        <v>5846</v>
      </c>
    </row>
    <row r="168" spans="1:2" x14ac:dyDescent="0.25">
      <c r="A168" s="52" t="s">
        <v>95</v>
      </c>
      <c r="B168" s="90" t="s">
        <v>5847</v>
      </c>
    </row>
    <row r="169" spans="1:2" x14ac:dyDescent="0.25">
      <c r="A169" s="52" t="s">
        <v>95</v>
      </c>
      <c r="B169" s="90" t="s">
        <v>5848</v>
      </c>
    </row>
    <row r="170" spans="1:2" x14ac:dyDescent="0.25">
      <c r="A170" s="52" t="s">
        <v>95</v>
      </c>
      <c r="B170" s="90" t="s">
        <v>5849</v>
      </c>
    </row>
    <row r="171" spans="1:2" x14ac:dyDescent="0.25">
      <c r="A171" s="52" t="s">
        <v>95</v>
      </c>
      <c r="B171" s="90" t="s">
        <v>5850</v>
      </c>
    </row>
    <row r="172" spans="1:2" x14ac:dyDescent="0.25">
      <c r="A172" s="52" t="s">
        <v>95</v>
      </c>
      <c r="B172" s="90" t="s">
        <v>5851</v>
      </c>
    </row>
    <row r="173" spans="1:2" x14ac:dyDescent="0.25">
      <c r="A173" s="52" t="s">
        <v>95</v>
      </c>
      <c r="B173" s="90" t="s">
        <v>5852</v>
      </c>
    </row>
    <row r="174" spans="1:2" x14ac:dyDescent="0.25">
      <c r="A174" s="52" t="s">
        <v>95</v>
      </c>
      <c r="B174" s="90" t="s">
        <v>5853</v>
      </c>
    </row>
    <row r="175" spans="1:2" x14ac:dyDescent="0.25">
      <c r="A175" s="52" t="s">
        <v>95</v>
      </c>
      <c r="B175" s="90" t="s">
        <v>5854</v>
      </c>
    </row>
    <row r="176" spans="1:2" x14ac:dyDescent="0.25">
      <c r="A176" s="52" t="s">
        <v>95</v>
      </c>
      <c r="B176" s="90" t="s">
        <v>5855</v>
      </c>
    </row>
    <row r="177" spans="1:2" x14ac:dyDescent="0.25">
      <c r="A177" s="52" t="s">
        <v>95</v>
      </c>
      <c r="B177" s="90" t="s">
        <v>5856</v>
      </c>
    </row>
    <row r="178" spans="1:2" x14ac:dyDescent="0.25">
      <c r="A178" s="52" t="s">
        <v>95</v>
      </c>
      <c r="B178" s="90" t="s">
        <v>5857</v>
      </c>
    </row>
    <row r="179" spans="1:2" x14ac:dyDescent="0.25">
      <c r="A179" s="52" t="s">
        <v>95</v>
      </c>
      <c r="B179" s="90" t="s">
        <v>5858</v>
      </c>
    </row>
    <row r="180" spans="1:2" x14ac:dyDescent="0.25">
      <c r="A180" s="52" t="s">
        <v>95</v>
      </c>
      <c r="B180" s="90" t="s">
        <v>5859</v>
      </c>
    </row>
    <row r="181" spans="1:2" x14ac:dyDescent="0.25">
      <c r="A181" s="52" t="s">
        <v>95</v>
      </c>
      <c r="B181" s="90" t="s">
        <v>5860</v>
      </c>
    </row>
    <row r="182" spans="1:2" x14ac:dyDescent="0.25">
      <c r="A182" s="52" t="s">
        <v>95</v>
      </c>
      <c r="B182" s="90" t="s">
        <v>5861</v>
      </c>
    </row>
    <row r="183" spans="1:2" x14ac:dyDescent="0.25">
      <c r="A183" s="52" t="s">
        <v>95</v>
      </c>
      <c r="B183" s="90" t="s">
        <v>5862</v>
      </c>
    </row>
    <row r="184" spans="1:2" x14ac:dyDescent="0.25">
      <c r="A184" s="52" t="s">
        <v>95</v>
      </c>
      <c r="B184" s="90" t="s">
        <v>5863</v>
      </c>
    </row>
    <row r="185" spans="1:2" x14ac:dyDescent="0.25">
      <c r="A185" s="52" t="s">
        <v>95</v>
      </c>
      <c r="B185" s="90" t="s">
        <v>5864</v>
      </c>
    </row>
    <row r="186" spans="1:2" x14ac:dyDescent="0.25">
      <c r="A186" s="52" t="s">
        <v>95</v>
      </c>
      <c r="B186" s="90" t="s">
        <v>5865</v>
      </c>
    </row>
    <row r="187" spans="1:2" x14ac:dyDescent="0.25">
      <c r="A187" s="52" t="s">
        <v>95</v>
      </c>
      <c r="B187" s="90" t="s">
        <v>5866</v>
      </c>
    </row>
    <row r="188" spans="1:2" x14ac:dyDescent="0.25">
      <c r="A188" s="52" t="s">
        <v>95</v>
      </c>
      <c r="B188" s="90" t="s">
        <v>5867</v>
      </c>
    </row>
    <row r="189" spans="1:2" x14ac:dyDescent="0.25">
      <c r="A189" s="52" t="s">
        <v>95</v>
      </c>
      <c r="B189" s="90" t="s">
        <v>5868</v>
      </c>
    </row>
    <row r="190" spans="1:2" x14ac:dyDescent="0.25">
      <c r="A190" s="52" t="s">
        <v>95</v>
      </c>
      <c r="B190" s="90" t="s">
        <v>5869</v>
      </c>
    </row>
    <row r="191" spans="1:2" x14ac:dyDescent="0.25">
      <c r="A191" s="52" t="s">
        <v>95</v>
      </c>
      <c r="B191" s="90" t="s">
        <v>5870</v>
      </c>
    </row>
    <row r="192" spans="1:2" x14ac:dyDescent="0.25">
      <c r="A192" s="52" t="s">
        <v>95</v>
      </c>
      <c r="B192" s="90" t="s">
        <v>5871</v>
      </c>
    </row>
    <row r="193" spans="1:2" x14ac:dyDescent="0.25">
      <c r="A193" s="52" t="s">
        <v>95</v>
      </c>
      <c r="B193" s="90" t="s">
        <v>5872</v>
      </c>
    </row>
    <row r="194" spans="1:2" x14ac:dyDescent="0.25">
      <c r="A194" s="52" t="s">
        <v>95</v>
      </c>
      <c r="B194" s="90" t="s">
        <v>5873</v>
      </c>
    </row>
    <row r="195" spans="1:2" x14ac:dyDescent="0.25">
      <c r="A195" s="52" t="s">
        <v>95</v>
      </c>
      <c r="B195" s="90" t="s">
        <v>5874</v>
      </c>
    </row>
    <row r="196" spans="1:2" x14ac:dyDescent="0.25">
      <c r="A196" s="52" t="s">
        <v>95</v>
      </c>
      <c r="B196" s="90" t="s">
        <v>5875</v>
      </c>
    </row>
    <row r="197" spans="1:2" x14ac:dyDescent="0.25">
      <c r="A197" s="52" t="s">
        <v>95</v>
      </c>
      <c r="B197" s="90" t="s">
        <v>5876</v>
      </c>
    </row>
    <row r="198" spans="1:2" x14ac:dyDescent="0.25">
      <c r="A198" s="52" t="s">
        <v>95</v>
      </c>
      <c r="B198" s="90" t="s">
        <v>5877</v>
      </c>
    </row>
    <row r="199" spans="1:2" x14ac:dyDescent="0.25">
      <c r="A199" s="52" t="s">
        <v>95</v>
      </c>
      <c r="B199" s="90" t="s">
        <v>5878</v>
      </c>
    </row>
    <row r="200" spans="1:2" x14ac:dyDescent="0.25">
      <c r="A200" s="52" t="s">
        <v>95</v>
      </c>
      <c r="B200" s="90" t="s">
        <v>5879</v>
      </c>
    </row>
    <row r="201" spans="1:2" x14ac:dyDescent="0.25">
      <c r="A201" s="52" t="s">
        <v>95</v>
      </c>
      <c r="B201" s="90" t="s">
        <v>5880</v>
      </c>
    </row>
    <row r="202" spans="1:2" x14ac:dyDescent="0.25">
      <c r="A202" s="52" t="s">
        <v>95</v>
      </c>
      <c r="B202" s="90" t="s">
        <v>5881</v>
      </c>
    </row>
    <row r="203" spans="1:2" x14ac:dyDescent="0.25">
      <c r="A203" s="52" t="s">
        <v>95</v>
      </c>
      <c r="B203" s="90" t="s">
        <v>5882</v>
      </c>
    </row>
    <row r="204" spans="1:2" x14ac:dyDescent="0.25">
      <c r="A204" s="52" t="s">
        <v>95</v>
      </c>
      <c r="B204" s="90" t="s">
        <v>5883</v>
      </c>
    </row>
    <row r="205" spans="1:2" x14ac:dyDescent="0.25">
      <c r="A205" s="52" t="s">
        <v>95</v>
      </c>
      <c r="B205" s="90" t="s">
        <v>5884</v>
      </c>
    </row>
    <row r="206" spans="1:2" x14ac:dyDescent="0.25">
      <c r="A206" s="52" t="s">
        <v>95</v>
      </c>
      <c r="B206" s="90" t="s">
        <v>5885</v>
      </c>
    </row>
    <row r="207" spans="1:2" x14ac:dyDescent="0.25">
      <c r="A207" s="52" t="s">
        <v>95</v>
      </c>
      <c r="B207" s="90" t="s">
        <v>5886</v>
      </c>
    </row>
    <row r="208" spans="1:2" x14ac:dyDescent="0.25">
      <c r="A208" s="52" t="s">
        <v>95</v>
      </c>
      <c r="B208" s="90" t="s">
        <v>5887</v>
      </c>
    </row>
    <row r="209" spans="1:2" x14ac:dyDescent="0.25">
      <c r="A209" s="52" t="s">
        <v>95</v>
      </c>
      <c r="B209" s="90" t="s">
        <v>5765</v>
      </c>
    </row>
    <row r="210" spans="1:2" x14ac:dyDescent="0.25">
      <c r="A210" s="52" t="s">
        <v>95</v>
      </c>
      <c r="B210" s="90" t="s">
        <v>5888</v>
      </c>
    </row>
    <row r="211" spans="1:2" x14ac:dyDescent="0.25">
      <c r="A211" s="52" t="s">
        <v>95</v>
      </c>
      <c r="B211" s="90" t="s">
        <v>5889</v>
      </c>
    </row>
    <row r="212" spans="1:2" x14ac:dyDescent="0.25">
      <c r="A212" s="52" t="s">
        <v>95</v>
      </c>
      <c r="B212" s="90" t="s">
        <v>5890</v>
      </c>
    </row>
    <row r="213" spans="1:2" x14ac:dyDescent="0.25">
      <c r="A213" s="52" t="s">
        <v>95</v>
      </c>
      <c r="B213" s="90" t="s">
        <v>5891</v>
      </c>
    </row>
    <row r="214" spans="1:2" x14ac:dyDescent="0.25">
      <c r="A214" s="52" t="s">
        <v>95</v>
      </c>
      <c r="B214" s="90" t="s">
        <v>5892</v>
      </c>
    </row>
    <row r="215" spans="1:2" x14ac:dyDescent="0.25">
      <c r="A215" s="52" t="s">
        <v>95</v>
      </c>
      <c r="B215" s="90" t="s">
        <v>5893</v>
      </c>
    </row>
    <row r="216" spans="1:2" x14ac:dyDescent="0.25">
      <c r="A216" s="52" t="s">
        <v>95</v>
      </c>
      <c r="B216" s="90" t="s">
        <v>5894</v>
      </c>
    </row>
    <row r="217" spans="1:2" x14ac:dyDescent="0.25">
      <c r="A217" s="52" t="s">
        <v>95</v>
      </c>
      <c r="B217" s="90" t="s">
        <v>5895</v>
      </c>
    </row>
    <row r="218" spans="1:2" x14ac:dyDescent="0.25">
      <c r="A218" s="52" t="s">
        <v>95</v>
      </c>
      <c r="B218" s="90" t="s">
        <v>5896</v>
      </c>
    </row>
    <row r="219" spans="1:2" x14ac:dyDescent="0.25">
      <c r="A219" s="52" t="s">
        <v>95</v>
      </c>
      <c r="B219" s="90" t="s">
        <v>5897</v>
      </c>
    </row>
    <row r="220" spans="1:2" x14ac:dyDescent="0.25">
      <c r="A220" s="52" t="s">
        <v>95</v>
      </c>
      <c r="B220" s="90" t="s">
        <v>5898</v>
      </c>
    </row>
    <row r="221" spans="1:2" x14ac:dyDescent="0.25">
      <c r="A221" s="52" t="s">
        <v>95</v>
      </c>
      <c r="B221" s="90" t="s">
        <v>5899</v>
      </c>
    </row>
    <row r="222" spans="1:2" x14ac:dyDescent="0.25">
      <c r="A222" s="52" t="s">
        <v>95</v>
      </c>
      <c r="B222" s="90" t="s">
        <v>5900</v>
      </c>
    </row>
    <row r="223" spans="1:2" x14ac:dyDescent="0.25">
      <c r="A223" s="52" t="s">
        <v>95</v>
      </c>
      <c r="B223" s="90" t="s">
        <v>5901</v>
      </c>
    </row>
    <row r="224" spans="1:2" x14ac:dyDescent="0.25">
      <c r="A224" s="52" t="s">
        <v>95</v>
      </c>
      <c r="B224" s="90" t="s">
        <v>5902</v>
      </c>
    </row>
    <row r="225" spans="1:2" x14ac:dyDescent="0.25">
      <c r="A225" s="52" t="s">
        <v>95</v>
      </c>
      <c r="B225" s="90" t="s">
        <v>5903</v>
      </c>
    </row>
    <row r="226" spans="1:2" x14ac:dyDescent="0.25">
      <c r="A226" s="52" t="s">
        <v>95</v>
      </c>
      <c r="B226" s="90" t="s">
        <v>5904</v>
      </c>
    </row>
    <row r="227" spans="1:2" x14ac:dyDescent="0.25">
      <c r="A227" s="52" t="s">
        <v>95</v>
      </c>
      <c r="B227" s="90" t="s">
        <v>5905</v>
      </c>
    </row>
    <row r="228" spans="1:2" x14ac:dyDescent="0.25">
      <c r="A228" s="52" t="s">
        <v>95</v>
      </c>
      <c r="B228" s="90" t="s">
        <v>5906</v>
      </c>
    </row>
    <row r="229" spans="1:2" x14ac:dyDescent="0.25">
      <c r="A229" s="52" t="s">
        <v>95</v>
      </c>
      <c r="B229" s="90" t="s">
        <v>1767</v>
      </c>
    </row>
    <row r="230" spans="1:2" x14ac:dyDescent="0.25">
      <c r="A230" s="52" t="s">
        <v>95</v>
      </c>
      <c r="B230" s="90" t="s">
        <v>5907</v>
      </c>
    </row>
    <row r="231" spans="1:2" x14ac:dyDescent="0.25">
      <c r="A231" s="52" t="s">
        <v>95</v>
      </c>
      <c r="B231" s="90" t="s">
        <v>5908</v>
      </c>
    </row>
    <row r="232" spans="1:2" x14ac:dyDescent="0.25">
      <c r="A232" s="52" t="s">
        <v>95</v>
      </c>
      <c r="B232" s="90" t="s">
        <v>5909</v>
      </c>
    </row>
    <row r="233" spans="1:2" x14ac:dyDescent="0.25">
      <c r="A233" s="52" t="s">
        <v>95</v>
      </c>
      <c r="B233" s="90" t="s">
        <v>5910</v>
      </c>
    </row>
    <row r="234" spans="1:2" x14ac:dyDescent="0.25">
      <c r="A234" s="52" t="s">
        <v>95</v>
      </c>
      <c r="B234" s="90" t="s">
        <v>5911</v>
      </c>
    </row>
    <row r="235" spans="1:2" x14ac:dyDescent="0.25">
      <c r="A235" s="52" t="s">
        <v>95</v>
      </c>
      <c r="B235" s="90" t="s">
        <v>5912</v>
      </c>
    </row>
    <row r="236" spans="1:2" x14ac:dyDescent="0.25">
      <c r="A236" s="52" t="s">
        <v>95</v>
      </c>
      <c r="B236" s="90" t="s">
        <v>2454</v>
      </c>
    </row>
    <row r="237" spans="1:2" x14ac:dyDescent="0.25">
      <c r="A237" s="52" t="s">
        <v>95</v>
      </c>
      <c r="B237" s="90" t="s">
        <v>5913</v>
      </c>
    </row>
    <row r="238" spans="1:2" x14ac:dyDescent="0.25">
      <c r="A238" s="52" t="s">
        <v>95</v>
      </c>
      <c r="B238" s="90" t="s">
        <v>5914</v>
      </c>
    </row>
    <row r="239" spans="1:2" x14ac:dyDescent="0.25">
      <c r="A239" s="52" t="s">
        <v>95</v>
      </c>
      <c r="B239" s="90" t="s">
        <v>5915</v>
      </c>
    </row>
    <row r="240" spans="1:2" x14ac:dyDescent="0.25">
      <c r="A240" s="52" t="s">
        <v>95</v>
      </c>
      <c r="B240" s="90" t="s">
        <v>5916</v>
      </c>
    </row>
    <row r="241" spans="1:2" x14ac:dyDescent="0.25">
      <c r="A241" s="52" t="s">
        <v>95</v>
      </c>
      <c r="B241" s="90" t="s">
        <v>5917</v>
      </c>
    </row>
    <row r="242" spans="1:2" x14ac:dyDescent="0.25">
      <c r="A242" s="52" t="s">
        <v>95</v>
      </c>
      <c r="B242" s="90" t="s">
        <v>5918</v>
      </c>
    </row>
    <row r="243" spans="1:2" x14ac:dyDescent="0.25">
      <c r="A243" s="52" t="s">
        <v>95</v>
      </c>
      <c r="B243" s="90" t="s">
        <v>5919</v>
      </c>
    </row>
    <row r="244" spans="1:2" x14ac:dyDescent="0.25">
      <c r="A244" s="52" t="s">
        <v>95</v>
      </c>
      <c r="B244" s="90" t="s">
        <v>5920</v>
      </c>
    </row>
    <row r="245" spans="1:2" x14ac:dyDescent="0.25">
      <c r="A245" s="52" t="s">
        <v>95</v>
      </c>
      <c r="B245" s="90" t="s">
        <v>5921</v>
      </c>
    </row>
    <row r="246" spans="1:2" x14ac:dyDescent="0.25">
      <c r="A246" s="52" t="s">
        <v>95</v>
      </c>
      <c r="B246" s="90" t="s">
        <v>5922</v>
      </c>
    </row>
    <row r="247" spans="1:2" x14ac:dyDescent="0.25">
      <c r="A247" s="52" t="s">
        <v>95</v>
      </c>
      <c r="B247" s="90" t="s">
        <v>5923</v>
      </c>
    </row>
    <row r="248" spans="1:2" x14ac:dyDescent="0.25">
      <c r="A248" s="52" t="s">
        <v>95</v>
      </c>
      <c r="B248" s="90" t="s">
        <v>5924</v>
      </c>
    </row>
    <row r="249" spans="1:2" x14ac:dyDescent="0.25">
      <c r="A249" s="52" t="s">
        <v>95</v>
      </c>
      <c r="B249" s="90" t="s">
        <v>5925</v>
      </c>
    </row>
    <row r="250" spans="1:2" x14ac:dyDescent="0.25">
      <c r="A250" s="52" t="s">
        <v>95</v>
      </c>
      <c r="B250" s="90" t="s">
        <v>5926</v>
      </c>
    </row>
    <row r="251" spans="1:2" x14ac:dyDescent="0.25">
      <c r="A251" s="52" t="s">
        <v>95</v>
      </c>
      <c r="B251" s="90" t="s">
        <v>5927</v>
      </c>
    </row>
    <row r="252" spans="1:2" x14ac:dyDescent="0.25">
      <c r="A252" s="52" t="s">
        <v>95</v>
      </c>
      <c r="B252" s="90" t="s">
        <v>279</v>
      </c>
    </row>
    <row r="253" spans="1:2" x14ac:dyDescent="0.25">
      <c r="A253" s="52" t="s">
        <v>95</v>
      </c>
      <c r="B253" s="90" t="s">
        <v>5928</v>
      </c>
    </row>
    <row r="254" spans="1:2" x14ac:dyDescent="0.25">
      <c r="A254" s="52" t="s">
        <v>95</v>
      </c>
      <c r="B254" s="90" t="s">
        <v>5929</v>
      </c>
    </row>
    <row r="255" spans="1:2" x14ac:dyDescent="0.25">
      <c r="A255" s="52" t="s">
        <v>95</v>
      </c>
      <c r="B255" s="90" t="s">
        <v>5930</v>
      </c>
    </row>
    <row r="256" spans="1:2" x14ac:dyDescent="0.25">
      <c r="A256" s="52" t="s">
        <v>95</v>
      </c>
      <c r="B256" s="90" t="s">
        <v>5931</v>
      </c>
    </row>
    <row r="257" spans="1:2" x14ac:dyDescent="0.25">
      <c r="A257" s="52" t="s">
        <v>95</v>
      </c>
      <c r="B257" s="90" t="s">
        <v>5932</v>
      </c>
    </row>
    <row r="258" spans="1:2" x14ac:dyDescent="0.25">
      <c r="A258" s="52" t="s">
        <v>95</v>
      </c>
      <c r="B258" s="90" t="s">
        <v>5933</v>
      </c>
    </row>
    <row r="259" spans="1:2" x14ac:dyDescent="0.25">
      <c r="A259" s="52" t="s">
        <v>95</v>
      </c>
      <c r="B259" s="90" t="s">
        <v>5934</v>
      </c>
    </row>
    <row r="260" spans="1:2" x14ac:dyDescent="0.25">
      <c r="A260" s="52" t="s">
        <v>95</v>
      </c>
      <c r="B260" s="90" t="s">
        <v>5935</v>
      </c>
    </row>
    <row r="261" spans="1:2" x14ac:dyDescent="0.25">
      <c r="A261" s="52" t="s">
        <v>95</v>
      </c>
      <c r="B261" s="90" t="s">
        <v>5936</v>
      </c>
    </row>
    <row r="262" spans="1:2" x14ac:dyDescent="0.25">
      <c r="A262" s="52" t="s">
        <v>95</v>
      </c>
      <c r="B262" s="90" t="s">
        <v>5937</v>
      </c>
    </row>
    <row r="263" spans="1:2" x14ac:dyDescent="0.25">
      <c r="A263" s="52" t="s">
        <v>95</v>
      </c>
      <c r="B263" s="90" t="s">
        <v>5938</v>
      </c>
    </row>
    <row r="264" spans="1:2" x14ac:dyDescent="0.25">
      <c r="A264" s="52" t="s">
        <v>95</v>
      </c>
      <c r="B264" s="90" t="s">
        <v>5939</v>
      </c>
    </row>
    <row r="265" spans="1:2" x14ac:dyDescent="0.25">
      <c r="A265" s="52" t="s">
        <v>95</v>
      </c>
      <c r="B265" s="90" t="s">
        <v>5940</v>
      </c>
    </row>
    <row r="266" spans="1:2" x14ac:dyDescent="0.25">
      <c r="A266" s="52" t="s">
        <v>95</v>
      </c>
      <c r="B266" s="90" t="s">
        <v>5941</v>
      </c>
    </row>
    <row r="267" spans="1:2" x14ac:dyDescent="0.25">
      <c r="A267" s="52" t="s">
        <v>95</v>
      </c>
      <c r="B267" s="90" t="s">
        <v>5942</v>
      </c>
    </row>
    <row r="268" spans="1:2" x14ac:dyDescent="0.25">
      <c r="A268" s="52" t="s">
        <v>95</v>
      </c>
      <c r="B268" s="90" t="s">
        <v>5943</v>
      </c>
    </row>
    <row r="269" spans="1:2" x14ac:dyDescent="0.25">
      <c r="A269" s="52" t="s">
        <v>95</v>
      </c>
      <c r="B269" s="90" t="s">
        <v>5944</v>
      </c>
    </row>
    <row r="270" spans="1:2" x14ac:dyDescent="0.25">
      <c r="A270" s="52" t="s">
        <v>95</v>
      </c>
      <c r="B270" s="90" t="s">
        <v>5766</v>
      </c>
    </row>
    <row r="271" spans="1:2" x14ac:dyDescent="0.25">
      <c r="A271" s="52" t="s">
        <v>95</v>
      </c>
      <c r="B271" s="90" t="s">
        <v>5945</v>
      </c>
    </row>
    <row r="272" spans="1:2" x14ac:dyDescent="0.25">
      <c r="A272" s="52" t="s">
        <v>95</v>
      </c>
      <c r="B272" s="90" t="s">
        <v>5946</v>
      </c>
    </row>
    <row r="273" spans="1:2" x14ac:dyDescent="0.25">
      <c r="A273" s="52" t="s">
        <v>95</v>
      </c>
      <c r="B273" s="90" t="s">
        <v>5947</v>
      </c>
    </row>
    <row r="274" spans="1:2" x14ac:dyDescent="0.25">
      <c r="A274" s="52" t="s">
        <v>95</v>
      </c>
      <c r="B274" s="90" t="s">
        <v>5948</v>
      </c>
    </row>
    <row r="275" spans="1:2" x14ac:dyDescent="0.25">
      <c r="A275" s="52" t="s">
        <v>95</v>
      </c>
      <c r="B275" s="90" t="s">
        <v>5949</v>
      </c>
    </row>
    <row r="276" spans="1:2" x14ac:dyDescent="0.25">
      <c r="A276" s="52" t="s">
        <v>95</v>
      </c>
      <c r="B276" s="90" t="s">
        <v>5950</v>
      </c>
    </row>
    <row r="277" spans="1:2" x14ac:dyDescent="0.25">
      <c r="A277" s="52" t="s">
        <v>95</v>
      </c>
      <c r="B277" s="90" t="s">
        <v>5951</v>
      </c>
    </row>
    <row r="278" spans="1:2" x14ac:dyDescent="0.25">
      <c r="A278" s="52" t="s">
        <v>95</v>
      </c>
      <c r="B278" s="90" t="s">
        <v>5952</v>
      </c>
    </row>
    <row r="279" spans="1:2" x14ac:dyDescent="0.25">
      <c r="A279" s="52" t="s">
        <v>95</v>
      </c>
      <c r="B279" s="90" t="s">
        <v>5953</v>
      </c>
    </row>
    <row r="280" spans="1:2" x14ac:dyDescent="0.25">
      <c r="A280" s="52" t="s">
        <v>95</v>
      </c>
      <c r="B280" s="90" t="s">
        <v>5954</v>
      </c>
    </row>
    <row r="281" spans="1:2" x14ac:dyDescent="0.25">
      <c r="A281" s="52" t="s">
        <v>95</v>
      </c>
      <c r="B281" s="90" t="s">
        <v>5955</v>
      </c>
    </row>
    <row r="282" spans="1:2" x14ac:dyDescent="0.25">
      <c r="A282" s="52" t="s">
        <v>95</v>
      </c>
      <c r="B282" s="90" t="s">
        <v>5956</v>
      </c>
    </row>
    <row r="283" spans="1:2" x14ac:dyDescent="0.25">
      <c r="A283" s="52" t="s">
        <v>95</v>
      </c>
      <c r="B283" s="90" t="s">
        <v>5957</v>
      </c>
    </row>
    <row r="284" spans="1:2" x14ac:dyDescent="0.25">
      <c r="A284" s="52" t="s">
        <v>95</v>
      </c>
      <c r="B284" s="90" t="s">
        <v>5958</v>
      </c>
    </row>
    <row r="285" spans="1:2" x14ac:dyDescent="0.25">
      <c r="A285" s="52" t="s">
        <v>95</v>
      </c>
      <c r="B285" s="90" t="s">
        <v>5959</v>
      </c>
    </row>
    <row r="286" spans="1:2" x14ac:dyDescent="0.25">
      <c r="A286" s="52" t="s">
        <v>95</v>
      </c>
      <c r="B286" s="90" t="s">
        <v>5960</v>
      </c>
    </row>
    <row r="287" spans="1:2" x14ac:dyDescent="0.25">
      <c r="A287" s="52" t="s">
        <v>95</v>
      </c>
      <c r="B287" s="90" t="s">
        <v>5961</v>
      </c>
    </row>
    <row r="288" spans="1:2" x14ac:dyDescent="0.25">
      <c r="A288" s="52" t="s">
        <v>95</v>
      </c>
      <c r="B288" s="90" t="s">
        <v>5962</v>
      </c>
    </row>
    <row r="289" spans="1:2" x14ac:dyDescent="0.25">
      <c r="A289" s="52" t="s">
        <v>95</v>
      </c>
      <c r="B289" s="90" t="s">
        <v>5963</v>
      </c>
    </row>
    <row r="290" spans="1:2" x14ac:dyDescent="0.25">
      <c r="A290" s="52" t="s">
        <v>95</v>
      </c>
      <c r="B290" s="90" t="s">
        <v>5964</v>
      </c>
    </row>
    <row r="291" spans="1:2" x14ac:dyDescent="0.25">
      <c r="A291" s="52" t="s">
        <v>95</v>
      </c>
      <c r="B291" s="90" t="s">
        <v>5965</v>
      </c>
    </row>
    <row r="292" spans="1:2" x14ac:dyDescent="0.25">
      <c r="A292" s="52" t="s">
        <v>95</v>
      </c>
      <c r="B292" s="90" t="s">
        <v>5966</v>
      </c>
    </row>
    <row r="293" spans="1:2" x14ac:dyDescent="0.25">
      <c r="A293" s="52" t="s">
        <v>95</v>
      </c>
      <c r="B293" s="90" t="s">
        <v>5967</v>
      </c>
    </row>
    <row r="294" spans="1:2" x14ac:dyDescent="0.25">
      <c r="A294" s="52" t="s">
        <v>95</v>
      </c>
      <c r="B294" s="90" t="s">
        <v>5968</v>
      </c>
    </row>
    <row r="295" spans="1:2" x14ac:dyDescent="0.25">
      <c r="A295" s="52" t="s">
        <v>95</v>
      </c>
      <c r="B295" s="90" t="s">
        <v>5969</v>
      </c>
    </row>
    <row r="296" spans="1:2" x14ac:dyDescent="0.25">
      <c r="A296" s="52" t="s">
        <v>95</v>
      </c>
      <c r="B296" s="90" t="s">
        <v>5970</v>
      </c>
    </row>
    <row r="297" spans="1:2" x14ac:dyDescent="0.25">
      <c r="A297" s="52" t="s">
        <v>95</v>
      </c>
      <c r="B297" s="90" t="s">
        <v>5971</v>
      </c>
    </row>
    <row r="298" spans="1:2" x14ac:dyDescent="0.25">
      <c r="A298" s="52" t="s">
        <v>95</v>
      </c>
      <c r="B298" s="90" t="s">
        <v>5972</v>
      </c>
    </row>
    <row r="299" spans="1:2" x14ac:dyDescent="0.25">
      <c r="A299" s="52" t="s">
        <v>95</v>
      </c>
      <c r="B299" s="90" t="s">
        <v>5973</v>
      </c>
    </row>
    <row r="300" spans="1:2" x14ac:dyDescent="0.25">
      <c r="A300" s="52" t="s">
        <v>95</v>
      </c>
      <c r="B300" s="90" t="s">
        <v>215</v>
      </c>
    </row>
    <row r="301" spans="1:2" x14ac:dyDescent="0.25">
      <c r="A301" s="52" t="s">
        <v>95</v>
      </c>
      <c r="B301" s="90" t="s">
        <v>5974</v>
      </c>
    </row>
    <row r="302" spans="1:2" x14ac:dyDescent="0.25">
      <c r="A302" s="52" t="s">
        <v>95</v>
      </c>
      <c r="B302" s="90" t="s">
        <v>5975</v>
      </c>
    </row>
    <row r="303" spans="1:2" x14ac:dyDescent="0.25">
      <c r="A303" s="52" t="s">
        <v>95</v>
      </c>
      <c r="B303" s="90" t="s">
        <v>5976</v>
      </c>
    </row>
    <row r="304" spans="1:2" x14ac:dyDescent="0.25">
      <c r="A304" s="52" t="s">
        <v>95</v>
      </c>
      <c r="B304" s="90" t="s">
        <v>5977</v>
      </c>
    </row>
    <row r="305" spans="1:2" x14ac:dyDescent="0.25">
      <c r="A305" s="52" t="s">
        <v>95</v>
      </c>
      <c r="B305" s="90" t="s">
        <v>5978</v>
      </c>
    </row>
    <row r="306" spans="1:2" x14ac:dyDescent="0.25">
      <c r="A306" s="52" t="s">
        <v>95</v>
      </c>
      <c r="B306" s="90" t="s">
        <v>5979</v>
      </c>
    </row>
    <row r="307" spans="1:2" x14ac:dyDescent="0.25">
      <c r="A307" s="52" t="s">
        <v>95</v>
      </c>
      <c r="B307" s="90" t="s">
        <v>5980</v>
      </c>
    </row>
    <row r="308" spans="1:2" x14ac:dyDescent="0.25">
      <c r="A308" s="52" t="s">
        <v>95</v>
      </c>
      <c r="B308" s="90" t="s">
        <v>5981</v>
      </c>
    </row>
    <row r="309" spans="1:2" x14ac:dyDescent="0.25">
      <c r="A309" s="52" t="s">
        <v>95</v>
      </c>
      <c r="B309" s="90" t="s">
        <v>5982</v>
      </c>
    </row>
    <row r="310" spans="1:2" x14ac:dyDescent="0.25">
      <c r="A310" s="52" t="s">
        <v>95</v>
      </c>
      <c r="B310" s="90" t="s">
        <v>5983</v>
      </c>
    </row>
    <row r="311" spans="1:2" x14ac:dyDescent="0.25">
      <c r="A311" s="52" t="s">
        <v>95</v>
      </c>
      <c r="B311" s="90" t="s">
        <v>5984</v>
      </c>
    </row>
    <row r="312" spans="1:2" x14ac:dyDescent="0.25">
      <c r="A312" s="52" t="s">
        <v>95</v>
      </c>
      <c r="B312" s="90" t="s">
        <v>5985</v>
      </c>
    </row>
    <row r="313" spans="1:2" x14ac:dyDescent="0.25">
      <c r="A313" s="52" t="s">
        <v>95</v>
      </c>
      <c r="B313" s="90" t="s">
        <v>5986</v>
      </c>
    </row>
    <row r="314" spans="1:2" x14ac:dyDescent="0.25">
      <c r="A314" s="52" t="s">
        <v>95</v>
      </c>
      <c r="B314" s="90" t="s">
        <v>5987</v>
      </c>
    </row>
    <row r="315" spans="1:2" x14ac:dyDescent="0.25">
      <c r="A315" s="52" t="s">
        <v>95</v>
      </c>
      <c r="B315" s="90" t="s">
        <v>5988</v>
      </c>
    </row>
    <row r="316" spans="1:2" x14ac:dyDescent="0.25">
      <c r="A316" s="52" t="s">
        <v>95</v>
      </c>
      <c r="B316" s="90" t="s">
        <v>5988</v>
      </c>
    </row>
    <row r="317" spans="1:2" x14ac:dyDescent="0.25">
      <c r="A317" s="52" t="s">
        <v>95</v>
      </c>
      <c r="B317" s="90" t="s">
        <v>5989</v>
      </c>
    </row>
    <row r="318" spans="1:2" x14ac:dyDescent="0.25">
      <c r="A318" s="52" t="s">
        <v>95</v>
      </c>
      <c r="B318" s="90" t="s">
        <v>5990</v>
      </c>
    </row>
    <row r="319" spans="1:2" x14ac:dyDescent="0.25">
      <c r="A319" s="52" t="s">
        <v>95</v>
      </c>
      <c r="B319" s="90" t="s">
        <v>5990</v>
      </c>
    </row>
    <row r="320" spans="1:2" x14ac:dyDescent="0.25">
      <c r="A320" s="52" t="s">
        <v>95</v>
      </c>
      <c r="B320" s="90" t="s">
        <v>5990</v>
      </c>
    </row>
    <row r="321" spans="1:2" x14ac:dyDescent="0.25">
      <c r="A321" s="52" t="s">
        <v>95</v>
      </c>
      <c r="B321" s="90" t="s">
        <v>5990</v>
      </c>
    </row>
    <row r="322" spans="1:2" x14ac:dyDescent="0.25">
      <c r="A322" s="52" t="s">
        <v>95</v>
      </c>
      <c r="B322" s="90" t="s">
        <v>5991</v>
      </c>
    </row>
    <row r="323" spans="1:2" x14ac:dyDescent="0.25">
      <c r="A323" s="52" t="s">
        <v>95</v>
      </c>
      <c r="B323" s="90" t="s">
        <v>5992</v>
      </c>
    </row>
    <row r="324" spans="1:2" x14ac:dyDescent="0.25">
      <c r="A324" s="52" t="s">
        <v>95</v>
      </c>
      <c r="B324" s="90" t="s">
        <v>5993</v>
      </c>
    </row>
    <row r="325" spans="1:2" x14ac:dyDescent="0.25">
      <c r="A325" s="52" t="s">
        <v>95</v>
      </c>
      <c r="B325" s="90" t="s">
        <v>5994</v>
      </c>
    </row>
    <row r="326" spans="1:2" x14ac:dyDescent="0.25">
      <c r="A326" s="52" t="s">
        <v>95</v>
      </c>
      <c r="B326" s="90" t="s">
        <v>5995</v>
      </c>
    </row>
    <row r="327" spans="1:2" x14ac:dyDescent="0.25">
      <c r="A327" s="52" t="s">
        <v>95</v>
      </c>
      <c r="B327" s="90" t="s">
        <v>5996</v>
      </c>
    </row>
    <row r="328" spans="1:2" x14ac:dyDescent="0.25">
      <c r="A328" s="52" t="s">
        <v>95</v>
      </c>
      <c r="B328" s="90" t="s">
        <v>5997</v>
      </c>
    </row>
    <row r="329" spans="1:2" x14ac:dyDescent="0.25">
      <c r="A329" s="52" t="s">
        <v>95</v>
      </c>
      <c r="B329" s="90" t="s">
        <v>5998</v>
      </c>
    </row>
    <row r="330" spans="1:2" x14ac:dyDescent="0.25">
      <c r="A330" s="52" t="s">
        <v>95</v>
      </c>
      <c r="B330" s="90" t="s">
        <v>5999</v>
      </c>
    </row>
    <row r="331" spans="1:2" x14ac:dyDescent="0.25">
      <c r="A331" s="52" t="s">
        <v>95</v>
      </c>
      <c r="B331" s="90" t="s">
        <v>6000</v>
      </c>
    </row>
    <row r="332" spans="1:2" x14ac:dyDescent="0.25">
      <c r="A332" s="52" t="s">
        <v>95</v>
      </c>
      <c r="B332" s="90" t="s">
        <v>6001</v>
      </c>
    </row>
    <row r="333" spans="1:2" x14ac:dyDescent="0.25">
      <c r="A333" s="52" t="s">
        <v>95</v>
      </c>
      <c r="B333" s="90" t="s">
        <v>6002</v>
      </c>
    </row>
    <row r="334" spans="1:2" x14ac:dyDescent="0.25">
      <c r="A334" s="52" t="s">
        <v>95</v>
      </c>
      <c r="B334" s="90" t="s">
        <v>6003</v>
      </c>
    </row>
    <row r="335" spans="1:2" x14ac:dyDescent="0.25">
      <c r="A335" s="52" t="s">
        <v>95</v>
      </c>
      <c r="B335" s="90" t="s">
        <v>6004</v>
      </c>
    </row>
    <row r="336" spans="1:2" x14ac:dyDescent="0.25">
      <c r="A336" s="52" t="s">
        <v>95</v>
      </c>
      <c r="B336" s="90" t="s">
        <v>6005</v>
      </c>
    </row>
    <row r="337" spans="1:2" x14ac:dyDescent="0.25">
      <c r="A337" s="52" t="s">
        <v>95</v>
      </c>
      <c r="B337" s="90" t="s">
        <v>6006</v>
      </c>
    </row>
    <row r="338" spans="1:2" x14ac:dyDescent="0.25">
      <c r="A338" s="52" t="s">
        <v>95</v>
      </c>
      <c r="B338" s="90" t="s">
        <v>6006</v>
      </c>
    </row>
    <row r="339" spans="1:2" x14ac:dyDescent="0.25">
      <c r="A339" s="52" t="s">
        <v>95</v>
      </c>
      <c r="B339" s="90" t="s">
        <v>6007</v>
      </c>
    </row>
    <row r="340" spans="1:2" x14ac:dyDescent="0.25">
      <c r="A340" s="52" t="s">
        <v>95</v>
      </c>
      <c r="B340" s="90" t="s">
        <v>6008</v>
      </c>
    </row>
    <row r="341" spans="1:2" x14ac:dyDescent="0.25">
      <c r="A341" s="52" t="s">
        <v>95</v>
      </c>
      <c r="B341" s="90" t="s">
        <v>6009</v>
      </c>
    </row>
    <row r="342" spans="1:2" x14ac:dyDescent="0.25">
      <c r="A342" s="52" t="s">
        <v>95</v>
      </c>
      <c r="B342" s="90" t="s">
        <v>6010</v>
      </c>
    </row>
    <row r="343" spans="1:2" x14ac:dyDescent="0.25">
      <c r="A343" s="52" t="s">
        <v>95</v>
      </c>
      <c r="B343" s="90" t="s">
        <v>6011</v>
      </c>
    </row>
    <row r="344" spans="1:2" x14ac:dyDescent="0.25">
      <c r="A344" s="52" t="s">
        <v>95</v>
      </c>
      <c r="B344" s="90" t="s">
        <v>6012</v>
      </c>
    </row>
    <row r="345" spans="1:2" x14ac:dyDescent="0.25">
      <c r="A345" s="52" t="s">
        <v>95</v>
      </c>
      <c r="B345" s="90" t="s">
        <v>6013</v>
      </c>
    </row>
    <row r="346" spans="1:2" x14ac:dyDescent="0.25">
      <c r="A346" s="52" t="s">
        <v>95</v>
      </c>
      <c r="B346" s="90" t="s">
        <v>6014</v>
      </c>
    </row>
    <row r="347" spans="1:2" x14ac:dyDescent="0.25">
      <c r="A347" s="52" t="s">
        <v>95</v>
      </c>
      <c r="B347" s="90" t="s">
        <v>6015</v>
      </c>
    </row>
    <row r="348" spans="1:2" x14ac:dyDescent="0.25">
      <c r="A348" s="52" t="s">
        <v>95</v>
      </c>
      <c r="B348" s="90" t="s">
        <v>6016</v>
      </c>
    </row>
    <row r="349" spans="1:2" x14ac:dyDescent="0.25">
      <c r="A349" s="52" t="s">
        <v>95</v>
      </c>
      <c r="B349" s="90" t="s">
        <v>6017</v>
      </c>
    </row>
    <row r="350" spans="1:2" x14ac:dyDescent="0.25">
      <c r="A350" s="52" t="s">
        <v>95</v>
      </c>
      <c r="B350" s="90" t="s">
        <v>6018</v>
      </c>
    </row>
    <row r="351" spans="1:2" x14ac:dyDescent="0.25">
      <c r="A351" s="52" t="s">
        <v>95</v>
      </c>
      <c r="B351" s="90" t="s">
        <v>6019</v>
      </c>
    </row>
    <row r="352" spans="1:2" x14ac:dyDescent="0.25">
      <c r="A352" s="52" t="s">
        <v>95</v>
      </c>
      <c r="B352" s="90" t="s">
        <v>6020</v>
      </c>
    </row>
    <row r="353" spans="1:2" x14ac:dyDescent="0.25">
      <c r="A353" s="52" t="s">
        <v>95</v>
      </c>
      <c r="B353" s="90" t="s">
        <v>6021</v>
      </c>
    </row>
    <row r="354" spans="1:2" x14ac:dyDescent="0.25">
      <c r="A354" s="52" t="s">
        <v>95</v>
      </c>
      <c r="B354" s="90" t="s">
        <v>6022</v>
      </c>
    </row>
    <row r="355" spans="1:2" x14ac:dyDescent="0.25">
      <c r="A355" s="52" t="s">
        <v>95</v>
      </c>
      <c r="B355" s="90" t="s">
        <v>6023</v>
      </c>
    </row>
    <row r="356" spans="1:2" x14ac:dyDescent="0.25">
      <c r="A356" s="52" t="s">
        <v>95</v>
      </c>
      <c r="B356" s="90" t="s">
        <v>6024</v>
      </c>
    </row>
    <row r="357" spans="1:2" x14ac:dyDescent="0.25">
      <c r="A357" s="52" t="s">
        <v>95</v>
      </c>
      <c r="B357" s="90" t="s">
        <v>6025</v>
      </c>
    </row>
    <row r="358" spans="1:2" x14ac:dyDescent="0.25">
      <c r="A358" s="52" t="s">
        <v>95</v>
      </c>
      <c r="B358" s="90" t="s">
        <v>6026</v>
      </c>
    </row>
    <row r="359" spans="1:2" x14ac:dyDescent="0.25">
      <c r="A359" s="52" t="s">
        <v>95</v>
      </c>
      <c r="B359" s="90" t="s">
        <v>6027</v>
      </c>
    </row>
    <row r="360" spans="1:2" x14ac:dyDescent="0.25">
      <c r="A360" s="52" t="s">
        <v>95</v>
      </c>
      <c r="B360" s="90" t="s">
        <v>6028</v>
      </c>
    </row>
    <row r="361" spans="1:2" x14ac:dyDescent="0.25">
      <c r="A361" s="52" t="s">
        <v>95</v>
      </c>
      <c r="B361" s="90" t="s">
        <v>6029</v>
      </c>
    </row>
    <row r="362" spans="1:2" x14ac:dyDescent="0.25">
      <c r="A362" s="52" t="s">
        <v>95</v>
      </c>
      <c r="B362" s="90" t="s">
        <v>6030</v>
      </c>
    </row>
    <row r="363" spans="1:2" x14ac:dyDescent="0.25">
      <c r="A363" s="52" t="s">
        <v>95</v>
      </c>
      <c r="B363" s="90" t="s">
        <v>6031</v>
      </c>
    </row>
    <row r="364" spans="1:2" x14ac:dyDescent="0.25">
      <c r="A364" s="52" t="s">
        <v>95</v>
      </c>
      <c r="B364" s="90" t="s">
        <v>6032</v>
      </c>
    </row>
    <row r="365" spans="1:2" x14ac:dyDescent="0.25">
      <c r="A365" s="52" t="s">
        <v>95</v>
      </c>
      <c r="B365" s="90" t="s">
        <v>6033</v>
      </c>
    </row>
    <row r="366" spans="1:2" x14ac:dyDescent="0.25">
      <c r="A366" s="52" t="s">
        <v>95</v>
      </c>
      <c r="B366" s="90" t="s">
        <v>6034</v>
      </c>
    </row>
    <row r="367" spans="1:2" x14ac:dyDescent="0.25">
      <c r="A367" s="52" t="s">
        <v>95</v>
      </c>
      <c r="B367" s="90" t="s">
        <v>6035</v>
      </c>
    </row>
    <row r="368" spans="1:2" x14ac:dyDescent="0.25">
      <c r="A368" s="52" t="s">
        <v>95</v>
      </c>
      <c r="B368" s="90" t="s">
        <v>6036</v>
      </c>
    </row>
    <row r="369" spans="1:2" x14ac:dyDescent="0.25">
      <c r="A369" s="52" t="s">
        <v>95</v>
      </c>
      <c r="B369" s="90" t="s">
        <v>6037</v>
      </c>
    </row>
    <row r="370" spans="1:2" x14ac:dyDescent="0.25">
      <c r="A370" s="52" t="s">
        <v>95</v>
      </c>
      <c r="B370" s="90" t="s">
        <v>6038</v>
      </c>
    </row>
    <row r="371" spans="1:2" x14ac:dyDescent="0.25">
      <c r="A371" s="52" t="s">
        <v>95</v>
      </c>
      <c r="B371" s="90" t="s">
        <v>6039</v>
      </c>
    </row>
    <row r="372" spans="1:2" x14ac:dyDescent="0.25">
      <c r="A372" s="52" t="s">
        <v>95</v>
      </c>
      <c r="B372" s="90" t="s">
        <v>6040</v>
      </c>
    </row>
    <row r="373" spans="1:2" x14ac:dyDescent="0.25">
      <c r="A373" s="52" t="s">
        <v>95</v>
      </c>
      <c r="B373" s="90" t="s">
        <v>6041</v>
      </c>
    </row>
    <row r="374" spans="1:2" x14ac:dyDescent="0.25">
      <c r="A374" s="52" t="s">
        <v>95</v>
      </c>
      <c r="B374" s="90" t="s">
        <v>6042</v>
      </c>
    </row>
    <row r="375" spans="1:2" x14ac:dyDescent="0.25">
      <c r="A375" s="52" t="s">
        <v>95</v>
      </c>
      <c r="B375" s="90" t="s">
        <v>6043</v>
      </c>
    </row>
    <row r="376" spans="1:2" x14ac:dyDescent="0.25">
      <c r="A376" s="52" t="s">
        <v>95</v>
      </c>
      <c r="B376" s="90" t="s">
        <v>6044</v>
      </c>
    </row>
    <row r="377" spans="1:2" x14ac:dyDescent="0.25">
      <c r="A377" s="52" t="s">
        <v>95</v>
      </c>
      <c r="B377" s="90" t="s">
        <v>6045</v>
      </c>
    </row>
    <row r="378" spans="1:2" x14ac:dyDescent="0.25">
      <c r="A378" s="52" t="s">
        <v>95</v>
      </c>
      <c r="B378" s="90" t="s">
        <v>6046</v>
      </c>
    </row>
    <row r="379" spans="1:2" x14ac:dyDescent="0.25">
      <c r="A379" s="52" t="s">
        <v>95</v>
      </c>
      <c r="B379" s="90" t="s">
        <v>6047</v>
      </c>
    </row>
    <row r="380" spans="1:2" x14ac:dyDescent="0.25">
      <c r="A380" s="52" t="s">
        <v>95</v>
      </c>
      <c r="B380" s="90" t="s">
        <v>6048</v>
      </c>
    </row>
    <row r="381" spans="1:2" x14ac:dyDescent="0.25">
      <c r="A381" s="52" t="s">
        <v>95</v>
      </c>
      <c r="B381" s="90" t="s">
        <v>3227</v>
      </c>
    </row>
    <row r="382" spans="1:2" x14ac:dyDescent="0.25">
      <c r="A382" s="52" t="s">
        <v>95</v>
      </c>
      <c r="B382" s="90" t="s">
        <v>6049</v>
      </c>
    </row>
    <row r="383" spans="1:2" x14ac:dyDescent="0.25">
      <c r="A383" s="52" t="s">
        <v>95</v>
      </c>
      <c r="B383" s="90" t="s">
        <v>6050</v>
      </c>
    </row>
    <row r="384" spans="1:2" x14ac:dyDescent="0.25">
      <c r="A384" s="52" t="s">
        <v>95</v>
      </c>
      <c r="B384" s="90" t="s">
        <v>6051</v>
      </c>
    </row>
    <row r="385" spans="1:2" x14ac:dyDescent="0.25">
      <c r="A385" s="52" t="s">
        <v>95</v>
      </c>
      <c r="B385" s="90" t="s">
        <v>6052</v>
      </c>
    </row>
    <row r="386" spans="1:2" x14ac:dyDescent="0.25">
      <c r="A386" s="52" t="s">
        <v>95</v>
      </c>
      <c r="B386" s="90" t="s">
        <v>6053</v>
      </c>
    </row>
    <row r="387" spans="1:2" x14ac:dyDescent="0.25">
      <c r="A387" s="52" t="s">
        <v>95</v>
      </c>
      <c r="B387" s="90" t="s">
        <v>6054</v>
      </c>
    </row>
    <row r="388" spans="1:2" x14ac:dyDescent="0.25">
      <c r="A388" s="52" t="s">
        <v>95</v>
      </c>
      <c r="B388" s="90" t="s">
        <v>6055</v>
      </c>
    </row>
    <row r="389" spans="1:2" x14ac:dyDescent="0.25">
      <c r="A389" s="52" t="s">
        <v>95</v>
      </c>
      <c r="B389" s="90" t="s">
        <v>6056</v>
      </c>
    </row>
    <row r="390" spans="1:2" x14ac:dyDescent="0.25">
      <c r="A390" s="52" t="s">
        <v>95</v>
      </c>
      <c r="B390" s="90" t="s">
        <v>6057</v>
      </c>
    </row>
    <row r="391" spans="1:2" x14ac:dyDescent="0.25">
      <c r="A391" s="52" t="s">
        <v>95</v>
      </c>
      <c r="B391" s="90" t="s">
        <v>6058</v>
      </c>
    </row>
    <row r="392" spans="1:2" x14ac:dyDescent="0.25">
      <c r="A392" s="52" t="s">
        <v>95</v>
      </c>
      <c r="B392" s="90" t="s">
        <v>6059</v>
      </c>
    </row>
    <row r="393" spans="1:2" x14ac:dyDescent="0.25">
      <c r="A393" s="52" t="s">
        <v>95</v>
      </c>
      <c r="B393" s="90" t="s">
        <v>6060</v>
      </c>
    </row>
    <row r="394" spans="1:2" x14ac:dyDescent="0.25">
      <c r="A394" s="52" t="s">
        <v>95</v>
      </c>
      <c r="B394" s="90" t="s">
        <v>6061</v>
      </c>
    </row>
    <row r="395" spans="1:2" x14ac:dyDescent="0.25">
      <c r="A395" s="52" t="s">
        <v>95</v>
      </c>
      <c r="B395" s="90" t="s">
        <v>6062</v>
      </c>
    </row>
    <row r="396" spans="1:2" x14ac:dyDescent="0.25">
      <c r="A396" s="52" t="s">
        <v>95</v>
      </c>
      <c r="B396" s="90" t="s">
        <v>6063</v>
      </c>
    </row>
    <row r="397" spans="1:2" x14ac:dyDescent="0.25">
      <c r="A397" s="52" t="s">
        <v>95</v>
      </c>
      <c r="B397" s="90" t="s">
        <v>6064</v>
      </c>
    </row>
    <row r="398" spans="1:2" x14ac:dyDescent="0.25">
      <c r="A398" s="52" t="s">
        <v>95</v>
      </c>
      <c r="B398" s="90" t="s">
        <v>6065</v>
      </c>
    </row>
    <row r="399" spans="1:2" x14ac:dyDescent="0.25">
      <c r="A399" s="52" t="s">
        <v>95</v>
      </c>
      <c r="B399" s="90" t="s">
        <v>6066</v>
      </c>
    </row>
    <row r="400" spans="1:2" x14ac:dyDescent="0.25">
      <c r="A400" s="52" t="s">
        <v>95</v>
      </c>
      <c r="B400" s="90" t="s">
        <v>6067</v>
      </c>
    </row>
    <row r="401" spans="1:2" x14ac:dyDescent="0.25">
      <c r="A401" s="52" t="s">
        <v>95</v>
      </c>
      <c r="B401" s="90" t="s">
        <v>6068</v>
      </c>
    </row>
    <row r="402" spans="1:2" x14ac:dyDescent="0.25">
      <c r="A402" s="52" t="s">
        <v>95</v>
      </c>
      <c r="B402" s="90" t="s">
        <v>409</v>
      </c>
    </row>
    <row r="403" spans="1:2" x14ac:dyDescent="0.25">
      <c r="A403" s="52" t="s">
        <v>95</v>
      </c>
      <c r="B403" s="90" t="s">
        <v>6069</v>
      </c>
    </row>
    <row r="404" spans="1:2" x14ac:dyDescent="0.25">
      <c r="A404" s="52" t="s">
        <v>95</v>
      </c>
      <c r="B404" s="90" t="s">
        <v>6070</v>
      </c>
    </row>
    <row r="405" spans="1:2" x14ac:dyDescent="0.25">
      <c r="A405" s="52" t="s">
        <v>95</v>
      </c>
      <c r="B405" s="90" t="s">
        <v>6071</v>
      </c>
    </row>
    <row r="406" spans="1:2" x14ac:dyDescent="0.25">
      <c r="A406" s="52" t="s">
        <v>95</v>
      </c>
      <c r="B406" s="90" t="s">
        <v>6072</v>
      </c>
    </row>
    <row r="407" spans="1:2" x14ac:dyDescent="0.25">
      <c r="A407" s="52" t="s">
        <v>95</v>
      </c>
      <c r="B407" s="90" t="s">
        <v>6073</v>
      </c>
    </row>
    <row r="408" spans="1:2" x14ac:dyDescent="0.25">
      <c r="A408" s="52" t="s">
        <v>95</v>
      </c>
      <c r="B408" s="90" t="s">
        <v>6074</v>
      </c>
    </row>
    <row r="409" spans="1:2" x14ac:dyDescent="0.25">
      <c r="A409" s="52" t="s">
        <v>95</v>
      </c>
      <c r="B409" s="90" t="s">
        <v>6075</v>
      </c>
    </row>
    <row r="410" spans="1:2" x14ac:dyDescent="0.25">
      <c r="A410" s="52" t="s">
        <v>95</v>
      </c>
      <c r="B410" s="90" t="s">
        <v>6076</v>
      </c>
    </row>
    <row r="411" spans="1:2" x14ac:dyDescent="0.25">
      <c r="A411" s="52" t="s">
        <v>95</v>
      </c>
      <c r="B411" s="90" t="s">
        <v>6077</v>
      </c>
    </row>
    <row r="412" spans="1:2" x14ac:dyDescent="0.25">
      <c r="A412" s="52" t="s">
        <v>95</v>
      </c>
      <c r="B412" s="90" t="s">
        <v>6078</v>
      </c>
    </row>
    <row r="413" spans="1:2" x14ac:dyDescent="0.25">
      <c r="A413" s="52" t="s">
        <v>95</v>
      </c>
      <c r="B413" s="90" t="s">
        <v>6079</v>
      </c>
    </row>
    <row r="414" spans="1:2" x14ac:dyDescent="0.25">
      <c r="A414" s="52" t="s">
        <v>95</v>
      </c>
      <c r="B414" s="90" t="s">
        <v>6080</v>
      </c>
    </row>
    <row r="415" spans="1:2" x14ac:dyDescent="0.25">
      <c r="A415" s="52" t="s">
        <v>95</v>
      </c>
      <c r="B415" s="90" t="s">
        <v>6081</v>
      </c>
    </row>
    <row r="416" spans="1:2" x14ac:dyDescent="0.25">
      <c r="A416" s="52" t="s">
        <v>95</v>
      </c>
      <c r="B416" s="90" t="s">
        <v>6082</v>
      </c>
    </row>
    <row r="417" spans="1:2" x14ac:dyDescent="0.25">
      <c r="A417" s="52" t="s">
        <v>95</v>
      </c>
      <c r="B417" s="90" t="s">
        <v>6083</v>
      </c>
    </row>
    <row r="418" spans="1:2" x14ac:dyDescent="0.25">
      <c r="A418" s="52" t="s">
        <v>95</v>
      </c>
      <c r="B418" s="90" t="s">
        <v>6084</v>
      </c>
    </row>
    <row r="419" spans="1:2" x14ac:dyDescent="0.25">
      <c r="A419" s="52" t="s">
        <v>95</v>
      </c>
      <c r="B419" s="90" t="s">
        <v>6085</v>
      </c>
    </row>
    <row r="420" spans="1:2" x14ac:dyDescent="0.25">
      <c r="A420" s="52" t="s">
        <v>95</v>
      </c>
      <c r="B420" s="90" t="s">
        <v>6086</v>
      </c>
    </row>
    <row r="421" spans="1:2" x14ac:dyDescent="0.25">
      <c r="A421" s="52" t="s">
        <v>95</v>
      </c>
      <c r="B421" s="90" t="s">
        <v>6086</v>
      </c>
    </row>
    <row r="422" spans="1:2" x14ac:dyDescent="0.25">
      <c r="A422" s="52" t="s">
        <v>95</v>
      </c>
      <c r="B422" s="90" t="s">
        <v>6087</v>
      </c>
    </row>
    <row r="423" spans="1:2" x14ac:dyDescent="0.25">
      <c r="A423" s="52" t="s">
        <v>95</v>
      </c>
      <c r="B423" s="90" t="s">
        <v>6088</v>
      </c>
    </row>
    <row r="424" spans="1:2" x14ac:dyDescent="0.25">
      <c r="A424" s="52" t="s">
        <v>95</v>
      </c>
      <c r="B424" s="90" t="s">
        <v>6089</v>
      </c>
    </row>
    <row r="425" spans="1:2" x14ac:dyDescent="0.25">
      <c r="A425" s="52" t="s">
        <v>95</v>
      </c>
      <c r="B425" s="90" t="s">
        <v>6090</v>
      </c>
    </row>
    <row r="426" spans="1:2" x14ac:dyDescent="0.25">
      <c r="A426" s="52" t="s">
        <v>95</v>
      </c>
      <c r="B426" s="90" t="s">
        <v>6091</v>
      </c>
    </row>
    <row r="427" spans="1:2" x14ac:dyDescent="0.25">
      <c r="A427" s="52" t="s">
        <v>95</v>
      </c>
      <c r="B427" s="90" t="s">
        <v>6092</v>
      </c>
    </row>
    <row r="428" spans="1:2" x14ac:dyDescent="0.25">
      <c r="A428" s="52" t="s">
        <v>95</v>
      </c>
      <c r="B428" s="90" t="s">
        <v>6093</v>
      </c>
    </row>
    <row r="429" spans="1:2" x14ac:dyDescent="0.25">
      <c r="A429" s="52" t="s">
        <v>95</v>
      </c>
      <c r="B429" s="90" t="s">
        <v>6094</v>
      </c>
    </row>
    <row r="430" spans="1:2" x14ac:dyDescent="0.25">
      <c r="A430" s="52" t="s">
        <v>95</v>
      </c>
      <c r="B430" s="90" t="s">
        <v>6095</v>
      </c>
    </row>
    <row r="431" spans="1:2" x14ac:dyDescent="0.25">
      <c r="A431" s="52" t="s">
        <v>95</v>
      </c>
      <c r="B431" s="90" t="s">
        <v>6096</v>
      </c>
    </row>
    <row r="432" spans="1:2" x14ac:dyDescent="0.25">
      <c r="A432" s="52" t="s">
        <v>95</v>
      </c>
      <c r="B432" s="90" t="s">
        <v>6097</v>
      </c>
    </row>
    <row r="433" spans="1:2" x14ac:dyDescent="0.25">
      <c r="A433" s="52" t="s">
        <v>95</v>
      </c>
      <c r="B433" s="90" t="s">
        <v>6098</v>
      </c>
    </row>
    <row r="434" spans="1:2" x14ac:dyDescent="0.25">
      <c r="A434" s="52" t="s">
        <v>95</v>
      </c>
      <c r="B434" s="90" t="s">
        <v>6099</v>
      </c>
    </row>
    <row r="435" spans="1:2" x14ac:dyDescent="0.25">
      <c r="A435" s="52" t="s">
        <v>95</v>
      </c>
      <c r="B435" s="90" t="s">
        <v>6100</v>
      </c>
    </row>
    <row r="436" spans="1:2" x14ac:dyDescent="0.25">
      <c r="A436" s="52" t="s">
        <v>95</v>
      </c>
      <c r="B436" s="90" t="s">
        <v>6101</v>
      </c>
    </row>
    <row r="437" spans="1:2" x14ac:dyDescent="0.25">
      <c r="A437" s="52" t="s">
        <v>95</v>
      </c>
      <c r="B437" s="90" t="s">
        <v>6102</v>
      </c>
    </row>
    <row r="438" spans="1:2" x14ac:dyDescent="0.25">
      <c r="A438" s="52" t="s">
        <v>95</v>
      </c>
      <c r="B438" s="90" t="s">
        <v>6103</v>
      </c>
    </row>
    <row r="439" spans="1:2" x14ac:dyDescent="0.25">
      <c r="A439" s="52" t="s">
        <v>95</v>
      </c>
      <c r="B439" s="90" t="s">
        <v>6104</v>
      </c>
    </row>
    <row r="440" spans="1:2" x14ac:dyDescent="0.25">
      <c r="A440" s="52" t="s">
        <v>95</v>
      </c>
      <c r="B440" s="90" t="s">
        <v>6105</v>
      </c>
    </row>
    <row r="441" spans="1:2" x14ac:dyDescent="0.25">
      <c r="A441" s="52" t="s">
        <v>95</v>
      </c>
      <c r="B441" s="90" t="s">
        <v>6106</v>
      </c>
    </row>
    <row r="442" spans="1:2" x14ac:dyDescent="0.25">
      <c r="A442" s="52" t="s">
        <v>95</v>
      </c>
      <c r="B442" s="90" t="s">
        <v>6107</v>
      </c>
    </row>
    <row r="443" spans="1:2" x14ac:dyDescent="0.25">
      <c r="A443" s="52" t="s">
        <v>95</v>
      </c>
      <c r="B443" s="90" t="s">
        <v>6108</v>
      </c>
    </row>
    <row r="444" spans="1:2" x14ac:dyDescent="0.25">
      <c r="A444" s="52" t="s">
        <v>95</v>
      </c>
      <c r="B444" s="90" t="s">
        <v>6109</v>
      </c>
    </row>
    <row r="445" spans="1:2" x14ac:dyDescent="0.25">
      <c r="A445" s="52" t="s">
        <v>95</v>
      </c>
      <c r="B445" s="90" t="s">
        <v>6110</v>
      </c>
    </row>
    <row r="446" spans="1:2" x14ac:dyDescent="0.25">
      <c r="A446" s="52" t="s">
        <v>95</v>
      </c>
      <c r="B446" s="90" t="s">
        <v>6111</v>
      </c>
    </row>
    <row r="447" spans="1:2" x14ac:dyDescent="0.25">
      <c r="A447" s="52" t="s">
        <v>95</v>
      </c>
      <c r="B447" s="90" t="s">
        <v>6112</v>
      </c>
    </row>
    <row r="448" spans="1:2" x14ac:dyDescent="0.25">
      <c r="A448" s="52" t="s">
        <v>95</v>
      </c>
      <c r="B448" s="90" t="s">
        <v>6113</v>
      </c>
    </row>
    <row r="449" spans="1:2" x14ac:dyDescent="0.25">
      <c r="A449" s="52" t="s">
        <v>95</v>
      </c>
      <c r="B449" s="90" t="s">
        <v>6114</v>
      </c>
    </row>
    <row r="450" spans="1:2" x14ac:dyDescent="0.25">
      <c r="A450" s="52" t="s">
        <v>95</v>
      </c>
      <c r="B450" s="90" t="s">
        <v>3904</v>
      </c>
    </row>
    <row r="451" spans="1:2" x14ac:dyDescent="0.25">
      <c r="A451" s="52" t="s">
        <v>95</v>
      </c>
      <c r="B451" s="90" t="s">
        <v>6115</v>
      </c>
    </row>
    <row r="452" spans="1:2" x14ac:dyDescent="0.25">
      <c r="A452" s="52" t="s">
        <v>95</v>
      </c>
      <c r="B452" s="90" t="s">
        <v>6116</v>
      </c>
    </row>
    <row r="453" spans="1:2" x14ac:dyDescent="0.25">
      <c r="A453" s="52" t="s">
        <v>95</v>
      </c>
      <c r="B453" s="90" t="s">
        <v>6117</v>
      </c>
    </row>
    <row r="454" spans="1:2" x14ac:dyDescent="0.25">
      <c r="A454" s="52" t="s">
        <v>95</v>
      </c>
      <c r="B454" s="90" t="s">
        <v>6118</v>
      </c>
    </row>
    <row r="455" spans="1:2" x14ac:dyDescent="0.25">
      <c r="A455" s="52" t="s">
        <v>95</v>
      </c>
      <c r="B455" s="90" t="s">
        <v>2105</v>
      </c>
    </row>
    <row r="456" spans="1:2" x14ac:dyDescent="0.25">
      <c r="A456" s="52" t="s">
        <v>95</v>
      </c>
      <c r="B456" s="90" t="s">
        <v>6119</v>
      </c>
    </row>
    <row r="457" spans="1:2" x14ac:dyDescent="0.25">
      <c r="A457" s="52" t="s">
        <v>95</v>
      </c>
      <c r="B457" s="90" t="s">
        <v>6120</v>
      </c>
    </row>
    <row r="458" spans="1:2" x14ac:dyDescent="0.25">
      <c r="A458" s="52" t="s">
        <v>95</v>
      </c>
      <c r="B458" s="90" t="s">
        <v>6121</v>
      </c>
    </row>
    <row r="459" spans="1:2" x14ac:dyDescent="0.25">
      <c r="A459" s="52" t="s">
        <v>95</v>
      </c>
      <c r="B459" s="90" t="s">
        <v>6122</v>
      </c>
    </row>
    <row r="460" spans="1:2" x14ac:dyDescent="0.25">
      <c r="A460" s="52" t="s">
        <v>95</v>
      </c>
      <c r="B460" s="90" t="s">
        <v>6123</v>
      </c>
    </row>
    <row r="461" spans="1:2" x14ac:dyDescent="0.25">
      <c r="A461" s="52" t="s">
        <v>95</v>
      </c>
      <c r="B461" s="90" t="s">
        <v>6124</v>
      </c>
    </row>
    <row r="462" spans="1:2" x14ac:dyDescent="0.25">
      <c r="A462" s="52" t="s">
        <v>95</v>
      </c>
      <c r="B462" s="90" t="s">
        <v>6125</v>
      </c>
    </row>
    <row r="463" spans="1:2" x14ac:dyDescent="0.25">
      <c r="A463" s="52" t="s">
        <v>95</v>
      </c>
      <c r="B463" s="90" t="s">
        <v>6126</v>
      </c>
    </row>
    <row r="464" spans="1:2" x14ac:dyDescent="0.25">
      <c r="A464" s="52" t="s">
        <v>95</v>
      </c>
      <c r="B464" s="90" t="s">
        <v>6127</v>
      </c>
    </row>
    <row r="465" spans="1:2" x14ac:dyDescent="0.25">
      <c r="A465" s="52" t="s">
        <v>95</v>
      </c>
      <c r="B465" s="90" t="s">
        <v>6128</v>
      </c>
    </row>
    <row r="466" spans="1:2" x14ac:dyDescent="0.25">
      <c r="A466" s="52" t="s">
        <v>95</v>
      </c>
      <c r="B466" s="90" t="s">
        <v>6129</v>
      </c>
    </row>
    <row r="467" spans="1:2" x14ac:dyDescent="0.25">
      <c r="A467" s="52" t="s">
        <v>95</v>
      </c>
      <c r="B467" s="90" t="s">
        <v>6130</v>
      </c>
    </row>
    <row r="468" spans="1:2" x14ac:dyDescent="0.25">
      <c r="A468" s="52" t="s">
        <v>95</v>
      </c>
      <c r="B468" s="90" t="s">
        <v>6131</v>
      </c>
    </row>
    <row r="469" spans="1:2" x14ac:dyDescent="0.25">
      <c r="A469" s="52" t="s">
        <v>95</v>
      </c>
      <c r="B469" s="90" t="s">
        <v>6132</v>
      </c>
    </row>
    <row r="470" spans="1:2" x14ac:dyDescent="0.25">
      <c r="A470" s="52" t="s">
        <v>95</v>
      </c>
      <c r="B470" s="90" t="s">
        <v>6133</v>
      </c>
    </row>
    <row r="471" spans="1:2" x14ac:dyDescent="0.25">
      <c r="A471" s="52" t="s">
        <v>95</v>
      </c>
      <c r="B471" s="90" t="s">
        <v>6134</v>
      </c>
    </row>
    <row r="472" spans="1:2" x14ac:dyDescent="0.25">
      <c r="A472" s="52" t="s">
        <v>95</v>
      </c>
      <c r="B472" s="90" t="s">
        <v>6135</v>
      </c>
    </row>
    <row r="473" spans="1:2" x14ac:dyDescent="0.25">
      <c r="A473" s="52" t="s">
        <v>95</v>
      </c>
      <c r="B473" s="90" t="s">
        <v>6136</v>
      </c>
    </row>
    <row r="474" spans="1:2" x14ac:dyDescent="0.25">
      <c r="A474" s="52" t="s">
        <v>95</v>
      </c>
      <c r="B474" s="90" t="s">
        <v>6137</v>
      </c>
    </row>
    <row r="475" spans="1:2" x14ac:dyDescent="0.25">
      <c r="A475" s="52" t="s">
        <v>95</v>
      </c>
      <c r="B475" s="90" t="s">
        <v>6138</v>
      </c>
    </row>
    <row r="476" spans="1:2" x14ac:dyDescent="0.25">
      <c r="A476" s="52" t="s">
        <v>95</v>
      </c>
      <c r="B476" s="90" t="s">
        <v>6139</v>
      </c>
    </row>
    <row r="477" spans="1:2" x14ac:dyDescent="0.25">
      <c r="A477" s="52" t="s">
        <v>95</v>
      </c>
      <c r="B477" s="90" t="s">
        <v>6140</v>
      </c>
    </row>
    <row r="478" spans="1:2" x14ac:dyDescent="0.25">
      <c r="A478" s="52" t="s">
        <v>95</v>
      </c>
      <c r="B478" s="90" t="s">
        <v>6141</v>
      </c>
    </row>
    <row r="479" spans="1:2" x14ac:dyDescent="0.25">
      <c r="A479" s="52" t="s">
        <v>95</v>
      </c>
      <c r="B479" s="90" t="s">
        <v>6142</v>
      </c>
    </row>
    <row r="480" spans="1:2" x14ac:dyDescent="0.25">
      <c r="A480" s="52" t="s">
        <v>95</v>
      </c>
      <c r="B480" s="90" t="s">
        <v>6143</v>
      </c>
    </row>
    <row r="481" spans="1:2" x14ac:dyDescent="0.25">
      <c r="A481" s="52" t="s">
        <v>95</v>
      </c>
      <c r="B481" s="90" t="s">
        <v>6144</v>
      </c>
    </row>
    <row r="482" spans="1:2" x14ac:dyDescent="0.25">
      <c r="A482" s="52" t="s">
        <v>95</v>
      </c>
      <c r="B482" s="90" t="s">
        <v>6145</v>
      </c>
    </row>
    <row r="483" spans="1:2" x14ac:dyDescent="0.25">
      <c r="A483" s="52" t="s">
        <v>95</v>
      </c>
      <c r="B483" s="90" t="s">
        <v>6146</v>
      </c>
    </row>
    <row r="484" spans="1:2" x14ac:dyDescent="0.25">
      <c r="A484" s="52" t="s">
        <v>95</v>
      </c>
      <c r="B484" s="90" t="s">
        <v>6147</v>
      </c>
    </row>
    <row r="485" spans="1:2" x14ac:dyDescent="0.25">
      <c r="A485" s="52" t="s">
        <v>95</v>
      </c>
      <c r="B485" s="90" t="s">
        <v>6147</v>
      </c>
    </row>
    <row r="486" spans="1:2" x14ac:dyDescent="0.25">
      <c r="A486" s="52" t="s">
        <v>95</v>
      </c>
      <c r="B486" s="90" t="s">
        <v>6148</v>
      </c>
    </row>
    <row r="487" spans="1:2" x14ac:dyDescent="0.25">
      <c r="A487" s="52" t="s">
        <v>95</v>
      </c>
      <c r="B487" s="90" t="s">
        <v>5703</v>
      </c>
    </row>
    <row r="488" spans="1:2" x14ac:dyDescent="0.25">
      <c r="A488" s="52" t="s">
        <v>95</v>
      </c>
      <c r="B488" s="90" t="s">
        <v>6149</v>
      </c>
    </row>
    <row r="489" spans="1:2" x14ac:dyDescent="0.25">
      <c r="A489" s="52" t="s">
        <v>95</v>
      </c>
      <c r="B489" s="90" t="s">
        <v>6150</v>
      </c>
    </row>
    <row r="490" spans="1:2" x14ac:dyDescent="0.25">
      <c r="A490" s="52" t="s">
        <v>95</v>
      </c>
      <c r="B490" s="90" t="s">
        <v>6151</v>
      </c>
    </row>
    <row r="491" spans="1:2" x14ac:dyDescent="0.25">
      <c r="A491" s="52" t="s">
        <v>95</v>
      </c>
      <c r="B491" s="90" t="s">
        <v>6152</v>
      </c>
    </row>
    <row r="492" spans="1:2" x14ac:dyDescent="0.25">
      <c r="A492" s="52" t="s">
        <v>95</v>
      </c>
      <c r="B492" s="90" t="s">
        <v>6153</v>
      </c>
    </row>
    <row r="493" spans="1:2" x14ac:dyDescent="0.25">
      <c r="A493" s="52" t="s">
        <v>95</v>
      </c>
      <c r="B493" s="90" t="s">
        <v>6154</v>
      </c>
    </row>
    <row r="494" spans="1:2" x14ac:dyDescent="0.25">
      <c r="A494" s="52" t="s">
        <v>95</v>
      </c>
      <c r="B494" s="90" t="s">
        <v>6155</v>
      </c>
    </row>
    <row r="495" spans="1:2" x14ac:dyDescent="0.25">
      <c r="A495" s="52" t="s">
        <v>95</v>
      </c>
      <c r="B495" s="90" t="s">
        <v>6156</v>
      </c>
    </row>
    <row r="496" spans="1:2" x14ac:dyDescent="0.25">
      <c r="A496" s="52" t="s">
        <v>95</v>
      </c>
      <c r="B496" s="90" t="s">
        <v>6157</v>
      </c>
    </row>
    <row r="497" spans="1:2" x14ac:dyDescent="0.25">
      <c r="A497" s="52" t="s">
        <v>95</v>
      </c>
      <c r="B497" s="90" t="s">
        <v>6158</v>
      </c>
    </row>
    <row r="498" spans="1:2" x14ac:dyDescent="0.25">
      <c r="A498" s="52" t="s">
        <v>95</v>
      </c>
      <c r="B498" s="90" t="s">
        <v>6159</v>
      </c>
    </row>
    <row r="499" spans="1:2" x14ac:dyDescent="0.25">
      <c r="A499" s="52" t="s">
        <v>95</v>
      </c>
      <c r="B499" s="90" t="s">
        <v>6160</v>
      </c>
    </row>
    <row r="500" spans="1:2" x14ac:dyDescent="0.25">
      <c r="A500" s="52" t="s">
        <v>95</v>
      </c>
      <c r="B500" s="90" t="s">
        <v>6161</v>
      </c>
    </row>
    <row r="501" spans="1:2" x14ac:dyDescent="0.25">
      <c r="A501" s="52" t="s">
        <v>95</v>
      </c>
      <c r="B501" s="90" t="s">
        <v>6162</v>
      </c>
    </row>
    <row r="502" spans="1:2" x14ac:dyDescent="0.25">
      <c r="A502" s="52" t="s">
        <v>95</v>
      </c>
      <c r="B502" s="90" t="s">
        <v>6163</v>
      </c>
    </row>
    <row r="503" spans="1:2" x14ac:dyDescent="0.25">
      <c r="A503" s="52" t="s">
        <v>95</v>
      </c>
      <c r="B503" s="90" t="s">
        <v>6164</v>
      </c>
    </row>
    <row r="504" spans="1:2" x14ac:dyDescent="0.25">
      <c r="A504" s="52" t="s">
        <v>95</v>
      </c>
      <c r="B504" s="90" t="s">
        <v>6165</v>
      </c>
    </row>
    <row r="505" spans="1:2" x14ac:dyDescent="0.25">
      <c r="A505" s="52" t="s">
        <v>95</v>
      </c>
      <c r="B505" s="90" t="s">
        <v>6165</v>
      </c>
    </row>
    <row r="506" spans="1:2" x14ac:dyDescent="0.25">
      <c r="A506" s="52" t="s">
        <v>95</v>
      </c>
      <c r="B506" s="90" t="s">
        <v>6166</v>
      </c>
    </row>
    <row r="507" spans="1:2" x14ac:dyDescent="0.25">
      <c r="A507" s="52" t="s">
        <v>95</v>
      </c>
      <c r="B507" s="90" t="s">
        <v>6167</v>
      </c>
    </row>
    <row r="508" spans="1:2" x14ac:dyDescent="0.25">
      <c r="A508" s="52" t="s">
        <v>95</v>
      </c>
      <c r="B508" s="90" t="s">
        <v>6168</v>
      </c>
    </row>
    <row r="509" spans="1:2" x14ac:dyDescent="0.25">
      <c r="A509" s="52" t="s">
        <v>95</v>
      </c>
      <c r="B509" s="90" t="s">
        <v>6169</v>
      </c>
    </row>
    <row r="510" spans="1:2" x14ac:dyDescent="0.25">
      <c r="A510" s="52" t="s">
        <v>95</v>
      </c>
      <c r="B510" s="90" t="s">
        <v>6170</v>
      </c>
    </row>
    <row r="511" spans="1:2" x14ac:dyDescent="0.25">
      <c r="A511" s="52" t="s">
        <v>95</v>
      </c>
      <c r="B511" s="90" t="s">
        <v>6171</v>
      </c>
    </row>
    <row r="512" spans="1:2" x14ac:dyDescent="0.25">
      <c r="A512" s="52" t="s">
        <v>95</v>
      </c>
      <c r="B512" s="90" t="s">
        <v>6172</v>
      </c>
    </row>
    <row r="513" spans="1:2" x14ac:dyDescent="0.25">
      <c r="A513" s="52" t="s">
        <v>95</v>
      </c>
      <c r="B513" s="90" t="s">
        <v>6172</v>
      </c>
    </row>
    <row r="514" spans="1:2" x14ac:dyDescent="0.25">
      <c r="A514" s="52" t="s">
        <v>95</v>
      </c>
      <c r="B514" s="90" t="s">
        <v>6173</v>
      </c>
    </row>
    <row r="515" spans="1:2" x14ac:dyDescent="0.25">
      <c r="A515" s="52" t="s">
        <v>95</v>
      </c>
      <c r="B515" s="90" t="s">
        <v>6174</v>
      </c>
    </row>
    <row r="516" spans="1:2" x14ac:dyDescent="0.25">
      <c r="A516" s="52" t="s">
        <v>95</v>
      </c>
      <c r="B516" s="90" t="s">
        <v>6175</v>
      </c>
    </row>
    <row r="517" spans="1:2" x14ac:dyDescent="0.25">
      <c r="A517" s="52" t="s">
        <v>95</v>
      </c>
      <c r="B517" s="90" t="s">
        <v>6175</v>
      </c>
    </row>
    <row r="518" spans="1:2" x14ac:dyDescent="0.25">
      <c r="A518" s="52" t="s">
        <v>95</v>
      </c>
      <c r="B518" s="90" t="s">
        <v>6176</v>
      </c>
    </row>
    <row r="519" spans="1:2" x14ac:dyDescent="0.25">
      <c r="A519" s="52" t="s">
        <v>95</v>
      </c>
      <c r="B519" s="90" t="s">
        <v>6177</v>
      </c>
    </row>
    <row r="520" spans="1:2" x14ac:dyDescent="0.25">
      <c r="A520" s="52" t="s">
        <v>95</v>
      </c>
      <c r="B520" s="90" t="s">
        <v>6178</v>
      </c>
    </row>
    <row r="521" spans="1:2" x14ac:dyDescent="0.25">
      <c r="A521" s="52" t="s">
        <v>95</v>
      </c>
      <c r="B521" s="90" t="s">
        <v>6179</v>
      </c>
    </row>
    <row r="522" spans="1:2" x14ac:dyDescent="0.25">
      <c r="A522" s="52" t="s">
        <v>95</v>
      </c>
      <c r="B522" s="90" t="s">
        <v>6180</v>
      </c>
    </row>
    <row r="523" spans="1:2" x14ac:dyDescent="0.25">
      <c r="A523" s="52" t="s">
        <v>95</v>
      </c>
      <c r="B523" s="90" t="s">
        <v>6181</v>
      </c>
    </row>
    <row r="524" spans="1:2" x14ac:dyDescent="0.25">
      <c r="A524" s="52" t="s">
        <v>95</v>
      </c>
      <c r="B524" s="90" t="s">
        <v>6182</v>
      </c>
    </row>
    <row r="525" spans="1:2" x14ac:dyDescent="0.25">
      <c r="A525" s="52" t="s">
        <v>95</v>
      </c>
      <c r="B525" s="90" t="s">
        <v>6183</v>
      </c>
    </row>
    <row r="526" spans="1:2" x14ac:dyDescent="0.25">
      <c r="A526" s="52" t="s">
        <v>95</v>
      </c>
      <c r="B526" s="90" t="s">
        <v>6184</v>
      </c>
    </row>
    <row r="527" spans="1:2" x14ac:dyDescent="0.25">
      <c r="A527" s="52" t="s">
        <v>95</v>
      </c>
      <c r="B527" s="90" t="s">
        <v>6185</v>
      </c>
    </row>
    <row r="528" spans="1:2" x14ac:dyDescent="0.25">
      <c r="A528" s="52" t="s">
        <v>95</v>
      </c>
      <c r="B528" s="90" t="s">
        <v>6186</v>
      </c>
    </row>
    <row r="529" spans="1:2" x14ac:dyDescent="0.25">
      <c r="A529" s="52" t="s">
        <v>95</v>
      </c>
      <c r="B529" s="90" t="s">
        <v>6187</v>
      </c>
    </row>
    <row r="530" spans="1:2" x14ac:dyDescent="0.25">
      <c r="A530" s="52" t="s">
        <v>95</v>
      </c>
      <c r="B530" s="90" t="s">
        <v>6188</v>
      </c>
    </row>
    <row r="531" spans="1:2" x14ac:dyDescent="0.25">
      <c r="A531" s="52" t="s">
        <v>95</v>
      </c>
      <c r="B531" s="90" t="s">
        <v>6189</v>
      </c>
    </row>
    <row r="532" spans="1:2" x14ac:dyDescent="0.25">
      <c r="A532" s="52" t="s">
        <v>95</v>
      </c>
      <c r="B532" s="90" t="s">
        <v>6190</v>
      </c>
    </row>
    <row r="533" spans="1:2" x14ac:dyDescent="0.25">
      <c r="A533" s="52" t="s">
        <v>95</v>
      </c>
      <c r="B533" s="90" t="s">
        <v>6191</v>
      </c>
    </row>
    <row r="534" spans="1:2" x14ac:dyDescent="0.25">
      <c r="A534" s="52" t="s">
        <v>95</v>
      </c>
      <c r="B534" s="90" t="s">
        <v>6192</v>
      </c>
    </row>
    <row r="535" spans="1:2" x14ac:dyDescent="0.25">
      <c r="A535" s="52" t="s">
        <v>95</v>
      </c>
      <c r="B535" s="90" t="s">
        <v>6193</v>
      </c>
    </row>
    <row r="536" spans="1:2" x14ac:dyDescent="0.25">
      <c r="A536" s="52" t="s">
        <v>95</v>
      </c>
      <c r="B536" s="90" t="s">
        <v>6194</v>
      </c>
    </row>
    <row r="537" spans="1:2" x14ac:dyDescent="0.25">
      <c r="A537" s="52" t="s">
        <v>95</v>
      </c>
      <c r="B537" s="90" t="s">
        <v>6195</v>
      </c>
    </row>
    <row r="538" spans="1:2" x14ac:dyDescent="0.25">
      <c r="A538" s="52" t="s">
        <v>95</v>
      </c>
      <c r="B538" s="90" t="s">
        <v>6196</v>
      </c>
    </row>
    <row r="539" spans="1:2" x14ac:dyDescent="0.25">
      <c r="A539" s="52" t="s">
        <v>95</v>
      </c>
      <c r="B539" s="90" t="s">
        <v>6197</v>
      </c>
    </row>
    <row r="540" spans="1:2" x14ac:dyDescent="0.25">
      <c r="A540" s="52" t="s">
        <v>95</v>
      </c>
      <c r="B540" s="90" t="s">
        <v>6198</v>
      </c>
    </row>
    <row r="541" spans="1:2" x14ac:dyDescent="0.25">
      <c r="A541" s="52" t="s">
        <v>95</v>
      </c>
      <c r="B541" s="90" t="s">
        <v>6199</v>
      </c>
    </row>
    <row r="542" spans="1:2" x14ac:dyDescent="0.25">
      <c r="A542" s="52" t="s">
        <v>95</v>
      </c>
      <c r="B542" s="90" t="s">
        <v>6200</v>
      </c>
    </row>
    <row r="543" spans="1:2" x14ac:dyDescent="0.25">
      <c r="A543" s="52" t="s">
        <v>95</v>
      </c>
      <c r="B543" s="90" t="s">
        <v>6201</v>
      </c>
    </row>
    <row r="544" spans="1:2" x14ac:dyDescent="0.25">
      <c r="A544" s="52" t="s">
        <v>95</v>
      </c>
      <c r="B544" s="90" t="s">
        <v>6202</v>
      </c>
    </row>
    <row r="545" spans="1:2" x14ac:dyDescent="0.25">
      <c r="A545" s="52" t="s">
        <v>95</v>
      </c>
      <c r="B545" s="90" t="s">
        <v>6203</v>
      </c>
    </row>
    <row r="546" spans="1:2" x14ac:dyDescent="0.25">
      <c r="A546" s="52" t="s">
        <v>95</v>
      </c>
      <c r="B546" s="90" t="s">
        <v>6204</v>
      </c>
    </row>
    <row r="547" spans="1:2" x14ac:dyDescent="0.25">
      <c r="A547" s="52" t="s">
        <v>95</v>
      </c>
      <c r="B547" s="90" t="s">
        <v>6205</v>
      </c>
    </row>
    <row r="548" spans="1:2" x14ac:dyDescent="0.25">
      <c r="A548" s="52" t="s">
        <v>95</v>
      </c>
      <c r="B548" s="90" t="s">
        <v>6206</v>
      </c>
    </row>
    <row r="549" spans="1:2" x14ac:dyDescent="0.25">
      <c r="A549" s="52" t="s">
        <v>95</v>
      </c>
      <c r="B549" s="90" t="s">
        <v>6207</v>
      </c>
    </row>
    <row r="550" spans="1:2" x14ac:dyDescent="0.25">
      <c r="A550" s="52" t="s">
        <v>95</v>
      </c>
      <c r="B550" s="90" t="s">
        <v>6208</v>
      </c>
    </row>
    <row r="551" spans="1:2" x14ac:dyDescent="0.25">
      <c r="A551" s="52" t="s">
        <v>95</v>
      </c>
      <c r="B551" s="90" t="s">
        <v>6209</v>
      </c>
    </row>
    <row r="552" spans="1:2" x14ac:dyDescent="0.25">
      <c r="A552" s="52" t="s">
        <v>95</v>
      </c>
      <c r="B552" s="90" t="s">
        <v>6210</v>
      </c>
    </row>
    <row r="553" spans="1:2" x14ac:dyDescent="0.25">
      <c r="A553" s="52" t="s">
        <v>95</v>
      </c>
      <c r="B553" s="90" t="s">
        <v>6211</v>
      </c>
    </row>
    <row r="554" spans="1:2" x14ac:dyDescent="0.25">
      <c r="A554" s="52" t="s">
        <v>95</v>
      </c>
      <c r="B554" s="90" t="s">
        <v>6212</v>
      </c>
    </row>
    <row r="555" spans="1:2" x14ac:dyDescent="0.25">
      <c r="A555" s="52" t="s">
        <v>95</v>
      </c>
      <c r="B555" s="90" t="s">
        <v>6213</v>
      </c>
    </row>
    <row r="556" spans="1:2" x14ac:dyDescent="0.25">
      <c r="A556" s="52" t="s">
        <v>95</v>
      </c>
      <c r="B556" s="90" t="s">
        <v>6214</v>
      </c>
    </row>
    <row r="557" spans="1:2" x14ac:dyDescent="0.25">
      <c r="A557" s="52" t="s">
        <v>95</v>
      </c>
      <c r="B557" s="90" t="s">
        <v>6215</v>
      </c>
    </row>
    <row r="558" spans="1:2" x14ac:dyDescent="0.25">
      <c r="A558" s="52" t="s">
        <v>95</v>
      </c>
      <c r="B558" s="90" t="s">
        <v>6216</v>
      </c>
    </row>
    <row r="559" spans="1:2" x14ac:dyDescent="0.25">
      <c r="A559" s="52" t="s">
        <v>95</v>
      </c>
      <c r="B559" s="90" t="s">
        <v>6217</v>
      </c>
    </row>
    <row r="560" spans="1:2" x14ac:dyDescent="0.25">
      <c r="A560" s="52" t="s">
        <v>95</v>
      </c>
      <c r="B560" s="90" t="s">
        <v>6218</v>
      </c>
    </row>
    <row r="561" spans="1:2" x14ac:dyDescent="0.25">
      <c r="A561" s="52" t="s">
        <v>95</v>
      </c>
      <c r="B561" s="90" t="s">
        <v>6219</v>
      </c>
    </row>
    <row r="562" spans="1:2" x14ac:dyDescent="0.25">
      <c r="A562" s="52" t="s">
        <v>95</v>
      </c>
      <c r="B562" s="90" t="s">
        <v>6220</v>
      </c>
    </row>
    <row r="563" spans="1:2" x14ac:dyDescent="0.25">
      <c r="A563" s="52" t="s">
        <v>95</v>
      </c>
      <c r="B563" s="90" t="s">
        <v>6221</v>
      </c>
    </row>
    <row r="564" spans="1:2" x14ac:dyDescent="0.25">
      <c r="A564" s="52" t="s">
        <v>95</v>
      </c>
      <c r="B564" s="90" t="s">
        <v>6222</v>
      </c>
    </row>
    <row r="565" spans="1:2" x14ac:dyDescent="0.25">
      <c r="A565" s="52" t="s">
        <v>95</v>
      </c>
      <c r="B565" s="90" t="s">
        <v>6223</v>
      </c>
    </row>
    <row r="566" spans="1:2" x14ac:dyDescent="0.25">
      <c r="A566" s="52" t="s">
        <v>95</v>
      </c>
      <c r="B566" s="90" t="s">
        <v>6224</v>
      </c>
    </row>
    <row r="567" spans="1:2" x14ac:dyDescent="0.25">
      <c r="A567" s="52" t="s">
        <v>95</v>
      </c>
      <c r="B567" s="90" t="s">
        <v>6225</v>
      </c>
    </row>
    <row r="568" spans="1:2" x14ac:dyDescent="0.25">
      <c r="A568" s="52" t="s">
        <v>95</v>
      </c>
      <c r="B568" s="90" t="s">
        <v>5770</v>
      </c>
    </row>
    <row r="569" spans="1:2" x14ac:dyDescent="0.25">
      <c r="A569" s="52" t="s">
        <v>95</v>
      </c>
      <c r="B569" s="90" t="s">
        <v>6226</v>
      </c>
    </row>
    <row r="570" spans="1:2" x14ac:dyDescent="0.25">
      <c r="A570" s="52" t="s">
        <v>95</v>
      </c>
      <c r="B570" s="90" t="s">
        <v>6227</v>
      </c>
    </row>
    <row r="571" spans="1:2" x14ac:dyDescent="0.25">
      <c r="A571" s="52" t="s">
        <v>95</v>
      </c>
      <c r="B571" s="90" t="s">
        <v>6228</v>
      </c>
    </row>
    <row r="572" spans="1:2" x14ac:dyDescent="0.25">
      <c r="A572" s="52" t="s">
        <v>95</v>
      </c>
      <c r="B572" s="90" t="s">
        <v>6229</v>
      </c>
    </row>
    <row r="573" spans="1:2" x14ac:dyDescent="0.25">
      <c r="A573" s="52" t="s">
        <v>95</v>
      </c>
      <c r="B573" s="90" t="s">
        <v>6230</v>
      </c>
    </row>
    <row r="574" spans="1:2" x14ac:dyDescent="0.25">
      <c r="A574" s="52" t="s">
        <v>95</v>
      </c>
      <c r="B574" s="90" t="s">
        <v>6231</v>
      </c>
    </row>
    <row r="575" spans="1:2" x14ac:dyDescent="0.25">
      <c r="A575" s="52" t="s">
        <v>95</v>
      </c>
      <c r="B575" s="90" t="s">
        <v>6232</v>
      </c>
    </row>
    <row r="576" spans="1:2" x14ac:dyDescent="0.25">
      <c r="A576" s="52" t="s">
        <v>95</v>
      </c>
      <c r="B576" s="90" t="s">
        <v>6233</v>
      </c>
    </row>
    <row r="577" spans="1:2" x14ac:dyDescent="0.25">
      <c r="A577" s="52" t="s">
        <v>95</v>
      </c>
      <c r="B577" s="90" t="s">
        <v>6234</v>
      </c>
    </row>
    <row r="578" spans="1:2" x14ac:dyDescent="0.25">
      <c r="A578" s="52" t="s">
        <v>95</v>
      </c>
      <c r="B578" s="90" t="s">
        <v>6235</v>
      </c>
    </row>
    <row r="579" spans="1:2" x14ac:dyDescent="0.25">
      <c r="A579" s="52" t="s">
        <v>95</v>
      </c>
      <c r="B579" s="90" t="s">
        <v>6236</v>
      </c>
    </row>
    <row r="580" spans="1:2" x14ac:dyDescent="0.25">
      <c r="A580" s="52" t="s">
        <v>95</v>
      </c>
      <c r="B580" s="90" t="s">
        <v>6237</v>
      </c>
    </row>
    <row r="581" spans="1:2" x14ac:dyDescent="0.25">
      <c r="A581" s="52" t="s">
        <v>95</v>
      </c>
      <c r="B581" s="90" t="s">
        <v>6238</v>
      </c>
    </row>
    <row r="582" spans="1:2" x14ac:dyDescent="0.25">
      <c r="A582" s="52" t="s">
        <v>95</v>
      </c>
      <c r="B582" s="90" t="s">
        <v>6239</v>
      </c>
    </row>
    <row r="583" spans="1:2" x14ac:dyDescent="0.25">
      <c r="A583" s="52" t="s">
        <v>95</v>
      </c>
      <c r="B583" s="90" t="s">
        <v>6240</v>
      </c>
    </row>
    <row r="584" spans="1:2" x14ac:dyDescent="0.25">
      <c r="A584" s="52" t="s">
        <v>95</v>
      </c>
      <c r="B584" s="90" t="s">
        <v>6241</v>
      </c>
    </row>
    <row r="585" spans="1:2" x14ac:dyDescent="0.25">
      <c r="A585" s="52" t="s">
        <v>95</v>
      </c>
      <c r="B585" s="90" t="s">
        <v>6242</v>
      </c>
    </row>
    <row r="586" spans="1:2" x14ac:dyDescent="0.25">
      <c r="A586" s="52" t="s">
        <v>95</v>
      </c>
      <c r="B586" s="90" t="s">
        <v>6243</v>
      </c>
    </row>
    <row r="587" spans="1:2" x14ac:dyDescent="0.25">
      <c r="A587" s="52" t="s">
        <v>95</v>
      </c>
      <c r="B587" s="90" t="s">
        <v>6244</v>
      </c>
    </row>
    <row r="588" spans="1:2" x14ac:dyDescent="0.25">
      <c r="A588" s="52" t="s">
        <v>95</v>
      </c>
      <c r="B588" s="90" t="s">
        <v>6245</v>
      </c>
    </row>
    <row r="589" spans="1:2" x14ac:dyDescent="0.25">
      <c r="A589" s="52" t="s">
        <v>95</v>
      </c>
      <c r="B589" s="90" t="s">
        <v>6246</v>
      </c>
    </row>
    <row r="590" spans="1:2" x14ac:dyDescent="0.25">
      <c r="A590" s="52" t="s">
        <v>95</v>
      </c>
      <c r="B590" s="90" t="s">
        <v>6247</v>
      </c>
    </row>
    <row r="591" spans="1:2" x14ac:dyDescent="0.25">
      <c r="A591" s="52" t="s">
        <v>95</v>
      </c>
      <c r="B591" s="90" t="s">
        <v>6248</v>
      </c>
    </row>
    <row r="592" spans="1:2" x14ac:dyDescent="0.25">
      <c r="A592" s="52" t="s">
        <v>95</v>
      </c>
      <c r="B592" s="90" t="s">
        <v>6249</v>
      </c>
    </row>
    <row r="593" spans="1:2" x14ac:dyDescent="0.25">
      <c r="A593" s="52" t="s">
        <v>95</v>
      </c>
      <c r="B593" s="90" t="s">
        <v>6250</v>
      </c>
    </row>
    <row r="594" spans="1:2" x14ac:dyDescent="0.25">
      <c r="A594" s="52" t="s">
        <v>95</v>
      </c>
      <c r="B594" s="90" t="s">
        <v>6251</v>
      </c>
    </row>
    <row r="595" spans="1:2" x14ac:dyDescent="0.25">
      <c r="A595" s="52" t="s">
        <v>95</v>
      </c>
      <c r="B595" s="90" t="s">
        <v>6252</v>
      </c>
    </row>
    <row r="596" spans="1:2" x14ac:dyDescent="0.25">
      <c r="A596" s="52" t="s">
        <v>95</v>
      </c>
      <c r="B596" s="90" t="s">
        <v>6253</v>
      </c>
    </row>
    <row r="597" spans="1:2" x14ac:dyDescent="0.25">
      <c r="A597" s="52" t="s">
        <v>95</v>
      </c>
      <c r="B597" s="90" t="s">
        <v>6254</v>
      </c>
    </row>
    <row r="598" spans="1:2" x14ac:dyDescent="0.25">
      <c r="A598" s="52" t="s">
        <v>95</v>
      </c>
      <c r="B598" s="90" t="s">
        <v>6255</v>
      </c>
    </row>
    <row r="599" spans="1:2" x14ac:dyDescent="0.25">
      <c r="A599" s="52" t="s">
        <v>95</v>
      </c>
      <c r="B599" s="90" t="s">
        <v>6256</v>
      </c>
    </row>
    <row r="600" spans="1:2" x14ac:dyDescent="0.25">
      <c r="A600" s="52" t="s">
        <v>95</v>
      </c>
      <c r="B600" s="90" t="s">
        <v>6257</v>
      </c>
    </row>
    <row r="601" spans="1:2" x14ac:dyDescent="0.25">
      <c r="A601" s="52" t="s">
        <v>95</v>
      </c>
      <c r="B601" s="90" t="s">
        <v>6258</v>
      </c>
    </row>
    <row r="602" spans="1:2" x14ac:dyDescent="0.25">
      <c r="A602" s="52" t="s">
        <v>95</v>
      </c>
      <c r="B602" s="90" t="s">
        <v>6259</v>
      </c>
    </row>
    <row r="603" spans="1:2" x14ac:dyDescent="0.25">
      <c r="A603" s="52" t="s">
        <v>95</v>
      </c>
      <c r="B603" s="90" t="s">
        <v>6260</v>
      </c>
    </row>
    <row r="604" spans="1:2" x14ac:dyDescent="0.25">
      <c r="A604" s="52" t="s">
        <v>95</v>
      </c>
      <c r="B604" s="90" t="s">
        <v>6261</v>
      </c>
    </row>
    <row r="605" spans="1:2" x14ac:dyDescent="0.25">
      <c r="A605" s="52" t="s">
        <v>95</v>
      </c>
      <c r="B605" s="90" t="s">
        <v>6262</v>
      </c>
    </row>
    <row r="606" spans="1:2" x14ac:dyDescent="0.25">
      <c r="A606" s="52" t="s">
        <v>95</v>
      </c>
      <c r="B606" s="90" t="s">
        <v>6263</v>
      </c>
    </row>
    <row r="607" spans="1:2" x14ac:dyDescent="0.25">
      <c r="A607" s="52" t="s">
        <v>95</v>
      </c>
      <c r="B607" s="90" t="s">
        <v>6264</v>
      </c>
    </row>
    <row r="608" spans="1:2" x14ac:dyDescent="0.25">
      <c r="A608" s="52" t="s">
        <v>95</v>
      </c>
      <c r="B608" s="90" t="s">
        <v>6264</v>
      </c>
    </row>
    <row r="609" spans="1:2" x14ac:dyDescent="0.25">
      <c r="A609" s="52" t="s">
        <v>95</v>
      </c>
      <c r="B609" s="90" t="s">
        <v>6265</v>
      </c>
    </row>
    <row r="610" spans="1:2" x14ac:dyDescent="0.25">
      <c r="A610" s="52" t="s">
        <v>95</v>
      </c>
      <c r="B610" s="90" t="s">
        <v>6266</v>
      </c>
    </row>
    <row r="611" spans="1:2" x14ac:dyDescent="0.25">
      <c r="A611" s="52" t="s">
        <v>95</v>
      </c>
      <c r="B611" s="90" t="s">
        <v>6267</v>
      </c>
    </row>
    <row r="612" spans="1:2" x14ac:dyDescent="0.25">
      <c r="A612" s="52" t="s">
        <v>95</v>
      </c>
      <c r="B612" s="90" t="s">
        <v>6268</v>
      </c>
    </row>
    <row r="613" spans="1:2" x14ac:dyDescent="0.25">
      <c r="A613" s="52" t="s">
        <v>95</v>
      </c>
      <c r="B613" s="90" t="s">
        <v>6269</v>
      </c>
    </row>
    <row r="614" spans="1:2" x14ac:dyDescent="0.25">
      <c r="A614" s="52" t="s">
        <v>95</v>
      </c>
      <c r="B614" s="90" t="s">
        <v>6270</v>
      </c>
    </row>
    <row r="615" spans="1:2" x14ac:dyDescent="0.25">
      <c r="A615" s="52" t="s">
        <v>95</v>
      </c>
      <c r="B615" s="90" t="s">
        <v>6271</v>
      </c>
    </row>
    <row r="616" spans="1:2" x14ac:dyDescent="0.25">
      <c r="A616" s="52" t="s">
        <v>95</v>
      </c>
      <c r="B616" s="90" t="s">
        <v>6272</v>
      </c>
    </row>
    <row r="617" spans="1:2" x14ac:dyDescent="0.25">
      <c r="A617" s="52" t="s">
        <v>95</v>
      </c>
      <c r="B617" s="90" t="s">
        <v>6273</v>
      </c>
    </row>
    <row r="618" spans="1:2" x14ac:dyDescent="0.25">
      <c r="A618" s="52" t="s">
        <v>95</v>
      </c>
      <c r="B618" s="90" t="s">
        <v>6274</v>
      </c>
    </row>
    <row r="619" spans="1:2" x14ac:dyDescent="0.25">
      <c r="A619" s="52" t="s">
        <v>95</v>
      </c>
      <c r="B619" s="90" t="s">
        <v>6275</v>
      </c>
    </row>
    <row r="620" spans="1:2" x14ac:dyDescent="0.25">
      <c r="A620" s="52" t="s">
        <v>95</v>
      </c>
      <c r="B620" s="90" t="s">
        <v>6276</v>
      </c>
    </row>
    <row r="621" spans="1:2" x14ac:dyDescent="0.25">
      <c r="A621" s="52" t="s">
        <v>95</v>
      </c>
      <c r="B621" s="90" t="s">
        <v>6277</v>
      </c>
    </row>
    <row r="622" spans="1:2" x14ac:dyDescent="0.25">
      <c r="A622" s="52" t="s">
        <v>95</v>
      </c>
      <c r="B622" s="90" t="s">
        <v>6278</v>
      </c>
    </row>
    <row r="623" spans="1:2" x14ac:dyDescent="0.25">
      <c r="A623" s="52" t="s">
        <v>95</v>
      </c>
      <c r="B623" s="90" t="s">
        <v>6279</v>
      </c>
    </row>
    <row r="624" spans="1:2" x14ac:dyDescent="0.25">
      <c r="A624" s="52" t="s">
        <v>95</v>
      </c>
      <c r="B624" s="90" t="s">
        <v>6280</v>
      </c>
    </row>
    <row r="625" spans="1:2" x14ac:dyDescent="0.25">
      <c r="A625" s="52" t="s">
        <v>95</v>
      </c>
      <c r="B625" s="90" t="s">
        <v>6281</v>
      </c>
    </row>
    <row r="626" spans="1:2" x14ac:dyDescent="0.25">
      <c r="A626" s="52" t="s">
        <v>95</v>
      </c>
      <c r="B626" s="90" t="s">
        <v>5771</v>
      </c>
    </row>
    <row r="627" spans="1:2" x14ac:dyDescent="0.25">
      <c r="A627" s="52" t="s">
        <v>95</v>
      </c>
      <c r="B627" s="90" t="s">
        <v>6282</v>
      </c>
    </row>
    <row r="628" spans="1:2" x14ac:dyDescent="0.25">
      <c r="A628" s="52" t="s">
        <v>95</v>
      </c>
      <c r="B628" s="90" t="s">
        <v>6283</v>
      </c>
    </row>
    <row r="629" spans="1:2" x14ac:dyDescent="0.25">
      <c r="A629" s="52" t="s">
        <v>95</v>
      </c>
      <c r="B629" s="90" t="s">
        <v>6284</v>
      </c>
    </row>
    <row r="630" spans="1:2" x14ac:dyDescent="0.25">
      <c r="A630" s="52" t="s">
        <v>95</v>
      </c>
      <c r="B630" s="90" t="s">
        <v>6285</v>
      </c>
    </row>
    <row r="631" spans="1:2" x14ac:dyDescent="0.25">
      <c r="A631" s="52" t="s">
        <v>95</v>
      </c>
      <c r="B631" s="90" t="s">
        <v>6286</v>
      </c>
    </row>
    <row r="632" spans="1:2" x14ac:dyDescent="0.25">
      <c r="A632" s="52" t="s">
        <v>95</v>
      </c>
      <c r="B632" s="90" t="s">
        <v>6287</v>
      </c>
    </row>
    <row r="633" spans="1:2" x14ac:dyDescent="0.25">
      <c r="A633" s="52" t="s">
        <v>95</v>
      </c>
      <c r="B633" s="90" t="s">
        <v>6288</v>
      </c>
    </row>
    <row r="634" spans="1:2" x14ac:dyDescent="0.25">
      <c r="A634" s="52" t="s">
        <v>95</v>
      </c>
      <c r="B634" s="90" t="s">
        <v>6289</v>
      </c>
    </row>
    <row r="635" spans="1:2" x14ac:dyDescent="0.25">
      <c r="A635" s="52" t="s">
        <v>95</v>
      </c>
      <c r="B635" s="90" t="s">
        <v>6290</v>
      </c>
    </row>
    <row r="636" spans="1:2" x14ac:dyDescent="0.25">
      <c r="A636" s="52" t="s">
        <v>95</v>
      </c>
      <c r="B636" s="90" t="s">
        <v>6291</v>
      </c>
    </row>
    <row r="637" spans="1:2" x14ac:dyDescent="0.25">
      <c r="A637" s="52" t="s">
        <v>95</v>
      </c>
      <c r="B637" s="90" t="s">
        <v>6292</v>
      </c>
    </row>
    <row r="638" spans="1:2" x14ac:dyDescent="0.25">
      <c r="A638" s="52" t="s">
        <v>95</v>
      </c>
      <c r="B638" s="90" t="s">
        <v>6293</v>
      </c>
    </row>
    <row r="639" spans="1:2" x14ac:dyDescent="0.25">
      <c r="A639" s="52" t="s">
        <v>95</v>
      </c>
      <c r="B639" s="90" t="s">
        <v>6294</v>
      </c>
    </row>
    <row r="640" spans="1:2" x14ac:dyDescent="0.25">
      <c r="A640" s="52" t="s">
        <v>95</v>
      </c>
      <c r="B640" s="90" t="s">
        <v>6295</v>
      </c>
    </row>
    <row r="641" spans="1:2" x14ac:dyDescent="0.25">
      <c r="A641" s="52" t="s">
        <v>95</v>
      </c>
      <c r="B641" s="90" t="s">
        <v>6296</v>
      </c>
    </row>
    <row r="642" spans="1:2" x14ac:dyDescent="0.25">
      <c r="A642" s="52" t="s">
        <v>95</v>
      </c>
      <c r="B642" s="90" t="s">
        <v>6297</v>
      </c>
    </row>
    <row r="643" spans="1:2" x14ac:dyDescent="0.25">
      <c r="A643" s="52" t="s">
        <v>95</v>
      </c>
      <c r="B643" s="90" t="s">
        <v>6298</v>
      </c>
    </row>
    <row r="644" spans="1:2" x14ac:dyDescent="0.25">
      <c r="A644" s="52" t="s">
        <v>95</v>
      </c>
      <c r="B644" s="90" t="s">
        <v>6299</v>
      </c>
    </row>
    <row r="645" spans="1:2" x14ac:dyDescent="0.25">
      <c r="A645" s="52" t="s">
        <v>95</v>
      </c>
      <c r="B645" s="90" t="s">
        <v>6300</v>
      </c>
    </row>
    <row r="646" spans="1:2" x14ac:dyDescent="0.25">
      <c r="A646" s="52" t="s">
        <v>95</v>
      </c>
      <c r="B646" s="90" t="s">
        <v>6301</v>
      </c>
    </row>
    <row r="647" spans="1:2" x14ac:dyDescent="0.25">
      <c r="A647" s="52" t="s">
        <v>95</v>
      </c>
      <c r="B647" s="90" t="s">
        <v>6302</v>
      </c>
    </row>
    <row r="648" spans="1:2" x14ac:dyDescent="0.25">
      <c r="A648" s="52" t="s">
        <v>95</v>
      </c>
      <c r="B648" s="90" t="s">
        <v>6303</v>
      </c>
    </row>
    <row r="649" spans="1:2" x14ac:dyDescent="0.25">
      <c r="A649" s="52" t="s">
        <v>95</v>
      </c>
      <c r="B649" s="90" t="s">
        <v>6304</v>
      </c>
    </row>
    <row r="650" spans="1:2" x14ac:dyDescent="0.25">
      <c r="A650" s="52" t="s">
        <v>95</v>
      </c>
      <c r="B650" s="90" t="s">
        <v>6305</v>
      </c>
    </row>
    <row r="651" spans="1:2" x14ac:dyDescent="0.25">
      <c r="A651" s="52" t="s">
        <v>95</v>
      </c>
      <c r="B651" s="90" t="s">
        <v>6306</v>
      </c>
    </row>
    <row r="652" spans="1:2" x14ac:dyDescent="0.25">
      <c r="A652" s="52" t="s">
        <v>95</v>
      </c>
      <c r="B652" s="90" t="s">
        <v>6307</v>
      </c>
    </row>
    <row r="653" spans="1:2" x14ac:dyDescent="0.25">
      <c r="A653" s="52" t="s">
        <v>95</v>
      </c>
      <c r="B653" s="90" t="s">
        <v>6308</v>
      </c>
    </row>
    <row r="654" spans="1:2" x14ac:dyDescent="0.25">
      <c r="A654" s="52" t="s">
        <v>95</v>
      </c>
      <c r="B654" s="90" t="s">
        <v>6309</v>
      </c>
    </row>
    <row r="655" spans="1:2" x14ac:dyDescent="0.25">
      <c r="A655" s="52" t="s">
        <v>95</v>
      </c>
      <c r="B655" s="90" t="s">
        <v>6310</v>
      </c>
    </row>
    <row r="656" spans="1:2" x14ac:dyDescent="0.25">
      <c r="A656" s="52" t="s">
        <v>95</v>
      </c>
      <c r="B656" s="90" t="s">
        <v>6311</v>
      </c>
    </row>
    <row r="657" spans="1:2" x14ac:dyDescent="0.25">
      <c r="A657" s="52" t="s">
        <v>95</v>
      </c>
      <c r="B657" s="90" t="s">
        <v>6312</v>
      </c>
    </row>
    <row r="658" spans="1:2" x14ac:dyDescent="0.25">
      <c r="A658" s="52" t="s">
        <v>95</v>
      </c>
      <c r="B658" s="90" t="s">
        <v>6313</v>
      </c>
    </row>
    <row r="659" spans="1:2" x14ac:dyDescent="0.25">
      <c r="A659" s="52" t="s">
        <v>95</v>
      </c>
      <c r="B659" s="90" t="s">
        <v>6314</v>
      </c>
    </row>
    <row r="660" spans="1:2" x14ac:dyDescent="0.25">
      <c r="A660" s="52" t="s">
        <v>95</v>
      </c>
      <c r="B660" s="90" t="s">
        <v>6315</v>
      </c>
    </row>
    <row r="661" spans="1:2" x14ac:dyDescent="0.25">
      <c r="A661" s="52" t="s">
        <v>95</v>
      </c>
      <c r="B661" s="90" t="s">
        <v>6316</v>
      </c>
    </row>
    <row r="662" spans="1:2" x14ac:dyDescent="0.25">
      <c r="A662" s="52" t="s">
        <v>95</v>
      </c>
      <c r="B662" s="90" t="s">
        <v>6317</v>
      </c>
    </row>
    <row r="663" spans="1:2" x14ac:dyDescent="0.25">
      <c r="A663" s="52" t="s">
        <v>95</v>
      </c>
      <c r="B663" s="90" t="s">
        <v>6318</v>
      </c>
    </row>
    <row r="664" spans="1:2" x14ac:dyDescent="0.25">
      <c r="A664" s="52" t="s">
        <v>95</v>
      </c>
      <c r="B664" s="90" t="s">
        <v>6319</v>
      </c>
    </row>
    <row r="665" spans="1:2" x14ac:dyDescent="0.25">
      <c r="A665" s="52" t="s">
        <v>95</v>
      </c>
      <c r="B665" s="90" t="s">
        <v>6320</v>
      </c>
    </row>
    <row r="666" spans="1:2" x14ac:dyDescent="0.25">
      <c r="A666" s="52" t="s">
        <v>95</v>
      </c>
      <c r="B666" s="90" t="s">
        <v>6321</v>
      </c>
    </row>
    <row r="667" spans="1:2" x14ac:dyDescent="0.25">
      <c r="A667" s="52" t="s">
        <v>95</v>
      </c>
      <c r="B667" s="90" t="s">
        <v>6322</v>
      </c>
    </row>
    <row r="668" spans="1:2" x14ac:dyDescent="0.25">
      <c r="A668" s="52" t="s">
        <v>95</v>
      </c>
      <c r="B668" s="90" t="s">
        <v>6323</v>
      </c>
    </row>
    <row r="669" spans="1:2" x14ac:dyDescent="0.25">
      <c r="A669" s="52" t="s">
        <v>95</v>
      </c>
      <c r="B669" s="90" t="s">
        <v>6324</v>
      </c>
    </row>
    <row r="670" spans="1:2" x14ac:dyDescent="0.25">
      <c r="A670" s="52" t="s">
        <v>95</v>
      </c>
      <c r="B670" s="90" t="s">
        <v>6325</v>
      </c>
    </row>
    <row r="671" spans="1:2" x14ac:dyDescent="0.25">
      <c r="A671" s="52" t="s">
        <v>95</v>
      </c>
      <c r="B671" s="90" t="s">
        <v>6326</v>
      </c>
    </row>
    <row r="672" spans="1:2" x14ac:dyDescent="0.25">
      <c r="A672" s="52" t="s">
        <v>95</v>
      </c>
      <c r="B672" s="90" t="s">
        <v>6327</v>
      </c>
    </row>
    <row r="673" spans="1:2" x14ac:dyDescent="0.25">
      <c r="A673" s="52" t="s">
        <v>95</v>
      </c>
      <c r="B673" s="90" t="s">
        <v>6328</v>
      </c>
    </row>
    <row r="674" spans="1:2" x14ac:dyDescent="0.25">
      <c r="A674" s="52" t="s">
        <v>95</v>
      </c>
      <c r="B674" s="90" t="s">
        <v>6329</v>
      </c>
    </row>
    <row r="675" spans="1:2" x14ac:dyDescent="0.25">
      <c r="A675" s="52" t="s">
        <v>95</v>
      </c>
      <c r="B675" s="90" t="s">
        <v>6330</v>
      </c>
    </row>
    <row r="676" spans="1:2" x14ac:dyDescent="0.25">
      <c r="A676" s="52" t="s">
        <v>95</v>
      </c>
      <c r="B676" s="90" t="s">
        <v>6331</v>
      </c>
    </row>
    <row r="677" spans="1:2" x14ac:dyDescent="0.25">
      <c r="A677" s="52" t="s">
        <v>95</v>
      </c>
      <c r="B677" s="90" t="s">
        <v>6332</v>
      </c>
    </row>
    <row r="678" spans="1:2" x14ac:dyDescent="0.25">
      <c r="A678" s="52" t="s">
        <v>95</v>
      </c>
      <c r="B678" s="90" t="s">
        <v>6333</v>
      </c>
    </row>
    <row r="679" spans="1:2" x14ac:dyDescent="0.25">
      <c r="A679" s="52" t="s">
        <v>95</v>
      </c>
      <c r="B679" s="90" t="s">
        <v>6334</v>
      </c>
    </row>
    <row r="680" spans="1:2" x14ac:dyDescent="0.25">
      <c r="A680" s="52" t="s">
        <v>95</v>
      </c>
      <c r="B680" s="90" t="s">
        <v>6335</v>
      </c>
    </row>
    <row r="681" spans="1:2" x14ac:dyDescent="0.25">
      <c r="A681" s="52" t="s">
        <v>95</v>
      </c>
      <c r="B681" s="90" t="s">
        <v>6336</v>
      </c>
    </row>
    <row r="682" spans="1:2" x14ac:dyDescent="0.25">
      <c r="A682" s="52" t="s">
        <v>95</v>
      </c>
      <c r="B682" s="90" t="s">
        <v>6337</v>
      </c>
    </row>
    <row r="683" spans="1:2" x14ac:dyDescent="0.25">
      <c r="A683" s="52" t="s">
        <v>95</v>
      </c>
      <c r="B683" s="90" t="s">
        <v>6338</v>
      </c>
    </row>
    <row r="684" spans="1:2" x14ac:dyDescent="0.25">
      <c r="A684" s="52" t="s">
        <v>95</v>
      </c>
      <c r="B684" s="90" t="s">
        <v>6339</v>
      </c>
    </row>
    <row r="685" spans="1:2" x14ac:dyDescent="0.25">
      <c r="A685" s="52" t="s">
        <v>95</v>
      </c>
      <c r="B685" s="90" t="s">
        <v>6340</v>
      </c>
    </row>
    <row r="686" spans="1:2" x14ac:dyDescent="0.25">
      <c r="A686" s="52" t="s">
        <v>95</v>
      </c>
      <c r="B686" s="90" t="s">
        <v>6341</v>
      </c>
    </row>
    <row r="687" spans="1:2" x14ac:dyDescent="0.25">
      <c r="A687" s="52" t="s">
        <v>95</v>
      </c>
      <c r="B687" s="90" t="s">
        <v>6342</v>
      </c>
    </row>
    <row r="688" spans="1:2" x14ac:dyDescent="0.25">
      <c r="A688" s="52" t="s">
        <v>95</v>
      </c>
      <c r="B688" s="90" t="s">
        <v>6343</v>
      </c>
    </row>
    <row r="689" spans="1:2" x14ac:dyDescent="0.25">
      <c r="A689" s="52" t="s">
        <v>95</v>
      </c>
      <c r="B689" s="90" t="s">
        <v>6344</v>
      </c>
    </row>
    <row r="690" spans="1:2" x14ac:dyDescent="0.25">
      <c r="A690" s="52" t="s">
        <v>95</v>
      </c>
      <c r="B690" s="90" t="s">
        <v>6345</v>
      </c>
    </row>
    <row r="691" spans="1:2" x14ac:dyDescent="0.25">
      <c r="A691" s="52" t="s">
        <v>95</v>
      </c>
      <c r="B691" s="90" t="s">
        <v>6346</v>
      </c>
    </row>
    <row r="692" spans="1:2" x14ac:dyDescent="0.25">
      <c r="A692" s="52" t="s">
        <v>95</v>
      </c>
      <c r="B692" s="90" t="s">
        <v>6347</v>
      </c>
    </row>
    <row r="693" spans="1:2" x14ac:dyDescent="0.25">
      <c r="A693" s="52" t="s">
        <v>95</v>
      </c>
      <c r="B693" s="90" t="s">
        <v>6348</v>
      </c>
    </row>
    <row r="694" spans="1:2" x14ac:dyDescent="0.25">
      <c r="A694" s="52" t="s">
        <v>95</v>
      </c>
      <c r="B694" s="90" t="s">
        <v>6349</v>
      </c>
    </row>
    <row r="695" spans="1:2" x14ac:dyDescent="0.25">
      <c r="A695" s="52" t="s">
        <v>95</v>
      </c>
      <c r="B695" s="90" t="s">
        <v>6350</v>
      </c>
    </row>
    <row r="696" spans="1:2" x14ac:dyDescent="0.25">
      <c r="A696" s="52" t="s">
        <v>95</v>
      </c>
      <c r="B696" s="90" t="s">
        <v>6351</v>
      </c>
    </row>
    <row r="697" spans="1:2" x14ac:dyDescent="0.25">
      <c r="A697" s="52" t="s">
        <v>95</v>
      </c>
      <c r="B697" s="90" t="s">
        <v>6352</v>
      </c>
    </row>
    <row r="698" spans="1:2" x14ac:dyDescent="0.25">
      <c r="A698" s="52" t="s">
        <v>95</v>
      </c>
      <c r="B698" s="90" t="s">
        <v>6353</v>
      </c>
    </row>
    <row r="699" spans="1:2" x14ac:dyDescent="0.25">
      <c r="A699" s="52" t="s">
        <v>95</v>
      </c>
      <c r="B699" s="90" t="s">
        <v>6354</v>
      </c>
    </row>
    <row r="700" spans="1:2" x14ac:dyDescent="0.25">
      <c r="A700" s="52" t="s">
        <v>95</v>
      </c>
      <c r="B700" s="90" t="s">
        <v>6355</v>
      </c>
    </row>
    <row r="701" spans="1:2" x14ac:dyDescent="0.25">
      <c r="A701" s="52" t="s">
        <v>95</v>
      </c>
      <c r="B701" s="90" t="s">
        <v>6356</v>
      </c>
    </row>
    <row r="702" spans="1:2" x14ac:dyDescent="0.25">
      <c r="A702" s="52" t="s">
        <v>95</v>
      </c>
      <c r="B702" s="90" t="s">
        <v>6357</v>
      </c>
    </row>
    <row r="703" spans="1:2" x14ac:dyDescent="0.25">
      <c r="A703" s="52" t="s">
        <v>95</v>
      </c>
      <c r="B703" s="90" t="s">
        <v>6358</v>
      </c>
    </row>
    <row r="704" spans="1:2" x14ac:dyDescent="0.25">
      <c r="A704" s="52" t="s">
        <v>95</v>
      </c>
      <c r="B704" s="90" t="s">
        <v>6359</v>
      </c>
    </row>
    <row r="705" spans="1:2" x14ac:dyDescent="0.25">
      <c r="A705" s="52" t="s">
        <v>95</v>
      </c>
      <c r="B705" s="90" t="s">
        <v>6360</v>
      </c>
    </row>
    <row r="706" spans="1:2" x14ac:dyDescent="0.25">
      <c r="A706" s="52" t="s">
        <v>95</v>
      </c>
      <c r="B706" s="90" t="s">
        <v>6361</v>
      </c>
    </row>
    <row r="707" spans="1:2" x14ac:dyDescent="0.25">
      <c r="A707" s="52" t="s">
        <v>95</v>
      </c>
      <c r="B707" s="90" t="s">
        <v>6362</v>
      </c>
    </row>
    <row r="708" spans="1:2" x14ac:dyDescent="0.25">
      <c r="A708" s="52" t="s">
        <v>95</v>
      </c>
      <c r="B708" s="90" t="s">
        <v>6363</v>
      </c>
    </row>
    <row r="709" spans="1:2" x14ac:dyDescent="0.25">
      <c r="A709" s="52" t="s">
        <v>95</v>
      </c>
      <c r="B709" s="90" t="s">
        <v>6364</v>
      </c>
    </row>
    <row r="710" spans="1:2" x14ac:dyDescent="0.25">
      <c r="A710" s="52" t="s">
        <v>95</v>
      </c>
      <c r="B710" s="90" t="s">
        <v>6365</v>
      </c>
    </row>
    <row r="711" spans="1:2" x14ac:dyDescent="0.25">
      <c r="A711" s="52" t="s">
        <v>95</v>
      </c>
      <c r="B711" s="90" t="s">
        <v>6366</v>
      </c>
    </row>
    <row r="712" spans="1:2" x14ac:dyDescent="0.25">
      <c r="A712" s="52" t="s">
        <v>95</v>
      </c>
      <c r="B712" s="90" t="s">
        <v>6367</v>
      </c>
    </row>
    <row r="713" spans="1:2" x14ac:dyDescent="0.25">
      <c r="A713" s="52" t="s">
        <v>95</v>
      </c>
      <c r="B713" s="90" t="s">
        <v>6368</v>
      </c>
    </row>
    <row r="714" spans="1:2" x14ac:dyDescent="0.25">
      <c r="A714" s="52" t="s">
        <v>95</v>
      </c>
      <c r="B714" s="90" t="s">
        <v>6369</v>
      </c>
    </row>
    <row r="715" spans="1:2" x14ac:dyDescent="0.25">
      <c r="A715" s="52" t="s">
        <v>95</v>
      </c>
      <c r="B715" s="90" t="s">
        <v>6370</v>
      </c>
    </row>
    <row r="716" spans="1:2" x14ac:dyDescent="0.25">
      <c r="A716" s="52" t="s">
        <v>95</v>
      </c>
      <c r="B716" s="90" t="s">
        <v>6371</v>
      </c>
    </row>
    <row r="717" spans="1:2" x14ac:dyDescent="0.25">
      <c r="A717" s="52" t="s">
        <v>95</v>
      </c>
      <c r="B717" s="90" t="s">
        <v>6371</v>
      </c>
    </row>
    <row r="718" spans="1:2" x14ac:dyDescent="0.25">
      <c r="A718" s="52" t="s">
        <v>95</v>
      </c>
      <c r="B718" s="90" t="s">
        <v>6372</v>
      </c>
    </row>
    <row r="719" spans="1:2" x14ac:dyDescent="0.25">
      <c r="A719" s="52" t="s">
        <v>95</v>
      </c>
      <c r="B719" s="90" t="s">
        <v>6373</v>
      </c>
    </row>
    <row r="720" spans="1:2" x14ac:dyDescent="0.25">
      <c r="A720" s="52" t="s">
        <v>95</v>
      </c>
      <c r="B720" s="90" t="s">
        <v>6374</v>
      </c>
    </row>
    <row r="721" spans="1:2" x14ac:dyDescent="0.25">
      <c r="A721" s="52" t="s">
        <v>95</v>
      </c>
      <c r="B721" s="90" t="s">
        <v>6375</v>
      </c>
    </row>
    <row r="722" spans="1:2" x14ac:dyDescent="0.25">
      <c r="A722" s="52" t="s">
        <v>95</v>
      </c>
      <c r="B722" s="90" t="s">
        <v>6376</v>
      </c>
    </row>
    <row r="723" spans="1:2" x14ac:dyDescent="0.25">
      <c r="A723" s="52" t="s">
        <v>95</v>
      </c>
      <c r="B723" s="90" t="s">
        <v>6377</v>
      </c>
    </row>
    <row r="724" spans="1:2" x14ac:dyDescent="0.25">
      <c r="A724" s="52" t="s">
        <v>95</v>
      </c>
      <c r="B724" s="90" t="s">
        <v>6378</v>
      </c>
    </row>
    <row r="725" spans="1:2" x14ac:dyDescent="0.25">
      <c r="A725" s="52" t="s">
        <v>95</v>
      </c>
      <c r="B725" s="90" t="s">
        <v>6379</v>
      </c>
    </row>
    <row r="726" spans="1:2" x14ac:dyDescent="0.25">
      <c r="A726" s="52" t="s">
        <v>95</v>
      </c>
      <c r="B726" s="90" t="s">
        <v>6380</v>
      </c>
    </row>
    <row r="727" spans="1:2" x14ac:dyDescent="0.25">
      <c r="A727" s="52" t="s">
        <v>95</v>
      </c>
      <c r="B727" s="90" t="s">
        <v>6381</v>
      </c>
    </row>
    <row r="728" spans="1:2" x14ac:dyDescent="0.25">
      <c r="A728" s="52" t="s">
        <v>95</v>
      </c>
      <c r="B728" s="90" t="s">
        <v>6381</v>
      </c>
    </row>
    <row r="729" spans="1:2" x14ac:dyDescent="0.25">
      <c r="A729" s="52" t="s">
        <v>95</v>
      </c>
      <c r="B729" s="90" t="s">
        <v>6382</v>
      </c>
    </row>
    <row r="730" spans="1:2" x14ac:dyDescent="0.25">
      <c r="A730" s="52" t="s">
        <v>95</v>
      </c>
      <c r="B730" s="90" t="s">
        <v>6383</v>
      </c>
    </row>
    <row r="731" spans="1:2" x14ac:dyDescent="0.25">
      <c r="A731" s="52" t="s">
        <v>95</v>
      </c>
      <c r="B731" s="90" t="s">
        <v>6384</v>
      </c>
    </row>
    <row r="732" spans="1:2" x14ac:dyDescent="0.25">
      <c r="A732" s="52" t="s">
        <v>95</v>
      </c>
      <c r="B732" s="90" t="s">
        <v>6385</v>
      </c>
    </row>
    <row r="733" spans="1:2" x14ac:dyDescent="0.25">
      <c r="A733" s="52" t="s">
        <v>95</v>
      </c>
      <c r="B733" s="90" t="s">
        <v>6386</v>
      </c>
    </row>
    <row r="734" spans="1:2" x14ac:dyDescent="0.25">
      <c r="A734" s="52" t="s">
        <v>95</v>
      </c>
      <c r="B734" s="90" t="s">
        <v>6387</v>
      </c>
    </row>
    <row r="735" spans="1:2" x14ac:dyDescent="0.25">
      <c r="A735" s="52" t="s">
        <v>95</v>
      </c>
      <c r="B735" s="90" t="s">
        <v>6388</v>
      </c>
    </row>
    <row r="736" spans="1:2" x14ac:dyDescent="0.25">
      <c r="A736" s="52" t="s">
        <v>95</v>
      </c>
      <c r="B736" s="90" t="s">
        <v>6389</v>
      </c>
    </row>
    <row r="737" spans="1:2" x14ac:dyDescent="0.25">
      <c r="A737" s="52" t="s">
        <v>95</v>
      </c>
      <c r="B737" s="90" t="s">
        <v>6390</v>
      </c>
    </row>
    <row r="738" spans="1:2" x14ac:dyDescent="0.25">
      <c r="A738" s="52" t="s">
        <v>95</v>
      </c>
      <c r="B738" s="90" t="s">
        <v>6391</v>
      </c>
    </row>
    <row r="739" spans="1:2" x14ac:dyDescent="0.25">
      <c r="A739" s="52" t="s">
        <v>95</v>
      </c>
      <c r="B739" s="90" t="s">
        <v>6392</v>
      </c>
    </row>
    <row r="740" spans="1:2" x14ac:dyDescent="0.25">
      <c r="A740" s="52" t="s">
        <v>95</v>
      </c>
      <c r="B740" s="90" t="s">
        <v>6393</v>
      </c>
    </row>
    <row r="741" spans="1:2" x14ac:dyDescent="0.25">
      <c r="A741" s="52" t="s">
        <v>95</v>
      </c>
      <c r="B741" s="90" t="s">
        <v>6394</v>
      </c>
    </row>
    <row r="742" spans="1:2" x14ac:dyDescent="0.25">
      <c r="A742" s="52" t="s">
        <v>95</v>
      </c>
      <c r="B742" s="90" t="s">
        <v>6395</v>
      </c>
    </row>
    <row r="743" spans="1:2" x14ac:dyDescent="0.25">
      <c r="A743" s="52" t="s">
        <v>95</v>
      </c>
      <c r="B743" s="90" t="s">
        <v>6396</v>
      </c>
    </row>
    <row r="744" spans="1:2" x14ac:dyDescent="0.25">
      <c r="A744" s="52" t="s">
        <v>95</v>
      </c>
      <c r="B744" s="90" t="s">
        <v>6397</v>
      </c>
    </row>
    <row r="745" spans="1:2" x14ac:dyDescent="0.25">
      <c r="A745" s="52" t="s">
        <v>95</v>
      </c>
      <c r="B745" s="90" t="s">
        <v>6398</v>
      </c>
    </row>
    <row r="746" spans="1:2" x14ac:dyDescent="0.25">
      <c r="A746" s="52" t="s">
        <v>95</v>
      </c>
      <c r="B746" s="90" t="s">
        <v>6399</v>
      </c>
    </row>
    <row r="747" spans="1:2" x14ac:dyDescent="0.25">
      <c r="A747" s="52" t="s">
        <v>95</v>
      </c>
      <c r="B747" s="90" t="s">
        <v>6399</v>
      </c>
    </row>
    <row r="748" spans="1:2" x14ac:dyDescent="0.25">
      <c r="A748" s="52" t="s">
        <v>95</v>
      </c>
      <c r="B748" s="90" t="s">
        <v>6400</v>
      </c>
    </row>
    <row r="749" spans="1:2" x14ac:dyDescent="0.25">
      <c r="A749" s="52" t="s">
        <v>95</v>
      </c>
      <c r="B749" s="90" t="s">
        <v>6401</v>
      </c>
    </row>
    <row r="750" spans="1:2" x14ac:dyDescent="0.25">
      <c r="A750" s="52" t="s">
        <v>95</v>
      </c>
      <c r="B750" s="90" t="s">
        <v>6402</v>
      </c>
    </row>
    <row r="751" spans="1:2" x14ac:dyDescent="0.25">
      <c r="A751" s="52" t="s">
        <v>95</v>
      </c>
      <c r="B751" s="90" t="s">
        <v>6403</v>
      </c>
    </row>
    <row r="752" spans="1:2" x14ac:dyDescent="0.25">
      <c r="A752" s="52" t="s">
        <v>95</v>
      </c>
      <c r="B752" s="90" t="s">
        <v>6404</v>
      </c>
    </row>
    <row r="753" spans="1:2" x14ac:dyDescent="0.25">
      <c r="A753" s="52" t="s">
        <v>95</v>
      </c>
      <c r="B753" s="90" t="s">
        <v>6405</v>
      </c>
    </row>
    <row r="754" spans="1:2" x14ac:dyDescent="0.25">
      <c r="A754" s="52" t="s">
        <v>95</v>
      </c>
      <c r="B754" s="90" t="s">
        <v>6406</v>
      </c>
    </row>
    <row r="755" spans="1:2" x14ac:dyDescent="0.25">
      <c r="A755" s="52" t="s">
        <v>95</v>
      </c>
      <c r="B755" s="90" t="s">
        <v>6407</v>
      </c>
    </row>
    <row r="756" spans="1:2" x14ac:dyDescent="0.25">
      <c r="A756" s="52" t="s">
        <v>95</v>
      </c>
      <c r="B756" s="90" t="s">
        <v>6408</v>
      </c>
    </row>
    <row r="757" spans="1:2" x14ac:dyDescent="0.25">
      <c r="A757" s="52" t="s">
        <v>95</v>
      </c>
      <c r="B757" s="90" t="s">
        <v>6409</v>
      </c>
    </row>
    <row r="758" spans="1:2" x14ac:dyDescent="0.25">
      <c r="A758" s="52" t="s">
        <v>95</v>
      </c>
      <c r="B758" s="90" t="s">
        <v>6410</v>
      </c>
    </row>
    <row r="759" spans="1:2" x14ac:dyDescent="0.25">
      <c r="A759" s="52" t="s">
        <v>95</v>
      </c>
      <c r="B759" s="90" t="s">
        <v>6411</v>
      </c>
    </row>
    <row r="760" spans="1:2" x14ac:dyDescent="0.25">
      <c r="A760" s="52" t="s">
        <v>95</v>
      </c>
      <c r="B760" s="90" t="s">
        <v>6412</v>
      </c>
    </row>
    <row r="761" spans="1:2" x14ac:dyDescent="0.25">
      <c r="A761" s="52" t="s">
        <v>95</v>
      </c>
      <c r="B761" s="90" t="s">
        <v>6413</v>
      </c>
    </row>
    <row r="762" spans="1:2" x14ac:dyDescent="0.25">
      <c r="A762" s="52" t="s">
        <v>95</v>
      </c>
      <c r="B762" s="90" t="s">
        <v>6414</v>
      </c>
    </row>
    <row r="763" spans="1:2" x14ac:dyDescent="0.25">
      <c r="A763" s="52" t="s">
        <v>95</v>
      </c>
      <c r="B763" s="90" t="s">
        <v>6415</v>
      </c>
    </row>
    <row r="764" spans="1:2" x14ac:dyDescent="0.25">
      <c r="A764" s="52" t="s">
        <v>95</v>
      </c>
      <c r="B764" s="90" t="s">
        <v>6416</v>
      </c>
    </row>
    <row r="765" spans="1:2" x14ac:dyDescent="0.25">
      <c r="A765" s="52" t="s">
        <v>95</v>
      </c>
      <c r="B765" s="90" t="s">
        <v>6417</v>
      </c>
    </row>
    <row r="766" spans="1:2" x14ac:dyDescent="0.25">
      <c r="A766" s="52" t="s">
        <v>95</v>
      </c>
      <c r="B766" s="90" t="s">
        <v>6418</v>
      </c>
    </row>
    <row r="767" spans="1:2" x14ac:dyDescent="0.25">
      <c r="A767" s="52" t="s">
        <v>95</v>
      </c>
      <c r="B767" s="90" t="s">
        <v>6419</v>
      </c>
    </row>
    <row r="768" spans="1:2" x14ac:dyDescent="0.25">
      <c r="A768" s="52" t="s">
        <v>95</v>
      </c>
      <c r="B768" s="90" t="s">
        <v>6420</v>
      </c>
    </row>
    <row r="769" spans="1:2" x14ac:dyDescent="0.25">
      <c r="A769" s="52" t="s">
        <v>95</v>
      </c>
      <c r="B769" s="90" t="s">
        <v>980</v>
      </c>
    </row>
    <row r="770" spans="1:2" x14ac:dyDescent="0.25">
      <c r="A770" s="52" t="s">
        <v>95</v>
      </c>
      <c r="B770" s="90" t="s">
        <v>6421</v>
      </c>
    </row>
    <row r="771" spans="1:2" x14ac:dyDescent="0.25">
      <c r="A771" s="52" t="s">
        <v>95</v>
      </c>
      <c r="B771" s="90" t="s">
        <v>6422</v>
      </c>
    </row>
    <row r="772" spans="1:2" x14ac:dyDescent="0.25">
      <c r="A772" s="52" t="s">
        <v>95</v>
      </c>
      <c r="B772" s="90" t="s">
        <v>6423</v>
      </c>
    </row>
    <row r="773" spans="1:2" x14ac:dyDescent="0.25">
      <c r="A773" s="52" t="s">
        <v>95</v>
      </c>
      <c r="B773" s="90" t="s">
        <v>6424</v>
      </c>
    </row>
    <row r="774" spans="1:2" x14ac:dyDescent="0.25">
      <c r="A774" s="52" t="s">
        <v>95</v>
      </c>
      <c r="B774" s="90" t="s">
        <v>6425</v>
      </c>
    </row>
    <row r="775" spans="1:2" x14ac:dyDescent="0.25">
      <c r="A775" s="52" t="s">
        <v>95</v>
      </c>
      <c r="B775" s="90" t="s">
        <v>6426</v>
      </c>
    </row>
    <row r="776" spans="1:2" x14ac:dyDescent="0.25">
      <c r="A776" s="52" t="s">
        <v>95</v>
      </c>
      <c r="B776" s="90" t="s">
        <v>6427</v>
      </c>
    </row>
    <row r="777" spans="1:2" x14ac:dyDescent="0.25">
      <c r="A777" s="52" t="s">
        <v>95</v>
      </c>
      <c r="B777" s="90" t="s">
        <v>6428</v>
      </c>
    </row>
    <row r="778" spans="1:2" x14ac:dyDescent="0.25">
      <c r="A778" s="52" t="s">
        <v>95</v>
      </c>
      <c r="B778" s="90" t="s">
        <v>6429</v>
      </c>
    </row>
    <row r="779" spans="1:2" x14ac:dyDescent="0.25">
      <c r="A779" s="52" t="s">
        <v>95</v>
      </c>
      <c r="B779" s="90" t="s">
        <v>6430</v>
      </c>
    </row>
    <row r="780" spans="1:2" x14ac:dyDescent="0.25">
      <c r="A780" s="52" t="s">
        <v>95</v>
      </c>
      <c r="B780" s="90" t="s">
        <v>6431</v>
      </c>
    </row>
    <row r="781" spans="1:2" x14ac:dyDescent="0.25">
      <c r="A781" s="52" t="s">
        <v>95</v>
      </c>
      <c r="B781" s="90" t="s">
        <v>6432</v>
      </c>
    </row>
    <row r="782" spans="1:2" x14ac:dyDescent="0.25">
      <c r="A782" s="52" t="s">
        <v>95</v>
      </c>
      <c r="B782" s="90" t="s">
        <v>6433</v>
      </c>
    </row>
    <row r="783" spans="1:2" x14ac:dyDescent="0.25">
      <c r="A783" s="52" t="s">
        <v>95</v>
      </c>
      <c r="B783" s="90" t="s">
        <v>6434</v>
      </c>
    </row>
    <row r="784" spans="1:2" x14ac:dyDescent="0.25">
      <c r="A784" s="52" t="s">
        <v>95</v>
      </c>
      <c r="B784" s="90" t="s">
        <v>6435</v>
      </c>
    </row>
    <row r="785" spans="1:2" x14ac:dyDescent="0.25">
      <c r="A785" s="52" t="s">
        <v>95</v>
      </c>
      <c r="B785" s="90" t="s">
        <v>6436</v>
      </c>
    </row>
    <row r="786" spans="1:2" x14ac:dyDescent="0.25">
      <c r="A786" s="52" t="s">
        <v>95</v>
      </c>
      <c r="B786" s="90" t="s">
        <v>6437</v>
      </c>
    </row>
    <row r="787" spans="1:2" x14ac:dyDescent="0.25">
      <c r="A787" s="52" t="s">
        <v>95</v>
      </c>
      <c r="B787" s="90" t="s">
        <v>6438</v>
      </c>
    </row>
    <row r="788" spans="1:2" x14ac:dyDescent="0.25">
      <c r="A788" s="52" t="s">
        <v>95</v>
      </c>
      <c r="B788" s="90" t="s">
        <v>6439</v>
      </c>
    </row>
    <row r="789" spans="1:2" x14ac:dyDescent="0.25">
      <c r="A789" s="52" t="s">
        <v>95</v>
      </c>
      <c r="B789" s="90" t="s">
        <v>6440</v>
      </c>
    </row>
    <row r="790" spans="1:2" x14ac:dyDescent="0.25">
      <c r="A790" s="52" t="s">
        <v>95</v>
      </c>
      <c r="B790" s="90" t="s">
        <v>6441</v>
      </c>
    </row>
    <row r="791" spans="1:2" x14ac:dyDescent="0.25">
      <c r="A791" s="52" t="s">
        <v>95</v>
      </c>
      <c r="B791" s="90" t="s">
        <v>6442</v>
      </c>
    </row>
    <row r="792" spans="1:2" x14ac:dyDescent="0.25">
      <c r="A792" s="52" t="s">
        <v>95</v>
      </c>
      <c r="B792" s="90" t="s">
        <v>6443</v>
      </c>
    </row>
    <row r="793" spans="1:2" x14ac:dyDescent="0.25">
      <c r="A793" s="52" t="s">
        <v>95</v>
      </c>
      <c r="B793" s="90" t="s">
        <v>6444</v>
      </c>
    </row>
    <row r="794" spans="1:2" x14ac:dyDescent="0.25">
      <c r="A794" s="52" t="s">
        <v>95</v>
      </c>
      <c r="B794" s="90" t="s">
        <v>6445</v>
      </c>
    </row>
    <row r="795" spans="1:2" x14ac:dyDescent="0.25">
      <c r="A795" s="52" t="s">
        <v>95</v>
      </c>
      <c r="B795" s="90" t="s">
        <v>6446</v>
      </c>
    </row>
    <row r="796" spans="1:2" x14ac:dyDescent="0.25">
      <c r="A796" s="52" t="s">
        <v>95</v>
      </c>
      <c r="B796" s="90" t="s">
        <v>6447</v>
      </c>
    </row>
    <row r="797" spans="1:2" x14ac:dyDescent="0.25">
      <c r="A797" s="52" t="s">
        <v>95</v>
      </c>
      <c r="B797" s="90" t="s">
        <v>6447</v>
      </c>
    </row>
    <row r="798" spans="1:2" x14ac:dyDescent="0.25">
      <c r="A798" s="52" t="s">
        <v>95</v>
      </c>
      <c r="B798" s="90" t="s">
        <v>6448</v>
      </c>
    </row>
    <row r="799" spans="1:2" x14ac:dyDescent="0.25">
      <c r="A799" s="52" t="s">
        <v>95</v>
      </c>
      <c r="B799" s="90" t="s">
        <v>6449</v>
      </c>
    </row>
    <row r="800" spans="1:2" x14ac:dyDescent="0.25">
      <c r="A800" s="52" t="s">
        <v>95</v>
      </c>
      <c r="B800" s="90" t="s">
        <v>6450</v>
      </c>
    </row>
    <row r="801" spans="1:2" x14ac:dyDescent="0.25">
      <c r="A801" s="52" t="s">
        <v>95</v>
      </c>
      <c r="B801" s="90" t="s">
        <v>6451</v>
      </c>
    </row>
    <row r="802" spans="1:2" x14ac:dyDescent="0.25">
      <c r="A802" s="52" t="s">
        <v>95</v>
      </c>
      <c r="B802" s="90" t="s">
        <v>6452</v>
      </c>
    </row>
    <row r="803" spans="1:2" x14ac:dyDescent="0.25">
      <c r="A803" s="52" t="s">
        <v>95</v>
      </c>
      <c r="B803" s="90" t="s">
        <v>6453</v>
      </c>
    </row>
    <row r="804" spans="1:2" x14ac:dyDescent="0.25">
      <c r="A804" s="52" t="s">
        <v>95</v>
      </c>
      <c r="B804" s="90" t="s">
        <v>6454</v>
      </c>
    </row>
    <row r="805" spans="1:2" x14ac:dyDescent="0.25">
      <c r="A805" s="52" t="s">
        <v>95</v>
      </c>
      <c r="B805" s="90" t="s">
        <v>6455</v>
      </c>
    </row>
    <row r="806" spans="1:2" x14ac:dyDescent="0.25">
      <c r="A806" s="52" t="s">
        <v>95</v>
      </c>
      <c r="B806" s="90" t="s">
        <v>6456</v>
      </c>
    </row>
    <row r="807" spans="1:2" x14ac:dyDescent="0.25">
      <c r="A807" s="52" t="s">
        <v>95</v>
      </c>
      <c r="B807" s="90" t="s">
        <v>6457</v>
      </c>
    </row>
    <row r="808" spans="1:2" x14ac:dyDescent="0.25">
      <c r="A808" s="52" t="s">
        <v>95</v>
      </c>
      <c r="B808" s="90" t="s">
        <v>6458</v>
      </c>
    </row>
    <row r="809" spans="1:2" x14ac:dyDescent="0.25">
      <c r="A809" s="52" t="s">
        <v>95</v>
      </c>
      <c r="B809" s="90" t="s">
        <v>6459</v>
      </c>
    </row>
    <row r="810" spans="1:2" x14ac:dyDescent="0.25">
      <c r="A810" s="52" t="s">
        <v>95</v>
      </c>
      <c r="B810" s="90" t="s">
        <v>6460</v>
      </c>
    </row>
    <row r="811" spans="1:2" x14ac:dyDescent="0.25">
      <c r="A811" s="52" t="s">
        <v>95</v>
      </c>
      <c r="B811" s="90" t="s">
        <v>6461</v>
      </c>
    </row>
    <row r="812" spans="1:2" x14ac:dyDescent="0.25">
      <c r="A812" s="52" t="s">
        <v>95</v>
      </c>
      <c r="B812" s="90" t="s">
        <v>6462</v>
      </c>
    </row>
    <row r="813" spans="1:2" x14ac:dyDescent="0.25">
      <c r="A813" s="52" t="s">
        <v>95</v>
      </c>
      <c r="B813" s="90" t="s">
        <v>6463</v>
      </c>
    </row>
    <row r="814" spans="1:2" x14ac:dyDescent="0.25">
      <c r="A814" s="52" t="s">
        <v>95</v>
      </c>
      <c r="B814" s="90" t="s">
        <v>6464</v>
      </c>
    </row>
    <row r="815" spans="1:2" x14ac:dyDescent="0.25">
      <c r="A815" s="52" t="s">
        <v>95</v>
      </c>
      <c r="B815" s="90" t="s">
        <v>6465</v>
      </c>
    </row>
    <row r="816" spans="1:2" x14ac:dyDescent="0.25">
      <c r="A816" s="52" t="s">
        <v>95</v>
      </c>
      <c r="B816" s="90" t="s">
        <v>6466</v>
      </c>
    </row>
    <row r="817" spans="1:2" x14ac:dyDescent="0.25">
      <c r="A817" s="52" t="s">
        <v>95</v>
      </c>
      <c r="B817" s="90" t="s">
        <v>6467</v>
      </c>
    </row>
    <row r="818" spans="1:2" x14ac:dyDescent="0.25">
      <c r="A818" s="52" t="s">
        <v>95</v>
      </c>
      <c r="B818" s="90" t="s">
        <v>6468</v>
      </c>
    </row>
    <row r="819" spans="1:2" x14ac:dyDescent="0.25">
      <c r="A819" s="52" t="s">
        <v>95</v>
      </c>
      <c r="B819" s="90" t="s">
        <v>6469</v>
      </c>
    </row>
    <row r="820" spans="1:2" x14ac:dyDescent="0.25">
      <c r="A820" s="52" t="s">
        <v>95</v>
      </c>
      <c r="B820" s="90" t="s">
        <v>6470</v>
      </c>
    </row>
    <row r="821" spans="1:2" x14ac:dyDescent="0.25">
      <c r="A821" s="52" t="s">
        <v>95</v>
      </c>
      <c r="B821" s="90" t="s">
        <v>6471</v>
      </c>
    </row>
    <row r="822" spans="1:2" x14ac:dyDescent="0.25">
      <c r="A822" s="52" t="s">
        <v>95</v>
      </c>
      <c r="B822" s="90" t="s">
        <v>6471</v>
      </c>
    </row>
    <row r="823" spans="1:2" x14ac:dyDescent="0.25">
      <c r="A823" s="52" t="s">
        <v>95</v>
      </c>
      <c r="B823" s="90" t="s">
        <v>6472</v>
      </c>
    </row>
    <row r="824" spans="1:2" x14ac:dyDescent="0.25">
      <c r="A824" s="52" t="s">
        <v>95</v>
      </c>
      <c r="B824" s="90" t="s">
        <v>6473</v>
      </c>
    </row>
    <row r="825" spans="1:2" x14ac:dyDescent="0.25">
      <c r="A825" s="52" t="s">
        <v>95</v>
      </c>
      <c r="B825" s="90" t="s">
        <v>6474</v>
      </c>
    </row>
    <row r="826" spans="1:2" x14ac:dyDescent="0.25">
      <c r="A826" s="52" t="s">
        <v>95</v>
      </c>
      <c r="B826" s="90" t="s">
        <v>6475</v>
      </c>
    </row>
    <row r="827" spans="1:2" x14ac:dyDescent="0.25">
      <c r="A827" s="52" t="s">
        <v>95</v>
      </c>
      <c r="B827" s="90" t="s">
        <v>6476</v>
      </c>
    </row>
    <row r="828" spans="1:2" x14ac:dyDescent="0.25">
      <c r="A828" s="52" t="s">
        <v>95</v>
      </c>
      <c r="B828" s="90" t="s">
        <v>6477</v>
      </c>
    </row>
    <row r="829" spans="1:2" x14ac:dyDescent="0.25">
      <c r="A829" s="52" t="s">
        <v>95</v>
      </c>
      <c r="B829" s="90" t="s">
        <v>6478</v>
      </c>
    </row>
    <row r="830" spans="1:2" x14ac:dyDescent="0.25">
      <c r="A830" s="52" t="s">
        <v>95</v>
      </c>
      <c r="B830" s="90" t="s">
        <v>6479</v>
      </c>
    </row>
    <row r="831" spans="1:2" x14ac:dyDescent="0.25">
      <c r="A831" s="52" t="s">
        <v>95</v>
      </c>
      <c r="B831" s="90" t="s">
        <v>6480</v>
      </c>
    </row>
    <row r="832" spans="1:2" x14ac:dyDescent="0.25">
      <c r="A832" s="52" t="s">
        <v>95</v>
      </c>
      <c r="B832" s="90" t="s">
        <v>6481</v>
      </c>
    </row>
    <row r="833" spans="1:2" x14ac:dyDescent="0.25">
      <c r="A833" s="52" t="s">
        <v>95</v>
      </c>
      <c r="B833" s="90" t="s">
        <v>6482</v>
      </c>
    </row>
    <row r="834" spans="1:2" x14ac:dyDescent="0.25">
      <c r="A834" s="52" t="s">
        <v>95</v>
      </c>
      <c r="B834" s="90" t="s">
        <v>6483</v>
      </c>
    </row>
    <row r="835" spans="1:2" x14ac:dyDescent="0.25">
      <c r="A835" s="52" t="s">
        <v>95</v>
      </c>
      <c r="B835" s="90" t="s">
        <v>6484</v>
      </c>
    </row>
    <row r="836" spans="1:2" x14ac:dyDescent="0.25">
      <c r="A836" s="52" t="s">
        <v>95</v>
      </c>
      <c r="B836" s="90" t="s">
        <v>6485</v>
      </c>
    </row>
    <row r="837" spans="1:2" x14ac:dyDescent="0.25">
      <c r="A837" s="52" t="s">
        <v>95</v>
      </c>
      <c r="B837" s="90" t="s">
        <v>6486</v>
      </c>
    </row>
    <row r="838" spans="1:2" x14ac:dyDescent="0.25">
      <c r="A838" s="52" t="s">
        <v>95</v>
      </c>
      <c r="B838" s="90" t="s">
        <v>6487</v>
      </c>
    </row>
    <row r="839" spans="1:2" x14ac:dyDescent="0.25">
      <c r="A839" s="52" t="s">
        <v>95</v>
      </c>
      <c r="B839" s="90" t="s">
        <v>6488</v>
      </c>
    </row>
    <row r="840" spans="1:2" x14ac:dyDescent="0.25">
      <c r="A840" s="52" t="s">
        <v>95</v>
      </c>
      <c r="B840" s="90" t="s">
        <v>6489</v>
      </c>
    </row>
    <row r="841" spans="1:2" x14ac:dyDescent="0.25">
      <c r="A841" s="52" t="s">
        <v>95</v>
      </c>
      <c r="B841" s="90" t="s">
        <v>6490</v>
      </c>
    </row>
    <row r="842" spans="1:2" x14ac:dyDescent="0.25">
      <c r="A842" s="52" t="s">
        <v>95</v>
      </c>
      <c r="B842" s="90" t="s">
        <v>6491</v>
      </c>
    </row>
    <row r="843" spans="1:2" x14ac:dyDescent="0.25">
      <c r="A843" s="52" t="s">
        <v>95</v>
      </c>
      <c r="B843" s="90" t="s">
        <v>6491</v>
      </c>
    </row>
    <row r="844" spans="1:2" x14ac:dyDescent="0.25">
      <c r="A844" s="52" t="s">
        <v>95</v>
      </c>
      <c r="B844" s="90" t="s">
        <v>6492</v>
      </c>
    </row>
    <row r="845" spans="1:2" x14ac:dyDescent="0.25">
      <c r="A845" s="52" t="s">
        <v>95</v>
      </c>
      <c r="B845" s="90" t="s">
        <v>6493</v>
      </c>
    </row>
    <row r="846" spans="1:2" x14ac:dyDescent="0.25">
      <c r="A846" s="52" t="s">
        <v>95</v>
      </c>
      <c r="B846" s="90" t="s">
        <v>6494</v>
      </c>
    </row>
    <row r="847" spans="1:2" x14ac:dyDescent="0.25">
      <c r="A847" s="52" t="s">
        <v>95</v>
      </c>
      <c r="B847" s="90" t="s">
        <v>6495</v>
      </c>
    </row>
    <row r="848" spans="1:2" x14ac:dyDescent="0.25">
      <c r="A848" s="52" t="s">
        <v>95</v>
      </c>
      <c r="B848" s="90" t="s">
        <v>6496</v>
      </c>
    </row>
    <row r="849" spans="1:2" x14ac:dyDescent="0.25">
      <c r="A849" s="52" t="s">
        <v>95</v>
      </c>
      <c r="B849" s="90" t="s">
        <v>6497</v>
      </c>
    </row>
    <row r="850" spans="1:2" x14ac:dyDescent="0.25">
      <c r="A850" s="52" t="s">
        <v>95</v>
      </c>
      <c r="B850" s="90" t="s">
        <v>6498</v>
      </c>
    </row>
    <row r="851" spans="1:2" x14ac:dyDescent="0.25">
      <c r="A851" s="52" t="s">
        <v>95</v>
      </c>
      <c r="B851" s="90" t="s">
        <v>6499</v>
      </c>
    </row>
    <row r="852" spans="1:2" x14ac:dyDescent="0.25">
      <c r="A852" s="52" t="s">
        <v>95</v>
      </c>
      <c r="B852" s="90" t="s">
        <v>6500</v>
      </c>
    </row>
    <row r="853" spans="1:2" x14ac:dyDescent="0.25">
      <c r="A853" s="52" t="s">
        <v>95</v>
      </c>
      <c r="B853" s="90" t="s">
        <v>6501</v>
      </c>
    </row>
    <row r="854" spans="1:2" x14ac:dyDescent="0.25">
      <c r="A854" s="52" t="s">
        <v>95</v>
      </c>
      <c r="B854" s="90" t="s">
        <v>6502</v>
      </c>
    </row>
    <row r="855" spans="1:2" x14ac:dyDescent="0.25">
      <c r="A855" s="52" t="s">
        <v>95</v>
      </c>
      <c r="B855" s="90" t="s">
        <v>6503</v>
      </c>
    </row>
    <row r="856" spans="1:2" x14ac:dyDescent="0.25">
      <c r="A856" s="52" t="s">
        <v>95</v>
      </c>
      <c r="B856" s="90" t="s">
        <v>6504</v>
      </c>
    </row>
    <row r="857" spans="1:2" x14ac:dyDescent="0.25">
      <c r="A857" s="52" t="s">
        <v>95</v>
      </c>
      <c r="B857" s="90" t="s">
        <v>6505</v>
      </c>
    </row>
    <row r="858" spans="1:2" x14ac:dyDescent="0.25">
      <c r="A858" s="52" t="s">
        <v>95</v>
      </c>
      <c r="B858" s="90" t="s">
        <v>6506</v>
      </c>
    </row>
    <row r="859" spans="1:2" x14ac:dyDescent="0.25">
      <c r="A859" s="52" t="s">
        <v>95</v>
      </c>
      <c r="B859" s="90" t="s">
        <v>6507</v>
      </c>
    </row>
    <row r="860" spans="1:2" x14ac:dyDescent="0.25">
      <c r="A860" s="52" t="s">
        <v>95</v>
      </c>
      <c r="B860" s="90" t="s">
        <v>6508</v>
      </c>
    </row>
    <row r="861" spans="1:2" x14ac:dyDescent="0.25">
      <c r="A861" s="52" t="s">
        <v>95</v>
      </c>
      <c r="B861" s="90" t="s">
        <v>6509</v>
      </c>
    </row>
    <row r="862" spans="1:2" x14ac:dyDescent="0.25">
      <c r="A862" s="52" t="s">
        <v>95</v>
      </c>
      <c r="B862" s="90" t="s">
        <v>6510</v>
      </c>
    </row>
    <row r="863" spans="1:2" x14ac:dyDescent="0.25">
      <c r="A863" s="52" t="s">
        <v>95</v>
      </c>
      <c r="B863" s="90" t="s">
        <v>6511</v>
      </c>
    </row>
    <row r="864" spans="1:2" x14ac:dyDescent="0.25">
      <c r="A864" s="52" t="s">
        <v>95</v>
      </c>
      <c r="B864" s="90" t="s">
        <v>6512</v>
      </c>
    </row>
    <row r="865" spans="1:2" x14ac:dyDescent="0.25">
      <c r="A865" s="52" t="s">
        <v>95</v>
      </c>
      <c r="B865" s="90" t="s">
        <v>6513</v>
      </c>
    </row>
    <row r="866" spans="1:2" x14ac:dyDescent="0.25">
      <c r="A866" s="52" t="s">
        <v>95</v>
      </c>
      <c r="B866" s="90" t="s">
        <v>6514</v>
      </c>
    </row>
    <row r="867" spans="1:2" x14ac:dyDescent="0.25">
      <c r="A867" s="52" t="s">
        <v>95</v>
      </c>
      <c r="B867" s="90" t="s">
        <v>6515</v>
      </c>
    </row>
    <row r="868" spans="1:2" x14ac:dyDescent="0.25">
      <c r="A868" s="52" t="s">
        <v>95</v>
      </c>
      <c r="B868" s="90" t="s">
        <v>6516</v>
      </c>
    </row>
    <row r="869" spans="1:2" x14ac:dyDescent="0.25">
      <c r="A869" s="52" t="s">
        <v>95</v>
      </c>
      <c r="B869" s="90" t="s">
        <v>6517</v>
      </c>
    </row>
    <row r="870" spans="1:2" x14ac:dyDescent="0.25">
      <c r="A870" s="52" t="s">
        <v>95</v>
      </c>
      <c r="B870" s="90" t="s">
        <v>6518</v>
      </c>
    </row>
    <row r="871" spans="1:2" x14ac:dyDescent="0.25">
      <c r="A871" s="52" t="s">
        <v>95</v>
      </c>
      <c r="B871" s="90" t="s">
        <v>6519</v>
      </c>
    </row>
    <row r="872" spans="1:2" x14ac:dyDescent="0.25">
      <c r="A872" s="52" t="s">
        <v>95</v>
      </c>
      <c r="B872" s="90" t="s">
        <v>6520</v>
      </c>
    </row>
    <row r="873" spans="1:2" x14ac:dyDescent="0.25">
      <c r="A873" s="52" t="s">
        <v>95</v>
      </c>
      <c r="B873" s="90" t="s">
        <v>6521</v>
      </c>
    </row>
    <row r="874" spans="1:2" x14ac:dyDescent="0.25">
      <c r="A874" s="52" t="s">
        <v>95</v>
      </c>
      <c r="B874" s="90" t="s">
        <v>6522</v>
      </c>
    </row>
    <row r="875" spans="1:2" x14ac:dyDescent="0.25">
      <c r="A875" s="52" t="s">
        <v>95</v>
      </c>
      <c r="B875" s="90" t="s">
        <v>6523</v>
      </c>
    </row>
    <row r="876" spans="1:2" x14ac:dyDescent="0.25">
      <c r="A876" s="52" t="s">
        <v>95</v>
      </c>
      <c r="B876" s="90" t="s">
        <v>6524</v>
      </c>
    </row>
    <row r="877" spans="1:2" x14ac:dyDescent="0.25">
      <c r="A877" s="52" t="s">
        <v>95</v>
      </c>
      <c r="B877" s="90" t="s">
        <v>6525</v>
      </c>
    </row>
    <row r="878" spans="1:2" x14ac:dyDescent="0.25">
      <c r="A878" s="52" t="s">
        <v>95</v>
      </c>
      <c r="B878" s="90" t="s">
        <v>6526</v>
      </c>
    </row>
    <row r="879" spans="1:2" x14ac:dyDescent="0.25">
      <c r="A879" s="52" t="s">
        <v>95</v>
      </c>
      <c r="B879" s="90" t="s">
        <v>6527</v>
      </c>
    </row>
    <row r="880" spans="1:2" x14ac:dyDescent="0.25">
      <c r="A880" s="52" t="s">
        <v>95</v>
      </c>
      <c r="B880" s="90" t="s">
        <v>6528</v>
      </c>
    </row>
    <row r="881" spans="1:2" x14ac:dyDescent="0.25">
      <c r="A881" s="52" t="s">
        <v>95</v>
      </c>
      <c r="B881" s="90" t="s">
        <v>6529</v>
      </c>
    </row>
    <row r="882" spans="1:2" x14ac:dyDescent="0.25">
      <c r="A882" s="52" t="s">
        <v>95</v>
      </c>
      <c r="B882" s="90" t="s">
        <v>6530</v>
      </c>
    </row>
    <row r="883" spans="1:2" x14ac:dyDescent="0.25">
      <c r="A883" s="52" t="s">
        <v>95</v>
      </c>
      <c r="B883" s="90" t="s">
        <v>6531</v>
      </c>
    </row>
    <row r="884" spans="1:2" x14ac:dyDescent="0.25">
      <c r="A884" s="52" t="s">
        <v>95</v>
      </c>
      <c r="B884" s="90" t="s">
        <v>6532</v>
      </c>
    </row>
    <row r="885" spans="1:2" x14ac:dyDescent="0.25">
      <c r="A885" s="52" t="s">
        <v>95</v>
      </c>
      <c r="B885" s="90" t="s">
        <v>6533</v>
      </c>
    </row>
    <row r="886" spans="1:2" x14ac:dyDescent="0.25">
      <c r="A886" s="52" t="s">
        <v>95</v>
      </c>
      <c r="B886" s="90" t="s">
        <v>6534</v>
      </c>
    </row>
    <row r="887" spans="1:2" x14ac:dyDescent="0.25">
      <c r="A887" s="52" t="s">
        <v>95</v>
      </c>
      <c r="B887" s="90" t="s">
        <v>6535</v>
      </c>
    </row>
    <row r="888" spans="1:2" x14ac:dyDescent="0.25">
      <c r="A888" s="52" t="s">
        <v>95</v>
      </c>
      <c r="B888" s="90" t="s">
        <v>6536</v>
      </c>
    </row>
    <row r="889" spans="1:2" x14ac:dyDescent="0.25">
      <c r="A889" s="52" t="s">
        <v>95</v>
      </c>
      <c r="B889" s="90" t="s">
        <v>6537</v>
      </c>
    </row>
    <row r="890" spans="1:2" x14ac:dyDescent="0.25">
      <c r="A890" s="52" t="s">
        <v>95</v>
      </c>
      <c r="B890" s="90" t="s">
        <v>6538</v>
      </c>
    </row>
    <row r="891" spans="1:2" x14ac:dyDescent="0.25">
      <c r="A891" s="52" t="s">
        <v>95</v>
      </c>
      <c r="B891" s="90" t="s">
        <v>6539</v>
      </c>
    </row>
    <row r="892" spans="1:2" x14ac:dyDescent="0.25">
      <c r="A892" s="52" t="s">
        <v>95</v>
      </c>
      <c r="B892" s="90" t="s">
        <v>6540</v>
      </c>
    </row>
    <row r="893" spans="1:2" x14ac:dyDescent="0.25">
      <c r="A893" s="52" t="s">
        <v>95</v>
      </c>
      <c r="B893" s="90" t="s">
        <v>6541</v>
      </c>
    </row>
    <row r="894" spans="1:2" x14ac:dyDescent="0.25">
      <c r="A894" s="52" t="s">
        <v>95</v>
      </c>
      <c r="B894" s="90" t="s">
        <v>6542</v>
      </c>
    </row>
    <row r="895" spans="1:2" x14ac:dyDescent="0.25">
      <c r="A895" s="52" t="s">
        <v>95</v>
      </c>
      <c r="B895" s="90" t="s">
        <v>6543</v>
      </c>
    </row>
    <row r="896" spans="1:2" x14ac:dyDescent="0.25">
      <c r="A896" s="52" t="s">
        <v>95</v>
      </c>
      <c r="B896" s="90" t="s">
        <v>6544</v>
      </c>
    </row>
    <row r="897" spans="1:2" x14ac:dyDescent="0.25">
      <c r="A897" s="52" t="s">
        <v>95</v>
      </c>
      <c r="B897" s="90" t="s">
        <v>6545</v>
      </c>
    </row>
    <row r="898" spans="1:2" x14ac:dyDescent="0.25">
      <c r="A898" s="52" t="s">
        <v>95</v>
      </c>
      <c r="B898" s="90" t="s">
        <v>6546</v>
      </c>
    </row>
    <row r="899" spans="1:2" x14ac:dyDescent="0.25">
      <c r="A899" s="52" t="s">
        <v>95</v>
      </c>
      <c r="B899" s="90" t="s">
        <v>6547</v>
      </c>
    </row>
    <row r="900" spans="1:2" x14ac:dyDescent="0.25">
      <c r="A900" s="52" t="s">
        <v>95</v>
      </c>
      <c r="B900" s="90" t="s">
        <v>6548</v>
      </c>
    </row>
    <row r="901" spans="1:2" x14ac:dyDescent="0.25">
      <c r="A901" s="52" t="s">
        <v>95</v>
      </c>
      <c r="B901" s="90" t="s">
        <v>6549</v>
      </c>
    </row>
    <row r="902" spans="1:2" x14ac:dyDescent="0.25">
      <c r="A902" s="52" t="s">
        <v>95</v>
      </c>
      <c r="B902" s="90" t="s">
        <v>6550</v>
      </c>
    </row>
    <row r="903" spans="1:2" x14ac:dyDescent="0.25">
      <c r="A903" s="52" t="s">
        <v>95</v>
      </c>
      <c r="B903" s="90" t="s">
        <v>6551</v>
      </c>
    </row>
    <row r="904" spans="1:2" x14ac:dyDescent="0.25">
      <c r="A904" s="52" t="s">
        <v>95</v>
      </c>
      <c r="B904" s="90" t="s">
        <v>6552</v>
      </c>
    </row>
    <row r="905" spans="1:2" x14ac:dyDescent="0.25">
      <c r="A905" s="52" t="s">
        <v>95</v>
      </c>
      <c r="B905" s="90" t="s">
        <v>6553</v>
      </c>
    </row>
    <row r="906" spans="1:2" x14ac:dyDescent="0.25">
      <c r="A906" s="52" t="s">
        <v>95</v>
      </c>
      <c r="B906" s="90" t="s">
        <v>5774</v>
      </c>
    </row>
    <row r="907" spans="1:2" x14ac:dyDescent="0.25">
      <c r="A907" s="52" t="s">
        <v>95</v>
      </c>
      <c r="B907" s="90" t="s">
        <v>6554</v>
      </c>
    </row>
    <row r="908" spans="1:2" x14ac:dyDescent="0.25">
      <c r="A908" s="52" t="s">
        <v>95</v>
      </c>
      <c r="B908" s="90" t="s">
        <v>6555</v>
      </c>
    </row>
    <row r="909" spans="1:2" x14ac:dyDescent="0.25">
      <c r="A909" s="52" t="s">
        <v>95</v>
      </c>
      <c r="B909" s="90" t="s">
        <v>6556</v>
      </c>
    </row>
    <row r="910" spans="1:2" x14ac:dyDescent="0.25">
      <c r="A910" s="52" t="s">
        <v>95</v>
      </c>
      <c r="B910" s="90" t="s">
        <v>6557</v>
      </c>
    </row>
    <row r="911" spans="1:2" x14ac:dyDescent="0.25">
      <c r="A911" s="52" t="s">
        <v>95</v>
      </c>
      <c r="B911" s="90" t="s">
        <v>6558</v>
      </c>
    </row>
    <row r="912" spans="1:2" x14ac:dyDescent="0.25">
      <c r="A912" s="52" t="s">
        <v>95</v>
      </c>
      <c r="B912" s="90" t="s">
        <v>6559</v>
      </c>
    </row>
    <row r="913" spans="1:2" x14ac:dyDescent="0.25">
      <c r="A913" s="52" t="s">
        <v>95</v>
      </c>
      <c r="B913" s="90" t="s">
        <v>6560</v>
      </c>
    </row>
    <row r="914" spans="1:2" x14ac:dyDescent="0.25">
      <c r="A914" s="52" t="s">
        <v>95</v>
      </c>
      <c r="B914" s="90" t="s">
        <v>6561</v>
      </c>
    </row>
    <row r="915" spans="1:2" x14ac:dyDescent="0.25">
      <c r="A915" s="52" t="s">
        <v>95</v>
      </c>
      <c r="B915" s="90" t="s">
        <v>6562</v>
      </c>
    </row>
    <row r="916" spans="1:2" x14ac:dyDescent="0.25">
      <c r="A916" s="52" t="s">
        <v>95</v>
      </c>
      <c r="B916" s="90" t="s">
        <v>6563</v>
      </c>
    </row>
    <row r="917" spans="1:2" x14ac:dyDescent="0.25">
      <c r="A917" s="52" t="s">
        <v>95</v>
      </c>
      <c r="B917" s="90" t="s">
        <v>6564</v>
      </c>
    </row>
    <row r="918" spans="1:2" x14ac:dyDescent="0.25">
      <c r="A918" s="52" t="s">
        <v>95</v>
      </c>
      <c r="B918" s="90" t="s">
        <v>6565</v>
      </c>
    </row>
    <row r="919" spans="1:2" x14ac:dyDescent="0.25">
      <c r="A919" s="52" t="s">
        <v>95</v>
      </c>
      <c r="B919" s="90" t="s">
        <v>6566</v>
      </c>
    </row>
    <row r="920" spans="1:2" x14ac:dyDescent="0.25">
      <c r="A920" s="52" t="s">
        <v>95</v>
      </c>
      <c r="B920" s="90" t="s">
        <v>6567</v>
      </c>
    </row>
    <row r="921" spans="1:2" x14ac:dyDescent="0.25">
      <c r="A921" s="52" t="s">
        <v>95</v>
      </c>
      <c r="B921" s="90" t="s">
        <v>6568</v>
      </c>
    </row>
    <row r="922" spans="1:2" x14ac:dyDescent="0.25">
      <c r="A922" s="52" t="s">
        <v>95</v>
      </c>
      <c r="B922" s="90" t="s">
        <v>6569</v>
      </c>
    </row>
    <row r="923" spans="1:2" x14ac:dyDescent="0.25">
      <c r="A923" s="52" t="s">
        <v>95</v>
      </c>
      <c r="B923" s="90" t="s">
        <v>6570</v>
      </c>
    </row>
    <row r="924" spans="1:2" x14ac:dyDescent="0.25">
      <c r="A924" s="52" t="s">
        <v>95</v>
      </c>
      <c r="B924" s="90" t="s">
        <v>6571</v>
      </c>
    </row>
    <row r="925" spans="1:2" x14ac:dyDescent="0.25">
      <c r="A925" s="52" t="s">
        <v>95</v>
      </c>
      <c r="B925" s="90" t="s">
        <v>6572</v>
      </c>
    </row>
    <row r="926" spans="1:2" x14ac:dyDescent="0.25">
      <c r="A926" s="52" t="s">
        <v>95</v>
      </c>
      <c r="B926" s="90" t="s">
        <v>6573</v>
      </c>
    </row>
    <row r="927" spans="1:2" x14ac:dyDescent="0.25">
      <c r="A927" s="52" t="s">
        <v>95</v>
      </c>
      <c r="B927" s="90" t="s">
        <v>6574</v>
      </c>
    </row>
    <row r="928" spans="1:2" x14ac:dyDescent="0.25">
      <c r="A928" s="52" t="s">
        <v>95</v>
      </c>
      <c r="B928" s="90" t="s">
        <v>6575</v>
      </c>
    </row>
    <row r="929" spans="1:2" x14ac:dyDescent="0.25">
      <c r="A929" s="52" t="s">
        <v>95</v>
      </c>
      <c r="B929" s="90" t="s">
        <v>6576</v>
      </c>
    </row>
    <row r="930" spans="1:2" x14ac:dyDescent="0.25">
      <c r="A930" s="52" t="s">
        <v>95</v>
      </c>
      <c r="B930" s="90" t="s">
        <v>6577</v>
      </c>
    </row>
    <row r="931" spans="1:2" x14ac:dyDescent="0.25">
      <c r="A931" s="52" t="s">
        <v>95</v>
      </c>
      <c r="B931" s="90" t="s">
        <v>6578</v>
      </c>
    </row>
    <row r="932" spans="1:2" x14ac:dyDescent="0.25">
      <c r="A932" s="52" t="s">
        <v>95</v>
      </c>
      <c r="B932" s="90" t="s">
        <v>6579</v>
      </c>
    </row>
    <row r="933" spans="1:2" x14ac:dyDescent="0.25">
      <c r="A933" s="52" t="s">
        <v>95</v>
      </c>
      <c r="B933" s="90" t="s">
        <v>6580</v>
      </c>
    </row>
    <row r="934" spans="1:2" x14ac:dyDescent="0.25">
      <c r="A934" s="52" t="s">
        <v>95</v>
      </c>
      <c r="B934" s="90" t="s">
        <v>6581</v>
      </c>
    </row>
    <row r="935" spans="1:2" x14ac:dyDescent="0.25">
      <c r="A935" s="52" t="s">
        <v>95</v>
      </c>
      <c r="B935" s="90" t="s">
        <v>6582</v>
      </c>
    </row>
    <row r="936" spans="1:2" x14ac:dyDescent="0.25">
      <c r="A936" s="52" t="s">
        <v>95</v>
      </c>
      <c r="B936" s="90" t="s">
        <v>6583</v>
      </c>
    </row>
    <row r="937" spans="1:2" x14ac:dyDescent="0.25">
      <c r="A937" s="52" t="s">
        <v>95</v>
      </c>
      <c r="B937" s="90" t="s">
        <v>6584</v>
      </c>
    </row>
    <row r="938" spans="1:2" x14ac:dyDescent="0.25">
      <c r="A938" s="52" t="s">
        <v>95</v>
      </c>
      <c r="B938" s="90" t="s">
        <v>6585</v>
      </c>
    </row>
    <row r="939" spans="1:2" x14ac:dyDescent="0.25">
      <c r="A939" s="52" t="s">
        <v>95</v>
      </c>
      <c r="B939" s="90" t="s">
        <v>6586</v>
      </c>
    </row>
    <row r="940" spans="1:2" x14ac:dyDescent="0.25">
      <c r="A940" s="52" t="s">
        <v>95</v>
      </c>
      <c r="B940" s="90" t="s">
        <v>6587</v>
      </c>
    </row>
    <row r="941" spans="1:2" x14ac:dyDescent="0.25">
      <c r="A941" s="52" t="s">
        <v>95</v>
      </c>
      <c r="B941" s="90" t="s">
        <v>6588</v>
      </c>
    </row>
    <row r="942" spans="1:2" x14ac:dyDescent="0.25">
      <c r="A942" s="52" t="s">
        <v>95</v>
      </c>
      <c r="B942" s="90" t="s">
        <v>6589</v>
      </c>
    </row>
    <row r="943" spans="1:2" x14ac:dyDescent="0.25">
      <c r="A943" s="52" t="s">
        <v>95</v>
      </c>
      <c r="B943" s="90" t="s">
        <v>104</v>
      </c>
    </row>
    <row r="944" spans="1:2" x14ac:dyDescent="0.25">
      <c r="A944" s="52" t="s">
        <v>95</v>
      </c>
      <c r="B944" s="90" t="s">
        <v>6590</v>
      </c>
    </row>
    <row r="945" spans="1:2" x14ac:dyDescent="0.25">
      <c r="A945" s="52" t="s">
        <v>95</v>
      </c>
      <c r="B945" s="90" t="s">
        <v>6591</v>
      </c>
    </row>
    <row r="946" spans="1:2" x14ac:dyDescent="0.25">
      <c r="A946" s="52" t="s">
        <v>95</v>
      </c>
      <c r="B946" s="90" t="s">
        <v>6592</v>
      </c>
    </row>
    <row r="947" spans="1:2" x14ac:dyDescent="0.25">
      <c r="A947" s="52" t="s">
        <v>95</v>
      </c>
      <c r="B947" s="90" t="s">
        <v>6593</v>
      </c>
    </row>
    <row r="948" spans="1:2" x14ac:dyDescent="0.25">
      <c r="A948" s="52" t="s">
        <v>95</v>
      </c>
      <c r="B948" s="90" t="s">
        <v>6594</v>
      </c>
    </row>
    <row r="949" spans="1:2" x14ac:dyDescent="0.25">
      <c r="A949" s="52" t="s">
        <v>95</v>
      </c>
      <c r="B949" s="90" t="s">
        <v>5775</v>
      </c>
    </row>
    <row r="950" spans="1:2" x14ac:dyDescent="0.25">
      <c r="A950" s="52" t="s">
        <v>95</v>
      </c>
      <c r="B950" s="90" t="s">
        <v>6595</v>
      </c>
    </row>
    <row r="951" spans="1:2" x14ac:dyDescent="0.25">
      <c r="A951" s="52" t="s">
        <v>95</v>
      </c>
      <c r="B951" s="90" t="s">
        <v>6596</v>
      </c>
    </row>
    <row r="952" spans="1:2" x14ac:dyDescent="0.25">
      <c r="A952" s="52" t="s">
        <v>95</v>
      </c>
      <c r="B952" s="90" t="s">
        <v>6597</v>
      </c>
    </row>
    <row r="953" spans="1:2" x14ac:dyDescent="0.25">
      <c r="A953" s="52" t="s">
        <v>95</v>
      </c>
      <c r="B953" s="90" t="s">
        <v>6598</v>
      </c>
    </row>
    <row r="954" spans="1:2" x14ac:dyDescent="0.25">
      <c r="A954" s="52" t="s">
        <v>95</v>
      </c>
      <c r="B954" s="90" t="s">
        <v>6599</v>
      </c>
    </row>
    <row r="955" spans="1:2" x14ac:dyDescent="0.25">
      <c r="A955" s="52" t="s">
        <v>95</v>
      </c>
      <c r="B955" s="90" t="s">
        <v>6600</v>
      </c>
    </row>
    <row r="956" spans="1:2" x14ac:dyDescent="0.25">
      <c r="A956" s="52" t="s">
        <v>95</v>
      </c>
      <c r="B956" s="90" t="s">
        <v>6601</v>
      </c>
    </row>
    <row r="957" spans="1:2" x14ac:dyDescent="0.25">
      <c r="A957" s="52" t="s">
        <v>95</v>
      </c>
      <c r="B957" s="90" t="s">
        <v>6602</v>
      </c>
    </row>
    <row r="958" spans="1:2" x14ac:dyDescent="0.25">
      <c r="A958" s="52" t="s">
        <v>95</v>
      </c>
      <c r="B958" s="90" t="s">
        <v>6603</v>
      </c>
    </row>
    <row r="959" spans="1:2" x14ac:dyDescent="0.25">
      <c r="A959" s="52" t="s">
        <v>95</v>
      </c>
      <c r="B959" s="90" t="s">
        <v>6604</v>
      </c>
    </row>
    <row r="960" spans="1:2" x14ac:dyDescent="0.25">
      <c r="A960" s="52" t="s">
        <v>95</v>
      </c>
      <c r="B960" s="90" t="s">
        <v>6605</v>
      </c>
    </row>
    <row r="961" spans="1:2" x14ac:dyDescent="0.25">
      <c r="A961" s="52" t="s">
        <v>95</v>
      </c>
      <c r="B961" s="90" t="s">
        <v>6606</v>
      </c>
    </row>
    <row r="962" spans="1:2" x14ac:dyDescent="0.25">
      <c r="A962" s="52" t="s">
        <v>95</v>
      </c>
      <c r="B962" s="90" t="s">
        <v>6607</v>
      </c>
    </row>
    <row r="963" spans="1:2" x14ac:dyDescent="0.25">
      <c r="A963" s="52" t="s">
        <v>95</v>
      </c>
      <c r="B963" s="90" t="s">
        <v>6608</v>
      </c>
    </row>
    <row r="964" spans="1:2" x14ac:dyDescent="0.25">
      <c r="A964" s="52" t="s">
        <v>95</v>
      </c>
      <c r="B964" s="90" t="s">
        <v>74</v>
      </c>
    </row>
    <row r="965" spans="1:2" x14ac:dyDescent="0.25">
      <c r="A965" s="52" t="s">
        <v>95</v>
      </c>
      <c r="B965" s="90" t="s">
        <v>6609</v>
      </c>
    </row>
    <row r="966" spans="1:2" x14ac:dyDescent="0.25">
      <c r="A966" s="52" t="s">
        <v>95</v>
      </c>
      <c r="B966" s="90" t="s">
        <v>6610</v>
      </c>
    </row>
    <row r="967" spans="1:2" x14ac:dyDescent="0.25">
      <c r="A967" s="52" t="s">
        <v>95</v>
      </c>
      <c r="B967" s="90" t="s">
        <v>6611</v>
      </c>
    </row>
    <row r="968" spans="1:2" x14ac:dyDescent="0.25">
      <c r="A968" s="52" t="s">
        <v>95</v>
      </c>
      <c r="B968" s="90" t="s">
        <v>6612</v>
      </c>
    </row>
    <row r="969" spans="1:2" x14ac:dyDescent="0.25">
      <c r="A969" s="52" t="s">
        <v>95</v>
      </c>
      <c r="B969" s="90" t="s">
        <v>6613</v>
      </c>
    </row>
    <row r="970" spans="1:2" x14ac:dyDescent="0.25">
      <c r="A970" s="52" t="s">
        <v>95</v>
      </c>
      <c r="B970" s="90" t="s">
        <v>6614</v>
      </c>
    </row>
    <row r="971" spans="1:2" x14ac:dyDescent="0.25">
      <c r="A971" s="52" t="s">
        <v>95</v>
      </c>
      <c r="B971" s="90" t="s">
        <v>6615</v>
      </c>
    </row>
    <row r="972" spans="1:2" x14ac:dyDescent="0.25">
      <c r="A972" s="52" t="s">
        <v>95</v>
      </c>
      <c r="B972" s="90" t="s">
        <v>6616</v>
      </c>
    </row>
    <row r="973" spans="1:2" x14ac:dyDescent="0.25">
      <c r="A973" s="52" t="s">
        <v>95</v>
      </c>
      <c r="B973" s="90" t="s">
        <v>6617</v>
      </c>
    </row>
    <row r="974" spans="1:2" x14ac:dyDescent="0.25">
      <c r="A974" s="52" t="s">
        <v>95</v>
      </c>
      <c r="B974" s="90" t="s">
        <v>6618</v>
      </c>
    </row>
    <row r="975" spans="1:2" x14ac:dyDescent="0.25">
      <c r="A975" s="52" t="s">
        <v>95</v>
      </c>
      <c r="B975" s="90" t="s">
        <v>6619</v>
      </c>
    </row>
    <row r="976" spans="1:2" x14ac:dyDescent="0.25">
      <c r="A976" s="52" t="s">
        <v>95</v>
      </c>
      <c r="B976" s="90" t="s">
        <v>6620</v>
      </c>
    </row>
    <row r="977" spans="1:2" x14ac:dyDescent="0.25">
      <c r="A977" s="52" t="s">
        <v>95</v>
      </c>
      <c r="B977" s="90" t="s">
        <v>6621</v>
      </c>
    </row>
    <row r="978" spans="1:2" x14ac:dyDescent="0.25">
      <c r="A978" s="52" t="s">
        <v>95</v>
      </c>
      <c r="B978" s="90" t="s">
        <v>6622</v>
      </c>
    </row>
    <row r="979" spans="1:2" x14ac:dyDescent="0.25">
      <c r="A979" s="52" t="s">
        <v>95</v>
      </c>
      <c r="B979" s="90" t="s">
        <v>6623</v>
      </c>
    </row>
    <row r="980" spans="1:2" x14ac:dyDescent="0.25">
      <c r="A980" s="52" t="s">
        <v>95</v>
      </c>
      <c r="B980" s="90" t="s">
        <v>6624</v>
      </c>
    </row>
    <row r="981" spans="1:2" x14ac:dyDescent="0.25">
      <c r="A981" s="52" t="s">
        <v>95</v>
      </c>
      <c r="B981" s="90" t="s">
        <v>6625</v>
      </c>
    </row>
    <row r="982" spans="1:2" x14ac:dyDescent="0.25">
      <c r="A982" s="52" t="s">
        <v>95</v>
      </c>
      <c r="B982" s="90" t="s">
        <v>6626</v>
      </c>
    </row>
    <row r="983" spans="1:2" x14ac:dyDescent="0.25">
      <c r="A983" s="52" t="s">
        <v>95</v>
      </c>
      <c r="B983" s="90" t="s">
        <v>6627</v>
      </c>
    </row>
    <row r="984" spans="1:2" x14ac:dyDescent="0.25">
      <c r="A984" s="52" t="s">
        <v>95</v>
      </c>
      <c r="B984" s="90" t="s">
        <v>6628</v>
      </c>
    </row>
    <row r="985" spans="1:2" x14ac:dyDescent="0.25">
      <c r="A985" s="52" t="s">
        <v>95</v>
      </c>
      <c r="B985" s="90" t="s">
        <v>6629</v>
      </c>
    </row>
    <row r="986" spans="1:2" x14ac:dyDescent="0.25">
      <c r="A986" s="52" t="s">
        <v>95</v>
      </c>
      <c r="B986" s="90" t="s">
        <v>6630</v>
      </c>
    </row>
    <row r="987" spans="1:2" x14ac:dyDescent="0.25">
      <c r="A987" s="52" t="s">
        <v>95</v>
      </c>
      <c r="B987" s="90" t="s">
        <v>6631</v>
      </c>
    </row>
    <row r="988" spans="1:2" x14ac:dyDescent="0.25">
      <c r="A988" s="52" t="s">
        <v>95</v>
      </c>
      <c r="B988" s="90" t="s">
        <v>6632</v>
      </c>
    </row>
    <row r="989" spans="1:2" x14ac:dyDescent="0.25">
      <c r="A989" s="52" t="s">
        <v>95</v>
      </c>
      <c r="B989" s="90" t="s">
        <v>6633</v>
      </c>
    </row>
    <row r="990" spans="1:2" x14ac:dyDescent="0.25">
      <c r="A990" s="52" t="s">
        <v>95</v>
      </c>
      <c r="B990" s="90" t="s">
        <v>6634</v>
      </c>
    </row>
    <row r="991" spans="1:2" x14ac:dyDescent="0.25">
      <c r="A991" s="52" t="s">
        <v>95</v>
      </c>
      <c r="B991" s="90" t="s">
        <v>6635</v>
      </c>
    </row>
    <row r="992" spans="1:2" x14ac:dyDescent="0.25">
      <c r="A992" s="52" t="s">
        <v>95</v>
      </c>
      <c r="B992" s="90" t="s">
        <v>6636</v>
      </c>
    </row>
    <row r="993" spans="1:2" x14ac:dyDescent="0.25">
      <c r="A993" s="52" t="s">
        <v>95</v>
      </c>
      <c r="B993" s="90" t="s">
        <v>6637</v>
      </c>
    </row>
    <row r="994" spans="1:2" x14ac:dyDescent="0.25">
      <c r="A994" s="52" t="s">
        <v>95</v>
      </c>
      <c r="B994" s="90" t="s">
        <v>6638</v>
      </c>
    </row>
    <row r="995" spans="1:2" x14ac:dyDescent="0.25">
      <c r="A995" s="52" t="s">
        <v>95</v>
      </c>
      <c r="B995" s="90" t="s">
        <v>6639</v>
      </c>
    </row>
    <row r="996" spans="1:2" x14ac:dyDescent="0.25">
      <c r="A996" s="52" t="s">
        <v>95</v>
      </c>
      <c r="B996" s="90" t="s">
        <v>6640</v>
      </c>
    </row>
    <row r="997" spans="1:2" x14ac:dyDescent="0.25">
      <c r="A997" s="52" t="s">
        <v>95</v>
      </c>
      <c r="B997" s="90" t="s">
        <v>6641</v>
      </c>
    </row>
    <row r="998" spans="1:2" x14ac:dyDescent="0.25">
      <c r="A998" s="52" t="s">
        <v>95</v>
      </c>
      <c r="B998" s="90" t="s">
        <v>6642</v>
      </c>
    </row>
    <row r="999" spans="1:2" x14ac:dyDescent="0.25">
      <c r="A999" s="52" t="s">
        <v>95</v>
      </c>
      <c r="B999" s="90" t="s">
        <v>6643</v>
      </c>
    </row>
    <row r="1000" spans="1:2" x14ac:dyDescent="0.25">
      <c r="A1000" s="52" t="s">
        <v>95</v>
      </c>
      <c r="B1000" s="90" t="s">
        <v>6644</v>
      </c>
    </row>
    <row r="1001" spans="1:2" x14ac:dyDescent="0.25">
      <c r="A1001" s="52" t="s">
        <v>95</v>
      </c>
      <c r="B1001" s="90" t="s">
        <v>6645</v>
      </c>
    </row>
    <row r="1002" spans="1:2" x14ac:dyDescent="0.25">
      <c r="A1002" s="52" t="s">
        <v>95</v>
      </c>
      <c r="B1002" s="90" t="s">
        <v>6646</v>
      </c>
    </row>
    <row r="1003" spans="1:2" x14ac:dyDescent="0.25">
      <c r="A1003" s="52" t="s">
        <v>95</v>
      </c>
      <c r="B1003" s="90" t="s">
        <v>6647</v>
      </c>
    </row>
    <row r="1004" spans="1:2" x14ac:dyDescent="0.25">
      <c r="A1004" s="52" t="s">
        <v>95</v>
      </c>
      <c r="B1004" s="90" t="s">
        <v>6648</v>
      </c>
    </row>
    <row r="1005" spans="1:2" x14ac:dyDescent="0.25">
      <c r="A1005" s="52" t="s">
        <v>95</v>
      </c>
      <c r="B1005" s="90" t="s">
        <v>6649</v>
      </c>
    </row>
    <row r="1006" spans="1:2" x14ac:dyDescent="0.25">
      <c r="A1006" s="52" t="s">
        <v>95</v>
      </c>
      <c r="B1006" s="90" t="s">
        <v>6650</v>
      </c>
    </row>
    <row r="1007" spans="1:2" x14ac:dyDescent="0.25">
      <c r="A1007" s="52" t="s">
        <v>95</v>
      </c>
      <c r="B1007" s="90" t="s">
        <v>6651</v>
      </c>
    </row>
    <row r="1008" spans="1:2" x14ac:dyDescent="0.25">
      <c r="A1008" s="52" t="s">
        <v>95</v>
      </c>
      <c r="B1008" s="90" t="s">
        <v>6652</v>
      </c>
    </row>
    <row r="1009" spans="1:2" x14ac:dyDescent="0.25">
      <c r="A1009" s="52" t="s">
        <v>95</v>
      </c>
      <c r="B1009" s="90" t="s">
        <v>6653</v>
      </c>
    </row>
    <row r="1010" spans="1:2" x14ac:dyDescent="0.25">
      <c r="A1010" s="52" t="s">
        <v>95</v>
      </c>
      <c r="B1010" s="90" t="s">
        <v>6654</v>
      </c>
    </row>
    <row r="1011" spans="1:2" x14ac:dyDescent="0.25">
      <c r="A1011" s="52" t="s">
        <v>95</v>
      </c>
      <c r="B1011" s="90" t="s">
        <v>6655</v>
      </c>
    </row>
    <row r="1012" spans="1:2" x14ac:dyDescent="0.25">
      <c r="A1012" s="52" t="s">
        <v>95</v>
      </c>
      <c r="B1012" s="90" t="s">
        <v>6656</v>
      </c>
    </row>
    <row r="1013" spans="1:2" x14ac:dyDescent="0.25">
      <c r="A1013" s="52" t="s">
        <v>95</v>
      </c>
      <c r="B1013" s="90" t="s">
        <v>1754</v>
      </c>
    </row>
    <row r="1014" spans="1:2" x14ac:dyDescent="0.25">
      <c r="A1014" s="52" t="s">
        <v>95</v>
      </c>
      <c r="B1014" s="90" t="s">
        <v>6657</v>
      </c>
    </row>
    <row r="1015" spans="1:2" x14ac:dyDescent="0.25">
      <c r="A1015" s="52" t="s">
        <v>95</v>
      </c>
      <c r="B1015" s="90" t="s">
        <v>6658</v>
      </c>
    </row>
    <row r="1016" spans="1:2" x14ac:dyDescent="0.25">
      <c r="A1016" s="52" t="s">
        <v>95</v>
      </c>
      <c r="B1016" s="90" t="s">
        <v>6659</v>
      </c>
    </row>
    <row r="1017" spans="1:2" x14ac:dyDescent="0.25">
      <c r="A1017" s="52" t="s">
        <v>95</v>
      </c>
      <c r="B1017" s="90" t="s">
        <v>6660</v>
      </c>
    </row>
    <row r="1018" spans="1:2" x14ac:dyDescent="0.25">
      <c r="A1018" s="52" t="s">
        <v>95</v>
      </c>
      <c r="B1018" s="90" t="s">
        <v>6661</v>
      </c>
    </row>
    <row r="1019" spans="1:2" x14ac:dyDescent="0.25">
      <c r="A1019" s="52" t="s">
        <v>95</v>
      </c>
      <c r="B1019" s="90" t="s">
        <v>6662</v>
      </c>
    </row>
    <row r="1020" spans="1:2" x14ac:dyDescent="0.25">
      <c r="A1020" s="52" t="s">
        <v>95</v>
      </c>
      <c r="B1020" s="90" t="s">
        <v>6663</v>
      </c>
    </row>
    <row r="1021" spans="1:2" x14ac:dyDescent="0.25">
      <c r="A1021" s="52" t="s">
        <v>95</v>
      </c>
      <c r="B1021" s="90" t="s">
        <v>6664</v>
      </c>
    </row>
    <row r="1022" spans="1:2" x14ac:dyDescent="0.25">
      <c r="A1022" s="52" t="s">
        <v>95</v>
      </c>
      <c r="B1022" s="90" t="s">
        <v>6664</v>
      </c>
    </row>
    <row r="1023" spans="1:2" x14ac:dyDescent="0.25">
      <c r="A1023" s="52" t="s">
        <v>95</v>
      </c>
      <c r="B1023" s="90" t="s">
        <v>6665</v>
      </c>
    </row>
    <row r="1024" spans="1:2" x14ac:dyDescent="0.25">
      <c r="A1024" s="52" t="s">
        <v>95</v>
      </c>
      <c r="B1024" s="90" t="s">
        <v>6666</v>
      </c>
    </row>
    <row r="1025" spans="1:2" x14ac:dyDescent="0.25">
      <c r="A1025" s="52" t="s">
        <v>95</v>
      </c>
      <c r="B1025" s="90" t="s">
        <v>6667</v>
      </c>
    </row>
    <row r="1026" spans="1:2" x14ac:dyDescent="0.25">
      <c r="A1026" s="52" t="s">
        <v>95</v>
      </c>
      <c r="B1026" s="90" t="s">
        <v>6668</v>
      </c>
    </row>
    <row r="1027" spans="1:2" x14ac:dyDescent="0.25">
      <c r="A1027" s="52" t="s">
        <v>95</v>
      </c>
      <c r="B1027" s="90" t="s">
        <v>6669</v>
      </c>
    </row>
    <row r="1028" spans="1:2" x14ac:dyDescent="0.25">
      <c r="A1028" s="52" t="s">
        <v>95</v>
      </c>
      <c r="B1028" s="90" t="s">
        <v>6670</v>
      </c>
    </row>
    <row r="1029" spans="1:2" x14ac:dyDescent="0.25">
      <c r="A1029" s="52" t="s">
        <v>95</v>
      </c>
      <c r="B1029" s="90" t="s">
        <v>6671</v>
      </c>
    </row>
    <row r="1030" spans="1:2" x14ac:dyDescent="0.25">
      <c r="A1030" s="52" t="s">
        <v>95</v>
      </c>
      <c r="B1030" s="90" t="s">
        <v>6672</v>
      </c>
    </row>
    <row r="1031" spans="1:2" x14ac:dyDescent="0.25">
      <c r="A1031" s="52" t="s">
        <v>95</v>
      </c>
      <c r="B1031" s="90" t="s">
        <v>6673</v>
      </c>
    </row>
    <row r="1032" spans="1:2" x14ac:dyDescent="0.25">
      <c r="A1032" s="52" t="s">
        <v>95</v>
      </c>
      <c r="B1032" s="90" t="s">
        <v>6674</v>
      </c>
    </row>
    <row r="1033" spans="1:2" x14ac:dyDescent="0.25">
      <c r="A1033" s="52" t="s">
        <v>95</v>
      </c>
      <c r="B1033" s="90" t="s">
        <v>6675</v>
      </c>
    </row>
    <row r="1034" spans="1:2" x14ac:dyDescent="0.25">
      <c r="A1034" s="52" t="s">
        <v>95</v>
      </c>
      <c r="B1034" s="90" t="s">
        <v>6676</v>
      </c>
    </row>
    <row r="1035" spans="1:2" x14ac:dyDescent="0.25">
      <c r="A1035" s="52" t="s">
        <v>95</v>
      </c>
      <c r="B1035" s="90" t="s">
        <v>6677</v>
      </c>
    </row>
    <row r="1036" spans="1:2" x14ac:dyDescent="0.25">
      <c r="A1036" s="52" t="s">
        <v>95</v>
      </c>
      <c r="B1036" s="90" t="s">
        <v>6678</v>
      </c>
    </row>
    <row r="1037" spans="1:2" x14ac:dyDescent="0.25">
      <c r="A1037" s="52" t="s">
        <v>95</v>
      </c>
      <c r="B1037" s="90" t="s">
        <v>6679</v>
      </c>
    </row>
    <row r="1038" spans="1:2" x14ac:dyDescent="0.25">
      <c r="A1038" s="52" t="s">
        <v>95</v>
      </c>
      <c r="B1038" s="90" t="s">
        <v>6680</v>
      </c>
    </row>
    <row r="1039" spans="1:2" x14ac:dyDescent="0.25">
      <c r="A1039" s="52" t="s">
        <v>95</v>
      </c>
      <c r="B1039" s="90" t="s">
        <v>6681</v>
      </c>
    </row>
    <row r="1040" spans="1:2" x14ac:dyDescent="0.25">
      <c r="A1040" s="52" t="s">
        <v>95</v>
      </c>
      <c r="B1040" s="90" t="s">
        <v>6682</v>
      </c>
    </row>
    <row r="1041" spans="1:2" x14ac:dyDescent="0.25">
      <c r="A1041" s="52" t="s">
        <v>95</v>
      </c>
      <c r="B1041" s="90" t="s">
        <v>6683</v>
      </c>
    </row>
    <row r="1042" spans="1:2" x14ac:dyDescent="0.25">
      <c r="A1042" s="52" t="s">
        <v>95</v>
      </c>
      <c r="B1042" s="90" t="s">
        <v>6684</v>
      </c>
    </row>
    <row r="1043" spans="1:2" x14ac:dyDescent="0.25">
      <c r="A1043" s="52" t="s">
        <v>95</v>
      </c>
      <c r="B1043" s="90" t="s">
        <v>6685</v>
      </c>
    </row>
    <row r="1044" spans="1:2" x14ac:dyDescent="0.25">
      <c r="A1044" s="52" t="s">
        <v>95</v>
      </c>
      <c r="B1044" s="90" t="s">
        <v>6686</v>
      </c>
    </row>
    <row r="1045" spans="1:2" x14ac:dyDescent="0.25">
      <c r="A1045" s="52" t="s">
        <v>95</v>
      </c>
      <c r="B1045" s="90" t="s">
        <v>6687</v>
      </c>
    </row>
    <row r="1046" spans="1:2" x14ac:dyDescent="0.25">
      <c r="A1046" s="52" t="s">
        <v>95</v>
      </c>
      <c r="B1046" s="90" t="s">
        <v>6688</v>
      </c>
    </row>
    <row r="1047" spans="1:2" x14ac:dyDescent="0.25">
      <c r="A1047" s="52" t="s">
        <v>95</v>
      </c>
      <c r="B1047" s="90" t="s">
        <v>6689</v>
      </c>
    </row>
    <row r="1048" spans="1:2" x14ac:dyDescent="0.25">
      <c r="A1048" s="52" t="s">
        <v>95</v>
      </c>
      <c r="B1048" s="90" t="s">
        <v>6690</v>
      </c>
    </row>
    <row r="1049" spans="1:2" x14ac:dyDescent="0.25">
      <c r="A1049" s="52" t="s">
        <v>95</v>
      </c>
      <c r="B1049" s="90" t="s">
        <v>6691</v>
      </c>
    </row>
    <row r="1050" spans="1:2" x14ac:dyDescent="0.25">
      <c r="A1050" s="52" t="s">
        <v>95</v>
      </c>
      <c r="B1050" s="90" t="s">
        <v>6692</v>
      </c>
    </row>
    <row r="1051" spans="1:2" x14ac:dyDescent="0.25">
      <c r="A1051" s="52" t="s">
        <v>95</v>
      </c>
      <c r="B1051" s="90" t="s">
        <v>6693</v>
      </c>
    </row>
    <row r="1052" spans="1:2" x14ac:dyDescent="0.25">
      <c r="A1052" s="52" t="s">
        <v>95</v>
      </c>
      <c r="B1052" s="90" t="s">
        <v>6694</v>
      </c>
    </row>
    <row r="1053" spans="1:2" x14ac:dyDescent="0.25">
      <c r="A1053" s="52" t="s">
        <v>95</v>
      </c>
      <c r="B1053" s="90" t="s">
        <v>6695</v>
      </c>
    </row>
    <row r="1054" spans="1:2" x14ac:dyDescent="0.25">
      <c r="A1054" s="52" t="s">
        <v>95</v>
      </c>
      <c r="B1054" s="90" t="s">
        <v>6696</v>
      </c>
    </row>
    <row r="1055" spans="1:2" x14ac:dyDescent="0.25">
      <c r="A1055" s="52" t="s">
        <v>95</v>
      </c>
      <c r="B1055" s="90" t="s">
        <v>6697</v>
      </c>
    </row>
    <row r="1056" spans="1:2" x14ac:dyDescent="0.25">
      <c r="A1056" s="52" t="s">
        <v>95</v>
      </c>
      <c r="B1056" s="90" t="s">
        <v>6698</v>
      </c>
    </row>
    <row r="1057" spans="1:2" x14ac:dyDescent="0.25">
      <c r="A1057" s="52" t="s">
        <v>95</v>
      </c>
      <c r="B1057" s="90" t="s">
        <v>6699</v>
      </c>
    </row>
    <row r="1058" spans="1:2" x14ac:dyDescent="0.25">
      <c r="A1058" s="52" t="s">
        <v>95</v>
      </c>
      <c r="B1058" s="90" t="s">
        <v>6700</v>
      </c>
    </row>
    <row r="1059" spans="1:2" x14ac:dyDescent="0.25">
      <c r="A1059" s="52" t="s">
        <v>95</v>
      </c>
      <c r="B1059" s="90" t="s">
        <v>6701</v>
      </c>
    </row>
    <row r="1060" spans="1:2" x14ac:dyDescent="0.25">
      <c r="A1060" s="52" t="s">
        <v>95</v>
      </c>
      <c r="B1060" s="90" t="s">
        <v>6702</v>
      </c>
    </row>
    <row r="1061" spans="1:2" x14ac:dyDescent="0.25">
      <c r="A1061" s="52" t="s">
        <v>95</v>
      </c>
      <c r="B1061" s="90" t="s">
        <v>6703</v>
      </c>
    </row>
    <row r="1062" spans="1:2" x14ac:dyDescent="0.25">
      <c r="A1062" s="52" t="s">
        <v>95</v>
      </c>
      <c r="B1062" s="90" t="s">
        <v>6704</v>
      </c>
    </row>
    <row r="1063" spans="1:2" x14ac:dyDescent="0.25">
      <c r="A1063" s="52" t="s">
        <v>95</v>
      </c>
      <c r="B1063" s="90" t="s">
        <v>6705</v>
      </c>
    </row>
    <row r="1064" spans="1:2" x14ac:dyDescent="0.25">
      <c r="A1064" s="52" t="s">
        <v>95</v>
      </c>
      <c r="B1064" s="90" t="s">
        <v>6706</v>
      </c>
    </row>
    <row r="1065" spans="1:2" x14ac:dyDescent="0.25">
      <c r="A1065" s="52" t="s">
        <v>95</v>
      </c>
      <c r="B1065" s="90" t="s">
        <v>6707</v>
      </c>
    </row>
    <row r="1066" spans="1:2" x14ac:dyDescent="0.25">
      <c r="A1066" s="52" t="s">
        <v>95</v>
      </c>
      <c r="B1066" s="90" t="s">
        <v>6708</v>
      </c>
    </row>
    <row r="1067" spans="1:2" x14ac:dyDescent="0.25">
      <c r="A1067" s="52" t="s">
        <v>95</v>
      </c>
      <c r="B1067" s="90" t="s">
        <v>6709</v>
      </c>
    </row>
    <row r="1068" spans="1:2" x14ac:dyDescent="0.25">
      <c r="A1068" s="52" t="s">
        <v>95</v>
      </c>
      <c r="B1068" s="90" t="s">
        <v>6710</v>
      </c>
    </row>
    <row r="1069" spans="1:2" x14ac:dyDescent="0.25">
      <c r="A1069" s="52" t="s">
        <v>95</v>
      </c>
      <c r="B1069" s="90" t="s">
        <v>6711</v>
      </c>
    </row>
    <row r="1070" spans="1:2" x14ac:dyDescent="0.25">
      <c r="A1070" s="52" t="s">
        <v>95</v>
      </c>
      <c r="B1070" s="90" t="s">
        <v>6712</v>
      </c>
    </row>
    <row r="1071" spans="1:2" x14ac:dyDescent="0.25">
      <c r="A1071" s="52" t="s">
        <v>95</v>
      </c>
      <c r="B1071" s="90" t="s">
        <v>6713</v>
      </c>
    </row>
    <row r="1072" spans="1:2" x14ac:dyDescent="0.25">
      <c r="A1072" s="52" t="s">
        <v>95</v>
      </c>
      <c r="B1072" s="90" t="s">
        <v>6714</v>
      </c>
    </row>
    <row r="1073" spans="1:2" x14ac:dyDescent="0.25">
      <c r="A1073" s="52" t="s">
        <v>95</v>
      </c>
      <c r="B1073" s="90" t="s">
        <v>6715</v>
      </c>
    </row>
    <row r="1074" spans="1:2" x14ac:dyDescent="0.25">
      <c r="A1074" s="52" t="s">
        <v>95</v>
      </c>
      <c r="B1074" s="90" t="s">
        <v>6716</v>
      </c>
    </row>
    <row r="1075" spans="1:2" x14ac:dyDescent="0.25">
      <c r="A1075" s="52" t="s">
        <v>95</v>
      </c>
      <c r="B1075" s="90" t="s">
        <v>6717</v>
      </c>
    </row>
    <row r="1076" spans="1:2" x14ac:dyDescent="0.25">
      <c r="A1076" s="52" t="s">
        <v>95</v>
      </c>
      <c r="B1076" s="90" t="s">
        <v>6718</v>
      </c>
    </row>
    <row r="1077" spans="1:2" x14ac:dyDescent="0.25">
      <c r="A1077" s="52" t="s">
        <v>95</v>
      </c>
      <c r="B1077" s="90" t="s">
        <v>6719</v>
      </c>
    </row>
    <row r="1078" spans="1:2" x14ac:dyDescent="0.25">
      <c r="A1078" s="52" t="s">
        <v>95</v>
      </c>
      <c r="B1078" s="90" t="s">
        <v>6719</v>
      </c>
    </row>
    <row r="1079" spans="1:2" x14ac:dyDescent="0.25">
      <c r="A1079" s="52" t="s">
        <v>95</v>
      </c>
      <c r="B1079" s="90" t="s">
        <v>6720</v>
      </c>
    </row>
    <row r="1080" spans="1:2" x14ac:dyDescent="0.25">
      <c r="A1080" s="52" t="s">
        <v>95</v>
      </c>
      <c r="B1080" s="90" t="s">
        <v>6721</v>
      </c>
    </row>
    <row r="1081" spans="1:2" x14ac:dyDescent="0.25">
      <c r="A1081" s="52" t="s">
        <v>95</v>
      </c>
      <c r="B1081" s="90" t="s">
        <v>6722</v>
      </c>
    </row>
    <row r="1082" spans="1:2" x14ac:dyDescent="0.25">
      <c r="A1082" s="52" t="s">
        <v>95</v>
      </c>
      <c r="B1082" s="90" t="s">
        <v>6723</v>
      </c>
    </row>
    <row r="1083" spans="1:2" x14ac:dyDescent="0.25">
      <c r="A1083" s="52" t="s">
        <v>95</v>
      </c>
      <c r="B1083" s="90" t="s">
        <v>6724</v>
      </c>
    </row>
    <row r="1084" spans="1:2" x14ac:dyDescent="0.25">
      <c r="A1084" s="52" t="s">
        <v>95</v>
      </c>
      <c r="B1084" s="90" t="s">
        <v>6725</v>
      </c>
    </row>
    <row r="1085" spans="1:2" x14ac:dyDescent="0.25">
      <c r="A1085" s="52" t="s">
        <v>95</v>
      </c>
      <c r="B1085" s="90" t="s">
        <v>6726</v>
      </c>
    </row>
    <row r="1086" spans="1:2" x14ac:dyDescent="0.25">
      <c r="A1086" s="52" t="s">
        <v>95</v>
      </c>
      <c r="B1086" s="90" t="s">
        <v>6727</v>
      </c>
    </row>
    <row r="1087" spans="1:2" x14ac:dyDescent="0.25">
      <c r="A1087" s="52" t="s">
        <v>95</v>
      </c>
      <c r="B1087" s="90" t="s">
        <v>6728</v>
      </c>
    </row>
    <row r="1088" spans="1:2" x14ac:dyDescent="0.25">
      <c r="A1088" s="52" t="s">
        <v>95</v>
      </c>
      <c r="B1088" s="90" t="s">
        <v>6729</v>
      </c>
    </row>
    <row r="1089" spans="1:2" x14ac:dyDescent="0.25">
      <c r="A1089" s="52" t="s">
        <v>95</v>
      </c>
      <c r="B1089" s="90" t="s">
        <v>6730</v>
      </c>
    </row>
    <row r="1090" spans="1:2" x14ac:dyDescent="0.25">
      <c r="A1090" s="52" t="s">
        <v>95</v>
      </c>
      <c r="B1090" s="90" t="s">
        <v>6731</v>
      </c>
    </row>
    <row r="1091" spans="1:2" x14ac:dyDescent="0.25">
      <c r="A1091" s="52" t="s">
        <v>95</v>
      </c>
      <c r="B1091" s="90" t="s">
        <v>6732</v>
      </c>
    </row>
    <row r="1092" spans="1:2" x14ac:dyDescent="0.25">
      <c r="A1092" s="52" t="s">
        <v>95</v>
      </c>
      <c r="B1092" s="90" t="s">
        <v>6733</v>
      </c>
    </row>
    <row r="1093" spans="1:2" x14ac:dyDescent="0.25">
      <c r="A1093" s="52" t="s">
        <v>95</v>
      </c>
      <c r="B1093" s="90" t="s">
        <v>6734</v>
      </c>
    </row>
    <row r="1094" spans="1:2" x14ac:dyDescent="0.25">
      <c r="A1094" s="52" t="s">
        <v>95</v>
      </c>
      <c r="B1094" s="90" t="s">
        <v>6735</v>
      </c>
    </row>
    <row r="1095" spans="1:2" x14ac:dyDescent="0.25">
      <c r="A1095" s="52" t="s">
        <v>95</v>
      </c>
      <c r="B1095" s="90" t="s">
        <v>6736</v>
      </c>
    </row>
    <row r="1096" spans="1:2" x14ac:dyDescent="0.25">
      <c r="A1096" s="52" t="s">
        <v>95</v>
      </c>
      <c r="B1096" s="90" t="s">
        <v>6737</v>
      </c>
    </row>
    <row r="1097" spans="1:2" x14ac:dyDescent="0.25">
      <c r="A1097" s="52" t="s">
        <v>95</v>
      </c>
      <c r="B1097" s="90" t="s">
        <v>6738</v>
      </c>
    </row>
    <row r="1098" spans="1:2" x14ac:dyDescent="0.25">
      <c r="A1098" s="52" t="s">
        <v>95</v>
      </c>
      <c r="B1098" s="90" t="s">
        <v>6739</v>
      </c>
    </row>
    <row r="1099" spans="1:2" x14ac:dyDescent="0.25">
      <c r="A1099" s="52" t="s">
        <v>95</v>
      </c>
      <c r="B1099" s="90" t="s">
        <v>6740</v>
      </c>
    </row>
    <row r="1100" spans="1:2" x14ac:dyDescent="0.25">
      <c r="A1100" s="52" t="s">
        <v>95</v>
      </c>
      <c r="B1100" s="90" t="s">
        <v>6741</v>
      </c>
    </row>
    <row r="1101" spans="1:2" x14ac:dyDescent="0.25">
      <c r="A1101" s="52" t="s">
        <v>95</v>
      </c>
      <c r="B1101" s="90" t="s">
        <v>6742</v>
      </c>
    </row>
    <row r="1102" spans="1:2" x14ac:dyDescent="0.25">
      <c r="A1102" s="52" t="s">
        <v>95</v>
      </c>
      <c r="B1102" s="90" t="s">
        <v>6743</v>
      </c>
    </row>
    <row r="1103" spans="1:2" x14ac:dyDescent="0.25">
      <c r="A1103" s="52" t="s">
        <v>95</v>
      </c>
      <c r="B1103" s="90" t="s">
        <v>6744</v>
      </c>
    </row>
    <row r="1104" spans="1:2" x14ac:dyDescent="0.25">
      <c r="A1104" s="52" t="s">
        <v>95</v>
      </c>
      <c r="B1104" s="90" t="s">
        <v>6745</v>
      </c>
    </row>
    <row r="1105" spans="1:2" x14ac:dyDescent="0.25">
      <c r="A1105" s="52" t="s">
        <v>95</v>
      </c>
      <c r="B1105" s="90" t="s">
        <v>6746</v>
      </c>
    </row>
    <row r="1106" spans="1:2" x14ac:dyDescent="0.25">
      <c r="A1106" s="52" t="s">
        <v>95</v>
      </c>
      <c r="B1106" s="90" t="s">
        <v>6747</v>
      </c>
    </row>
    <row r="1107" spans="1:2" x14ac:dyDescent="0.25">
      <c r="A1107" s="52" t="s">
        <v>95</v>
      </c>
      <c r="B1107" s="90" t="s">
        <v>6748</v>
      </c>
    </row>
    <row r="1108" spans="1:2" x14ac:dyDescent="0.25">
      <c r="A1108" s="52" t="s">
        <v>95</v>
      </c>
      <c r="B1108" s="90" t="s">
        <v>6749</v>
      </c>
    </row>
    <row r="1109" spans="1:2" x14ac:dyDescent="0.25">
      <c r="A1109" s="52" t="s">
        <v>95</v>
      </c>
      <c r="B1109" s="90" t="s">
        <v>6750</v>
      </c>
    </row>
    <row r="1110" spans="1:2" x14ac:dyDescent="0.25">
      <c r="A1110" s="52" t="s">
        <v>95</v>
      </c>
      <c r="B1110" s="90" t="s">
        <v>6751</v>
      </c>
    </row>
    <row r="1111" spans="1:2" x14ac:dyDescent="0.25">
      <c r="A1111" s="52" t="s">
        <v>95</v>
      </c>
      <c r="B1111" s="90" t="s">
        <v>6752</v>
      </c>
    </row>
    <row r="1112" spans="1:2" x14ac:dyDescent="0.25">
      <c r="A1112" s="52" t="s">
        <v>95</v>
      </c>
      <c r="B1112" s="90" t="s">
        <v>6753</v>
      </c>
    </row>
    <row r="1113" spans="1:2" x14ac:dyDescent="0.25">
      <c r="A1113" s="52" t="s">
        <v>95</v>
      </c>
      <c r="B1113" s="90" t="s">
        <v>6754</v>
      </c>
    </row>
    <row r="1114" spans="1:2" x14ac:dyDescent="0.25">
      <c r="A1114" s="52" t="s">
        <v>95</v>
      </c>
      <c r="B1114" s="90" t="s">
        <v>6755</v>
      </c>
    </row>
    <row r="1115" spans="1:2" x14ac:dyDescent="0.25">
      <c r="A1115" s="52" t="s">
        <v>95</v>
      </c>
      <c r="B1115" s="90" t="s">
        <v>6756</v>
      </c>
    </row>
    <row r="1116" spans="1:2" x14ac:dyDescent="0.25">
      <c r="A1116" s="52" t="s">
        <v>95</v>
      </c>
      <c r="B1116" s="90" t="s">
        <v>6756</v>
      </c>
    </row>
    <row r="1117" spans="1:2" x14ac:dyDescent="0.25">
      <c r="A1117" s="52" t="s">
        <v>95</v>
      </c>
      <c r="B1117" s="90" t="s">
        <v>6757</v>
      </c>
    </row>
    <row r="1118" spans="1:2" x14ac:dyDescent="0.25">
      <c r="A1118" s="52" t="s">
        <v>95</v>
      </c>
      <c r="B1118" s="90" t="s">
        <v>6758</v>
      </c>
    </row>
    <row r="1119" spans="1:2" x14ac:dyDescent="0.25">
      <c r="A1119" s="52" t="s">
        <v>95</v>
      </c>
      <c r="B1119" s="90" t="s">
        <v>6759</v>
      </c>
    </row>
    <row r="1120" spans="1:2" x14ac:dyDescent="0.25">
      <c r="A1120" s="52" t="s">
        <v>95</v>
      </c>
      <c r="B1120" s="90" t="s">
        <v>6760</v>
      </c>
    </row>
    <row r="1121" spans="1:2" x14ac:dyDescent="0.25">
      <c r="A1121" s="52" t="s">
        <v>95</v>
      </c>
      <c r="B1121" s="90" t="s">
        <v>6761</v>
      </c>
    </row>
    <row r="1122" spans="1:2" x14ac:dyDescent="0.25">
      <c r="A1122" s="52" t="s">
        <v>95</v>
      </c>
      <c r="B1122" s="90" t="s">
        <v>6762</v>
      </c>
    </row>
    <row r="1123" spans="1:2" x14ac:dyDescent="0.25">
      <c r="A1123" s="52" t="s">
        <v>95</v>
      </c>
      <c r="B1123" s="90" t="s">
        <v>6763</v>
      </c>
    </row>
    <row r="1124" spans="1:2" x14ac:dyDescent="0.25">
      <c r="A1124" s="52" t="s">
        <v>95</v>
      </c>
      <c r="B1124" s="90" t="s">
        <v>2455</v>
      </c>
    </row>
    <row r="1125" spans="1:2" x14ac:dyDescent="0.25">
      <c r="A1125" s="52" t="s">
        <v>95</v>
      </c>
      <c r="B1125" s="90" t="s">
        <v>6764</v>
      </c>
    </row>
    <row r="1126" spans="1:2" x14ac:dyDescent="0.25">
      <c r="A1126" s="52" t="s">
        <v>95</v>
      </c>
      <c r="B1126" s="90" t="s">
        <v>6765</v>
      </c>
    </row>
    <row r="1127" spans="1:2" x14ac:dyDescent="0.25">
      <c r="A1127" s="52" t="s">
        <v>95</v>
      </c>
      <c r="B1127" s="90" t="s">
        <v>6766</v>
      </c>
    </row>
    <row r="1128" spans="1:2" x14ac:dyDescent="0.25">
      <c r="A1128" s="52" t="s">
        <v>95</v>
      </c>
      <c r="B1128" s="90" t="s">
        <v>6767</v>
      </c>
    </row>
    <row r="1129" spans="1:2" x14ac:dyDescent="0.25">
      <c r="A1129" s="52" t="s">
        <v>95</v>
      </c>
      <c r="B1129" s="90" t="s">
        <v>6768</v>
      </c>
    </row>
    <row r="1130" spans="1:2" x14ac:dyDescent="0.25">
      <c r="A1130" s="52" t="s">
        <v>95</v>
      </c>
      <c r="B1130" s="90" t="s">
        <v>6769</v>
      </c>
    </row>
    <row r="1131" spans="1:2" x14ac:dyDescent="0.25">
      <c r="A1131" s="52" t="s">
        <v>95</v>
      </c>
      <c r="B1131" s="90" t="s">
        <v>6770</v>
      </c>
    </row>
    <row r="1132" spans="1:2" x14ac:dyDescent="0.25">
      <c r="A1132" s="52" t="s">
        <v>95</v>
      </c>
      <c r="B1132" s="90" t="s">
        <v>6771</v>
      </c>
    </row>
    <row r="1133" spans="1:2" x14ac:dyDescent="0.25">
      <c r="A1133" s="52" t="s">
        <v>95</v>
      </c>
      <c r="B1133" s="90" t="s">
        <v>6772</v>
      </c>
    </row>
    <row r="1134" spans="1:2" x14ac:dyDescent="0.25">
      <c r="A1134" s="52" t="s">
        <v>95</v>
      </c>
      <c r="B1134" s="90" t="s">
        <v>6773</v>
      </c>
    </row>
    <row r="1135" spans="1:2" x14ac:dyDescent="0.25">
      <c r="A1135" s="52" t="s">
        <v>95</v>
      </c>
      <c r="B1135" s="90" t="s">
        <v>6774</v>
      </c>
    </row>
    <row r="1136" spans="1:2" x14ac:dyDescent="0.25">
      <c r="A1136" s="52" t="s">
        <v>95</v>
      </c>
      <c r="B1136" s="90" t="s">
        <v>6775</v>
      </c>
    </row>
    <row r="1137" spans="1:2" x14ac:dyDescent="0.25">
      <c r="A1137" s="52" t="s">
        <v>95</v>
      </c>
      <c r="B1137" s="90" t="s">
        <v>6776</v>
      </c>
    </row>
    <row r="1138" spans="1:2" x14ac:dyDescent="0.25">
      <c r="A1138" s="52" t="s">
        <v>95</v>
      </c>
      <c r="B1138" s="90" t="s">
        <v>6777</v>
      </c>
    </row>
    <row r="1139" spans="1:2" x14ac:dyDescent="0.25">
      <c r="A1139" s="52" t="s">
        <v>95</v>
      </c>
      <c r="B1139" s="90" t="s">
        <v>6778</v>
      </c>
    </row>
    <row r="1140" spans="1:2" x14ac:dyDescent="0.25">
      <c r="A1140" s="52" t="s">
        <v>95</v>
      </c>
      <c r="B1140" s="90" t="s">
        <v>6779</v>
      </c>
    </row>
    <row r="1141" spans="1:2" x14ac:dyDescent="0.25">
      <c r="A1141" s="52" t="s">
        <v>95</v>
      </c>
      <c r="B1141" s="90" t="s">
        <v>6780</v>
      </c>
    </row>
    <row r="1142" spans="1:2" x14ac:dyDescent="0.25">
      <c r="A1142" s="52" t="s">
        <v>95</v>
      </c>
      <c r="B1142" s="90" t="s">
        <v>6781</v>
      </c>
    </row>
    <row r="1143" spans="1:2" x14ac:dyDescent="0.25">
      <c r="A1143" s="52" t="s">
        <v>95</v>
      </c>
      <c r="B1143" s="90" t="s">
        <v>6782</v>
      </c>
    </row>
    <row r="1144" spans="1:2" x14ac:dyDescent="0.25">
      <c r="A1144" s="52" t="s">
        <v>95</v>
      </c>
      <c r="B1144" s="90" t="s">
        <v>6783</v>
      </c>
    </row>
    <row r="1145" spans="1:2" x14ac:dyDescent="0.25">
      <c r="A1145" s="52" t="s">
        <v>95</v>
      </c>
      <c r="B1145" s="90" t="s">
        <v>6784</v>
      </c>
    </row>
    <row r="1146" spans="1:2" x14ac:dyDescent="0.25">
      <c r="A1146" s="52" t="s">
        <v>95</v>
      </c>
      <c r="B1146" s="90" t="s">
        <v>6785</v>
      </c>
    </row>
    <row r="1147" spans="1:2" x14ac:dyDescent="0.25">
      <c r="A1147" s="52" t="s">
        <v>95</v>
      </c>
      <c r="B1147" s="90" t="s">
        <v>6786</v>
      </c>
    </row>
    <row r="1148" spans="1:2" x14ac:dyDescent="0.25">
      <c r="A1148" s="52" t="s">
        <v>95</v>
      </c>
      <c r="B1148" s="90" t="s">
        <v>6787</v>
      </c>
    </row>
    <row r="1149" spans="1:2" x14ac:dyDescent="0.25">
      <c r="A1149" s="52" t="s">
        <v>95</v>
      </c>
      <c r="B1149" s="90" t="s">
        <v>6788</v>
      </c>
    </row>
    <row r="1150" spans="1:2" x14ac:dyDescent="0.25">
      <c r="A1150" s="52" t="s">
        <v>95</v>
      </c>
      <c r="B1150" s="90" t="s">
        <v>6789</v>
      </c>
    </row>
    <row r="1151" spans="1:2" x14ac:dyDescent="0.25">
      <c r="A1151" s="52" t="s">
        <v>95</v>
      </c>
      <c r="B1151" s="90" t="s">
        <v>6790</v>
      </c>
    </row>
    <row r="1152" spans="1:2" x14ac:dyDescent="0.25">
      <c r="A1152" s="52" t="s">
        <v>95</v>
      </c>
      <c r="B1152" s="90" t="s">
        <v>6791</v>
      </c>
    </row>
    <row r="1153" spans="1:2" x14ac:dyDescent="0.25">
      <c r="A1153" s="52" t="s">
        <v>95</v>
      </c>
      <c r="B1153" s="90" t="s">
        <v>6792</v>
      </c>
    </row>
    <row r="1154" spans="1:2" x14ac:dyDescent="0.25">
      <c r="A1154" s="52" t="s">
        <v>95</v>
      </c>
      <c r="B1154" s="90" t="s">
        <v>6793</v>
      </c>
    </row>
    <row r="1155" spans="1:2" x14ac:dyDescent="0.25">
      <c r="A1155" s="52" t="s">
        <v>95</v>
      </c>
      <c r="B1155" s="90" t="s">
        <v>6794</v>
      </c>
    </row>
    <row r="1156" spans="1:2" x14ac:dyDescent="0.25">
      <c r="A1156" s="52" t="s">
        <v>95</v>
      </c>
      <c r="B1156" s="90" t="s">
        <v>6795</v>
      </c>
    </row>
    <row r="1157" spans="1:2" x14ac:dyDescent="0.25">
      <c r="A1157" s="52" t="s">
        <v>95</v>
      </c>
      <c r="B1157" s="90" t="s">
        <v>6796</v>
      </c>
    </row>
    <row r="1158" spans="1:2" x14ac:dyDescent="0.25">
      <c r="A1158" s="52" t="s">
        <v>95</v>
      </c>
      <c r="B1158" s="90" t="s">
        <v>6797</v>
      </c>
    </row>
    <row r="1159" spans="1:2" x14ac:dyDescent="0.25">
      <c r="A1159" s="52" t="s">
        <v>95</v>
      </c>
      <c r="B1159" s="90" t="s">
        <v>6798</v>
      </c>
    </row>
    <row r="1160" spans="1:2" x14ac:dyDescent="0.25">
      <c r="A1160" s="52" t="s">
        <v>95</v>
      </c>
      <c r="B1160" s="90" t="s">
        <v>6799</v>
      </c>
    </row>
    <row r="1161" spans="1:2" x14ac:dyDescent="0.25">
      <c r="A1161" s="52" t="s">
        <v>95</v>
      </c>
      <c r="B1161" s="90" t="s">
        <v>6800</v>
      </c>
    </row>
    <row r="1162" spans="1:2" x14ac:dyDescent="0.25">
      <c r="A1162" s="52" t="s">
        <v>95</v>
      </c>
      <c r="B1162" s="90" t="s">
        <v>6801</v>
      </c>
    </row>
    <row r="1163" spans="1:2" x14ac:dyDescent="0.25">
      <c r="A1163" s="52" t="s">
        <v>95</v>
      </c>
      <c r="B1163" s="90" t="s">
        <v>6802</v>
      </c>
    </row>
    <row r="1164" spans="1:2" x14ac:dyDescent="0.25">
      <c r="A1164" s="52" t="s">
        <v>95</v>
      </c>
      <c r="B1164" s="90" t="s">
        <v>6803</v>
      </c>
    </row>
    <row r="1165" spans="1:2" x14ac:dyDescent="0.25">
      <c r="A1165" s="52" t="s">
        <v>95</v>
      </c>
      <c r="B1165" s="90" t="s">
        <v>6804</v>
      </c>
    </row>
    <row r="1166" spans="1:2" x14ac:dyDescent="0.25">
      <c r="A1166" s="52" t="s">
        <v>95</v>
      </c>
      <c r="B1166" s="90" t="s">
        <v>6805</v>
      </c>
    </row>
    <row r="1167" spans="1:2" x14ac:dyDescent="0.25">
      <c r="A1167" s="52" t="s">
        <v>95</v>
      </c>
      <c r="B1167" s="90" t="s">
        <v>6806</v>
      </c>
    </row>
    <row r="1168" spans="1:2" x14ac:dyDescent="0.25">
      <c r="A1168" s="52" t="s">
        <v>95</v>
      </c>
      <c r="B1168" s="90" t="s">
        <v>6807</v>
      </c>
    </row>
    <row r="1169" spans="1:2" x14ac:dyDescent="0.25">
      <c r="A1169" s="52" t="s">
        <v>95</v>
      </c>
      <c r="B1169" s="90" t="s">
        <v>6808</v>
      </c>
    </row>
    <row r="1170" spans="1:2" x14ac:dyDescent="0.25">
      <c r="A1170" s="52" t="s">
        <v>95</v>
      </c>
      <c r="B1170" s="90" t="s">
        <v>6809</v>
      </c>
    </row>
    <row r="1171" spans="1:2" x14ac:dyDescent="0.25">
      <c r="A1171" s="52" t="s">
        <v>95</v>
      </c>
      <c r="B1171" s="90" t="s">
        <v>6809</v>
      </c>
    </row>
    <row r="1172" spans="1:2" x14ac:dyDescent="0.25">
      <c r="A1172" s="52" t="s">
        <v>95</v>
      </c>
      <c r="B1172" s="90" t="s">
        <v>6810</v>
      </c>
    </row>
    <row r="1173" spans="1:2" x14ac:dyDescent="0.25">
      <c r="A1173" s="52" t="s">
        <v>95</v>
      </c>
      <c r="B1173" s="90" t="s">
        <v>6811</v>
      </c>
    </row>
    <row r="1174" spans="1:2" x14ac:dyDescent="0.25">
      <c r="A1174" s="52" t="s">
        <v>95</v>
      </c>
      <c r="B1174" s="90" t="s">
        <v>6812</v>
      </c>
    </row>
    <row r="1175" spans="1:2" x14ac:dyDescent="0.25">
      <c r="A1175" s="52" t="s">
        <v>95</v>
      </c>
      <c r="B1175" s="90" t="s">
        <v>6813</v>
      </c>
    </row>
    <row r="1176" spans="1:2" x14ac:dyDescent="0.25">
      <c r="A1176" s="52" t="s">
        <v>95</v>
      </c>
      <c r="B1176" s="90" t="s">
        <v>6814</v>
      </c>
    </row>
    <row r="1177" spans="1:2" x14ac:dyDescent="0.25">
      <c r="A1177" s="52" t="s">
        <v>95</v>
      </c>
      <c r="B1177" s="90" t="s">
        <v>6814</v>
      </c>
    </row>
    <row r="1178" spans="1:2" x14ac:dyDescent="0.25">
      <c r="A1178" s="52" t="s">
        <v>95</v>
      </c>
      <c r="B1178" s="90" t="s">
        <v>6815</v>
      </c>
    </row>
    <row r="1179" spans="1:2" x14ac:dyDescent="0.25">
      <c r="A1179" s="52" t="s">
        <v>95</v>
      </c>
      <c r="B1179" s="90" t="s">
        <v>6816</v>
      </c>
    </row>
    <row r="1180" spans="1:2" x14ac:dyDescent="0.25">
      <c r="A1180" s="52" t="s">
        <v>95</v>
      </c>
      <c r="B1180" s="90" t="s">
        <v>6817</v>
      </c>
    </row>
    <row r="1181" spans="1:2" x14ac:dyDescent="0.25">
      <c r="A1181" s="52" t="s">
        <v>95</v>
      </c>
      <c r="B1181" s="90" t="s">
        <v>6818</v>
      </c>
    </row>
    <row r="1182" spans="1:2" x14ac:dyDescent="0.25">
      <c r="A1182" s="52" t="s">
        <v>95</v>
      </c>
      <c r="B1182" s="90" t="s">
        <v>6819</v>
      </c>
    </row>
    <row r="1183" spans="1:2" x14ac:dyDescent="0.25">
      <c r="A1183" s="52" t="s">
        <v>95</v>
      </c>
      <c r="B1183" s="90" t="s">
        <v>6820</v>
      </c>
    </row>
    <row r="1184" spans="1:2" x14ac:dyDescent="0.25">
      <c r="A1184" s="52" t="s">
        <v>95</v>
      </c>
      <c r="B1184" s="90" t="s">
        <v>6821</v>
      </c>
    </row>
    <row r="1185" spans="1:2" x14ac:dyDescent="0.25">
      <c r="A1185" s="52" t="s">
        <v>95</v>
      </c>
      <c r="B1185" s="90" t="s">
        <v>6822</v>
      </c>
    </row>
    <row r="1186" spans="1:2" x14ac:dyDescent="0.25">
      <c r="A1186" s="52" t="s">
        <v>95</v>
      </c>
      <c r="B1186" s="90" t="s">
        <v>6823</v>
      </c>
    </row>
    <row r="1187" spans="1:2" x14ac:dyDescent="0.25">
      <c r="A1187" s="52" t="s">
        <v>95</v>
      </c>
      <c r="B1187" s="90" t="s">
        <v>6824</v>
      </c>
    </row>
    <row r="1188" spans="1:2" x14ac:dyDescent="0.25">
      <c r="A1188" s="52" t="s">
        <v>95</v>
      </c>
      <c r="B1188" s="90" t="s">
        <v>6825</v>
      </c>
    </row>
    <row r="1189" spans="1:2" x14ac:dyDescent="0.25">
      <c r="A1189" s="52" t="s">
        <v>95</v>
      </c>
      <c r="B1189" s="90" t="s">
        <v>6826</v>
      </c>
    </row>
    <row r="1190" spans="1:2" x14ac:dyDescent="0.25">
      <c r="A1190" s="52" t="s">
        <v>95</v>
      </c>
      <c r="B1190" s="90" t="s">
        <v>6827</v>
      </c>
    </row>
    <row r="1191" spans="1:2" x14ac:dyDescent="0.25">
      <c r="A1191" s="52" t="s">
        <v>95</v>
      </c>
      <c r="B1191" s="90" t="s">
        <v>6827</v>
      </c>
    </row>
    <row r="1192" spans="1:2" x14ac:dyDescent="0.25">
      <c r="A1192" s="52" t="s">
        <v>95</v>
      </c>
      <c r="B1192" s="90" t="s">
        <v>6828</v>
      </c>
    </row>
    <row r="1193" spans="1:2" x14ac:dyDescent="0.25">
      <c r="A1193" s="52" t="s">
        <v>95</v>
      </c>
      <c r="B1193" s="90" t="s">
        <v>6829</v>
      </c>
    </row>
    <row r="1194" spans="1:2" x14ac:dyDescent="0.25">
      <c r="A1194" s="52" t="s">
        <v>95</v>
      </c>
      <c r="B1194" s="90" t="s">
        <v>6830</v>
      </c>
    </row>
    <row r="1195" spans="1:2" x14ac:dyDescent="0.25">
      <c r="A1195" s="52" t="s">
        <v>95</v>
      </c>
      <c r="B1195" s="90" t="s">
        <v>6831</v>
      </c>
    </row>
    <row r="1196" spans="1:2" x14ac:dyDescent="0.25">
      <c r="A1196" s="52" t="s">
        <v>95</v>
      </c>
      <c r="B1196" s="90" t="s">
        <v>6832</v>
      </c>
    </row>
    <row r="1197" spans="1:2" x14ac:dyDescent="0.25">
      <c r="A1197" s="52" t="s">
        <v>95</v>
      </c>
      <c r="B1197" s="90" t="s">
        <v>6833</v>
      </c>
    </row>
    <row r="1198" spans="1:2" x14ac:dyDescent="0.25">
      <c r="A1198" s="52" t="s">
        <v>95</v>
      </c>
      <c r="B1198" s="90" t="s">
        <v>6834</v>
      </c>
    </row>
    <row r="1199" spans="1:2" x14ac:dyDescent="0.25">
      <c r="A1199" s="52" t="s">
        <v>95</v>
      </c>
      <c r="B1199" s="90" t="s">
        <v>6835</v>
      </c>
    </row>
    <row r="1200" spans="1:2" x14ac:dyDescent="0.25">
      <c r="A1200" s="52" t="s">
        <v>95</v>
      </c>
      <c r="B1200" s="90" t="s">
        <v>6836</v>
      </c>
    </row>
    <row r="1201" spans="1:2" x14ac:dyDescent="0.25">
      <c r="A1201" s="52" t="s">
        <v>95</v>
      </c>
      <c r="B1201" s="90" t="s">
        <v>6837</v>
      </c>
    </row>
    <row r="1202" spans="1:2" x14ac:dyDescent="0.25">
      <c r="A1202" s="52" t="s">
        <v>95</v>
      </c>
      <c r="B1202" s="90" t="s">
        <v>6838</v>
      </c>
    </row>
    <row r="1203" spans="1:2" x14ac:dyDescent="0.25">
      <c r="A1203" s="52" t="s">
        <v>95</v>
      </c>
      <c r="B1203" s="90" t="s">
        <v>6839</v>
      </c>
    </row>
    <row r="1204" spans="1:2" x14ac:dyDescent="0.25">
      <c r="A1204" s="52" t="s">
        <v>95</v>
      </c>
      <c r="B1204" s="90" t="s">
        <v>6840</v>
      </c>
    </row>
    <row r="1205" spans="1:2" x14ac:dyDescent="0.25">
      <c r="A1205" s="52" t="s">
        <v>95</v>
      </c>
      <c r="B1205" s="90" t="s">
        <v>6841</v>
      </c>
    </row>
    <row r="1206" spans="1:2" x14ac:dyDescent="0.25">
      <c r="A1206" s="52" t="s">
        <v>95</v>
      </c>
      <c r="B1206" s="90" t="s">
        <v>6842</v>
      </c>
    </row>
    <row r="1207" spans="1:2" x14ac:dyDescent="0.25">
      <c r="A1207" s="52" t="s">
        <v>95</v>
      </c>
      <c r="B1207" s="90" t="s">
        <v>6843</v>
      </c>
    </row>
    <row r="1208" spans="1:2" x14ac:dyDescent="0.25">
      <c r="A1208" s="52" t="s">
        <v>95</v>
      </c>
      <c r="B1208" s="90" t="s">
        <v>6844</v>
      </c>
    </row>
    <row r="1209" spans="1:2" x14ac:dyDescent="0.25">
      <c r="A1209" s="52" t="s">
        <v>95</v>
      </c>
      <c r="B1209" s="90" t="s">
        <v>6845</v>
      </c>
    </row>
    <row r="1210" spans="1:2" x14ac:dyDescent="0.25">
      <c r="A1210" s="52" t="s">
        <v>95</v>
      </c>
      <c r="B1210" s="90" t="s">
        <v>6846</v>
      </c>
    </row>
    <row r="1211" spans="1:2" x14ac:dyDescent="0.25">
      <c r="A1211" s="52" t="s">
        <v>95</v>
      </c>
      <c r="B1211" s="90" t="s">
        <v>6847</v>
      </c>
    </row>
    <row r="1212" spans="1:2" x14ac:dyDescent="0.25">
      <c r="A1212" s="52" t="s">
        <v>95</v>
      </c>
      <c r="B1212" s="90" t="s">
        <v>6848</v>
      </c>
    </row>
    <row r="1213" spans="1:2" x14ac:dyDescent="0.25">
      <c r="A1213" s="52" t="s">
        <v>95</v>
      </c>
      <c r="B1213" s="90" t="s">
        <v>6849</v>
      </c>
    </row>
    <row r="1214" spans="1:2" x14ac:dyDescent="0.25">
      <c r="A1214" s="52" t="s">
        <v>95</v>
      </c>
      <c r="B1214" s="90" t="s">
        <v>6850</v>
      </c>
    </row>
    <row r="1215" spans="1:2" x14ac:dyDescent="0.25">
      <c r="A1215" s="52" t="s">
        <v>95</v>
      </c>
      <c r="B1215" s="90" t="s">
        <v>6851</v>
      </c>
    </row>
    <row r="1216" spans="1:2" x14ac:dyDescent="0.25">
      <c r="A1216" s="52" t="s">
        <v>95</v>
      </c>
      <c r="B1216" s="90" t="s">
        <v>6852</v>
      </c>
    </row>
    <row r="1217" spans="1:2" x14ac:dyDescent="0.25">
      <c r="A1217" s="52" t="s">
        <v>95</v>
      </c>
      <c r="B1217" s="90" t="s">
        <v>6853</v>
      </c>
    </row>
    <row r="1218" spans="1:2" x14ac:dyDescent="0.25">
      <c r="A1218" s="52" t="s">
        <v>95</v>
      </c>
      <c r="B1218" s="90" t="s">
        <v>6854</v>
      </c>
    </row>
    <row r="1219" spans="1:2" x14ac:dyDescent="0.25">
      <c r="A1219" s="52" t="s">
        <v>95</v>
      </c>
      <c r="B1219" s="90" t="s">
        <v>6855</v>
      </c>
    </row>
    <row r="1220" spans="1:2" x14ac:dyDescent="0.25">
      <c r="A1220" s="52" t="s">
        <v>95</v>
      </c>
      <c r="B1220" s="90" t="s">
        <v>6856</v>
      </c>
    </row>
    <row r="1221" spans="1:2" x14ac:dyDescent="0.25">
      <c r="A1221" s="52" t="s">
        <v>95</v>
      </c>
      <c r="B1221" s="90" t="s">
        <v>6857</v>
      </c>
    </row>
    <row r="1222" spans="1:2" x14ac:dyDescent="0.25">
      <c r="A1222" s="52" t="s">
        <v>95</v>
      </c>
      <c r="B1222" s="90" t="s">
        <v>6858</v>
      </c>
    </row>
    <row r="1223" spans="1:2" x14ac:dyDescent="0.25">
      <c r="A1223" s="52" t="s">
        <v>95</v>
      </c>
      <c r="B1223" s="90" t="s">
        <v>1835</v>
      </c>
    </row>
    <row r="1224" spans="1:2" x14ac:dyDescent="0.25">
      <c r="A1224" s="52" t="s">
        <v>95</v>
      </c>
      <c r="B1224" s="90" t="s">
        <v>888</v>
      </c>
    </row>
    <row r="1225" spans="1:2" x14ac:dyDescent="0.25">
      <c r="A1225" s="52" t="s">
        <v>95</v>
      </c>
      <c r="B1225" s="90" t="s">
        <v>6859</v>
      </c>
    </row>
    <row r="1226" spans="1:2" x14ac:dyDescent="0.25">
      <c r="A1226" s="52" t="s">
        <v>95</v>
      </c>
      <c r="B1226" s="90" t="s">
        <v>3141</v>
      </c>
    </row>
    <row r="1227" spans="1:2" x14ac:dyDescent="0.25">
      <c r="A1227" s="52" t="s">
        <v>95</v>
      </c>
      <c r="B1227" s="90" t="s">
        <v>6860</v>
      </c>
    </row>
    <row r="1228" spans="1:2" x14ac:dyDescent="0.25">
      <c r="A1228" s="52" t="s">
        <v>95</v>
      </c>
      <c r="B1228" s="90" t="s">
        <v>6861</v>
      </c>
    </row>
    <row r="1229" spans="1:2" x14ac:dyDescent="0.25">
      <c r="A1229" s="52" t="s">
        <v>95</v>
      </c>
      <c r="B1229" s="90" t="s">
        <v>6862</v>
      </c>
    </row>
    <row r="1230" spans="1:2" x14ac:dyDescent="0.25">
      <c r="A1230" s="52" t="s">
        <v>95</v>
      </c>
      <c r="B1230" s="90" t="s">
        <v>6863</v>
      </c>
    </row>
    <row r="1231" spans="1:2" x14ac:dyDescent="0.25">
      <c r="A1231" s="52" t="s">
        <v>95</v>
      </c>
      <c r="B1231" s="90" t="s">
        <v>6864</v>
      </c>
    </row>
    <row r="1232" spans="1:2" x14ac:dyDescent="0.25">
      <c r="A1232" s="52" t="s">
        <v>95</v>
      </c>
      <c r="B1232" s="90" t="s">
        <v>6865</v>
      </c>
    </row>
    <row r="1233" spans="1:2" x14ac:dyDescent="0.25">
      <c r="A1233" s="52" t="s">
        <v>95</v>
      </c>
      <c r="B1233" s="90" t="s">
        <v>6866</v>
      </c>
    </row>
    <row r="1234" spans="1:2" x14ac:dyDescent="0.25">
      <c r="A1234" s="52" t="s">
        <v>95</v>
      </c>
      <c r="B1234" s="90" t="s">
        <v>6867</v>
      </c>
    </row>
    <row r="1235" spans="1:2" x14ac:dyDescent="0.25">
      <c r="A1235" s="52" t="s">
        <v>95</v>
      </c>
      <c r="B1235" s="90" t="s">
        <v>6868</v>
      </c>
    </row>
    <row r="1236" spans="1:2" x14ac:dyDescent="0.25">
      <c r="A1236" s="52" t="s">
        <v>95</v>
      </c>
      <c r="B1236" s="90" t="s">
        <v>6869</v>
      </c>
    </row>
    <row r="1237" spans="1:2" x14ac:dyDescent="0.25">
      <c r="A1237" s="52" t="s">
        <v>95</v>
      </c>
      <c r="B1237" s="90" t="s">
        <v>6870</v>
      </c>
    </row>
    <row r="1238" spans="1:2" x14ac:dyDescent="0.25">
      <c r="A1238" s="52" t="s">
        <v>95</v>
      </c>
      <c r="B1238" s="90" t="s">
        <v>6871</v>
      </c>
    </row>
    <row r="1239" spans="1:2" x14ac:dyDescent="0.25">
      <c r="A1239" s="52" t="s">
        <v>95</v>
      </c>
      <c r="B1239" s="90" t="s">
        <v>6872</v>
      </c>
    </row>
    <row r="1240" spans="1:2" x14ac:dyDescent="0.25">
      <c r="A1240" s="52" t="s">
        <v>95</v>
      </c>
      <c r="B1240" s="90" t="s">
        <v>6873</v>
      </c>
    </row>
    <row r="1241" spans="1:2" x14ac:dyDescent="0.25">
      <c r="A1241" s="52" t="s">
        <v>95</v>
      </c>
      <c r="B1241" s="90" t="s">
        <v>6874</v>
      </c>
    </row>
    <row r="1242" spans="1:2" x14ac:dyDescent="0.25">
      <c r="A1242" s="52" t="s">
        <v>95</v>
      </c>
      <c r="B1242" s="90" t="s">
        <v>6875</v>
      </c>
    </row>
    <row r="1243" spans="1:2" x14ac:dyDescent="0.25">
      <c r="A1243" s="52" t="s">
        <v>95</v>
      </c>
      <c r="B1243" s="90" t="s">
        <v>6876</v>
      </c>
    </row>
    <row r="1244" spans="1:2" x14ac:dyDescent="0.25">
      <c r="A1244" s="52" t="s">
        <v>95</v>
      </c>
      <c r="B1244" s="90" t="s">
        <v>6877</v>
      </c>
    </row>
    <row r="1245" spans="1:2" x14ac:dyDescent="0.25">
      <c r="A1245" s="52" t="s">
        <v>95</v>
      </c>
      <c r="B1245" s="90" t="s">
        <v>6878</v>
      </c>
    </row>
    <row r="1246" spans="1:2" x14ac:dyDescent="0.25">
      <c r="A1246" s="52" t="s">
        <v>95</v>
      </c>
      <c r="B1246" s="90" t="s">
        <v>6879</v>
      </c>
    </row>
    <row r="1247" spans="1:2" x14ac:dyDescent="0.25">
      <c r="A1247" s="52" t="s">
        <v>95</v>
      </c>
      <c r="B1247" s="90" t="s">
        <v>6880</v>
      </c>
    </row>
    <row r="1248" spans="1:2" x14ac:dyDescent="0.25">
      <c r="A1248" s="52" t="s">
        <v>95</v>
      </c>
      <c r="B1248" s="90" t="s">
        <v>6881</v>
      </c>
    </row>
    <row r="1249" spans="1:2" x14ac:dyDescent="0.25">
      <c r="A1249" s="52" t="s">
        <v>95</v>
      </c>
      <c r="B1249" s="90" t="s">
        <v>6882</v>
      </c>
    </row>
    <row r="1250" spans="1:2" x14ac:dyDescent="0.25">
      <c r="A1250" s="52" t="s">
        <v>95</v>
      </c>
      <c r="B1250" s="90" t="s">
        <v>6883</v>
      </c>
    </row>
    <row r="1251" spans="1:2" x14ac:dyDescent="0.25">
      <c r="A1251" s="52" t="s">
        <v>95</v>
      </c>
      <c r="B1251" s="90" t="s">
        <v>6884</v>
      </c>
    </row>
    <row r="1252" spans="1:2" x14ac:dyDescent="0.25">
      <c r="A1252" s="52" t="s">
        <v>95</v>
      </c>
      <c r="B1252" s="90" t="s">
        <v>6885</v>
      </c>
    </row>
    <row r="1253" spans="1:2" x14ac:dyDescent="0.25">
      <c r="A1253" s="52" t="s">
        <v>95</v>
      </c>
      <c r="B1253" s="90" t="s">
        <v>6886</v>
      </c>
    </row>
    <row r="1254" spans="1:2" x14ac:dyDescent="0.25">
      <c r="A1254" s="52" t="s">
        <v>95</v>
      </c>
      <c r="B1254" s="90" t="s">
        <v>6887</v>
      </c>
    </row>
    <row r="1255" spans="1:2" x14ac:dyDescent="0.25">
      <c r="A1255" s="52" t="s">
        <v>95</v>
      </c>
      <c r="B1255" s="90" t="s">
        <v>6888</v>
      </c>
    </row>
    <row r="1256" spans="1:2" x14ac:dyDescent="0.25">
      <c r="A1256" s="52" t="s">
        <v>95</v>
      </c>
      <c r="B1256" s="90" t="s">
        <v>6889</v>
      </c>
    </row>
    <row r="1257" spans="1:2" x14ac:dyDescent="0.25">
      <c r="A1257" s="52" t="s">
        <v>95</v>
      </c>
      <c r="B1257" s="90" t="s">
        <v>6890</v>
      </c>
    </row>
    <row r="1258" spans="1:2" x14ac:dyDescent="0.25">
      <c r="A1258" s="52" t="s">
        <v>95</v>
      </c>
      <c r="B1258" s="90" t="s">
        <v>6891</v>
      </c>
    </row>
    <row r="1259" spans="1:2" x14ac:dyDescent="0.25">
      <c r="A1259" s="52" t="s">
        <v>95</v>
      </c>
      <c r="B1259" s="90" t="s">
        <v>6892</v>
      </c>
    </row>
    <row r="1260" spans="1:2" x14ac:dyDescent="0.25">
      <c r="A1260" s="52" t="s">
        <v>95</v>
      </c>
      <c r="B1260" s="90" t="s">
        <v>6893</v>
      </c>
    </row>
    <row r="1261" spans="1:2" x14ac:dyDescent="0.25">
      <c r="A1261" s="52" t="s">
        <v>95</v>
      </c>
      <c r="B1261" s="90" t="s">
        <v>6894</v>
      </c>
    </row>
    <row r="1262" spans="1:2" x14ac:dyDescent="0.25">
      <c r="A1262" s="52" t="s">
        <v>95</v>
      </c>
      <c r="B1262" s="90" t="s">
        <v>6895</v>
      </c>
    </row>
    <row r="1263" spans="1:2" x14ac:dyDescent="0.25">
      <c r="A1263" s="52" t="s">
        <v>95</v>
      </c>
      <c r="B1263" s="90" t="s">
        <v>6896</v>
      </c>
    </row>
    <row r="1264" spans="1:2" x14ac:dyDescent="0.25">
      <c r="A1264" s="52" t="s">
        <v>95</v>
      </c>
      <c r="B1264" s="90" t="s">
        <v>6897</v>
      </c>
    </row>
    <row r="1265" spans="1:2" x14ac:dyDescent="0.25">
      <c r="A1265" s="52" t="s">
        <v>95</v>
      </c>
      <c r="B1265" s="90" t="s">
        <v>6898</v>
      </c>
    </row>
    <row r="1266" spans="1:2" x14ac:dyDescent="0.25">
      <c r="A1266" s="52" t="s">
        <v>95</v>
      </c>
      <c r="B1266" s="90" t="s">
        <v>6899</v>
      </c>
    </row>
    <row r="1267" spans="1:2" x14ac:dyDescent="0.25">
      <c r="A1267" s="52" t="s">
        <v>95</v>
      </c>
      <c r="B1267" s="90" t="s">
        <v>6900</v>
      </c>
    </row>
    <row r="1268" spans="1:2" x14ac:dyDescent="0.25">
      <c r="A1268" s="52" t="s">
        <v>95</v>
      </c>
      <c r="B1268" s="90" t="s">
        <v>6901</v>
      </c>
    </row>
    <row r="1269" spans="1:2" x14ac:dyDescent="0.25">
      <c r="A1269" s="52" t="s">
        <v>95</v>
      </c>
      <c r="B1269" s="90" t="s">
        <v>6902</v>
      </c>
    </row>
    <row r="1270" spans="1:2" x14ac:dyDescent="0.25">
      <c r="A1270" s="52" t="s">
        <v>95</v>
      </c>
      <c r="B1270" s="90" t="s">
        <v>6903</v>
      </c>
    </row>
    <row r="1271" spans="1:2" x14ac:dyDescent="0.25">
      <c r="A1271" s="52" t="s">
        <v>95</v>
      </c>
      <c r="B1271" s="90" t="s">
        <v>6904</v>
      </c>
    </row>
    <row r="1272" spans="1:2" x14ac:dyDescent="0.25">
      <c r="A1272" s="52" t="s">
        <v>95</v>
      </c>
      <c r="B1272" s="90" t="s">
        <v>6905</v>
      </c>
    </row>
    <row r="1273" spans="1:2" x14ac:dyDescent="0.25">
      <c r="A1273" s="52" t="s">
        <v>95</v>
      </c>
      <c r="B1273" s="90" t="s">
        <v>6906</v>
      </c>
    </row>
    <row r="1274" spans="1:2" x14ac:dyDescent="0.25">
      <c r="A1274" s="52" t="s">
        <v>95</v>
      </c>
      <c r="B1274" s="90" t="s">
        <v>6907</v>
      </c>
    </row>
    <row r="1275" spans="1:2" x14ac:dyDescent="0.25">
      <c r="A1275" s="52" t="s">
        <v>95</v>
      </c>
      <c r="B1275" s="90" t="s">
        <v>6908</v>
      </c>
    </row>
    <row r="1276" spans="1:2" x14ac:dyDescent="0.25">
      <c r="A1276" s="52" t="s">
        <v>95</v>
      </c>
      <c r="B1276" s="90" t="s">
        <v>6909</v>
      </c>
    </row>
    <row r="1277" spans="1:2" x14ac:dyDescent="0.25">
      <c r="A1277" s="52" t="s">
        <v>95</v>
      </c>
      <c r="B1277" s="90" t="s">
        <v>6910</v>
      </c>
    </row>
    <row r="1278" spans="1:2" x14ac:dyDescent="0.25">
      <c r="A1278" s="52" t="s">
        <v>95</v>
      </c>
      <c r="B1278" s="90" t="s">
        <v>6911</v>
      </c>
    </row>
    <row r="1279" spans="1:2" x14ac:dyDescent="0.25">
      <c r="A1279" s="52" t="s">
        <v>95</v>
      </c>
      <c r="B1279" s="90" t="s">
        <v>6912</v>
      </c>
    </row>
    <row r="1280" spans="1:2" x14ac:dyDescent="0.25">
      <c r="A1280" s="52" t="s">
        <v>95</v>
      </c>
      <c r="B1280" s="90" t="s">
        <v>6913</v>
      </c>
    </row>
    <row r="1281" spans="1:2" x14ac:dyDescent="0.25">
      <c r="A1281" s="52" t="s">
        <v>95</v>
      </c>
      <c r="B1281" s="90" t="s">
        <v>6914</v>
      </c>
    </row>
    <row r="1282" spans="1:2" x14ac:dyDescent="0.25">
      <c r="A1282" s="52" t="s">
        <v>95</v>
      </c>
      <c r="B1282" s="90" t="s">
        <v>6915</v>
      </c>
    </row>
    <row r="1283" spans="1:2" x14ac:dyDescent="0.25">
      <c r="A1283" s="52" t="s">
        <v>95</v>
      </c>
      <c r="B1283" s="90" t="s">
        <v>6916</v>
      </c>
    </row>
    <row r="1284" spans="1:2" x14ac:dyDescent="0.25">
      <c r="A1284" s="52" t="s">
        <v>95</v>
      </c>
      <c r="B1284" s="90" t="s">
        <v>6917</v>
      </c>
    </row>
    <row r="1285" spans="1:2" x14ac:dyDescent="0.25">
      <c r="A1285" s="52" t="s">
        <v>95</v>
      </c>
      <c r="B1285" s="90" t="s">
        <v>6918</v>
      </c>
    </row>
    <row r="1286" spans="1:2" x14ac:dyDescent="0.25">
      <c r="A1286" s="52" t="s">
        <v>95</v>
      </c>
      <c r="B1286" s="90" t="s">
        <v>6919</v>
      </c>
    </row>
    <row r="1287" spans="1:2" x14ac:dyDescent="0.25">
      <c r="A1287" s="52" t="s">
        <v>95</v>
      </c>
      <c r="B1287" s="90" t="s">
        <v>6919</v>
      </c>
    </row>
    <row r="1288" spans="1:2" x14ac:dyDescent="0.25">
      <c r="A1288" s="52" t="s">
        <v>95</v>
      </c>
      <c r="B1288" s="90" t="s">
        <v>6920</v>
      </c>
    </row>
    <row r="1289" spans="1:2" x14ac:dyDescent="0.25">
      <c r="A1289" s="52" t="s">
        <v>95</v>
      </c>
      <c r="B1289" s="90" t="s">
        <v>6921</v>
      </c>
    </row>
    <row r="1290" spans="1:2" x14ac:dyDescent="0.25">
      <c r="A1290" s="52" t="s">
        <v>95</v>
      </c>
      <c r="B1290" s="90" t="s">
        <v>6922</v>
      </c>
    </row>
    <row r="1291" spans="1:2" x14ac:dyDescent="0.25">
      <c r="A1291" s="52" t="s">
        <v>95</v>
      </c>
      <c r="B1291" s="90" t="s">
        <v>6922</v>
      </c>
    </row>
    <row r="1292" spans="1:2" x14ac:dyDescent="0.25">
      <c r="A1292" s="52" t="s">
        <v>95</v>
      </c>
      <c r="B1292" s="90" t="s">
        <v>6923</v>
      </c>
    </row>
    <row r="1293" spans="1:2" x14ac:dyDescent="0.25">
      <c r="A1293" s="52" t="s">
        <v>95</v>
      </c>
      <c r="B1293" s="90" t="s">
        <v>6924</v>
      </c>
    </row>
    <row r="1294" spans="1:2" x14ac:dyDescent="0.25">
      <c r="A1294" s="52" t="s">
        <v>95</v>
      </c>
      <c r="B1294" s="90" t="s">
        <v>6925</v>
      </c>
    </row>
    <row r="1295" spans="1:2" x14ac:dyDescent="0.25">
      <c r="A1295" s="52" t="s">
        <v>95</v>
      </c>
      <c r="B1295" s="90" t="s">
        <v>6926</v>
      </c>
    </row>
    <row r="1296" spans="1:2" x14ac:dyDescent="0.25">
      <c r="A1296" s="52" t="s">
        <v>95</v>
      </c>
      <c r="B1296" s="90" t="s">
        <v>6927</v>
      </c>
    </row>
    <row r="1297" spans="1:2" x14ac:dyDescent="0.25">
      <c r="A1297" s="52" t="s">
        <v>95</v>
      </c>
      <c r="B1297" s="90" t="s">
        <v>6928</v>
      </c>
    </row>
    <row r="1298" spans="1:2" x14ac:dyDescent="0.25">
      <c r="A1298" s="52" t="s">
        <v>95</v>
      </c>
      <c r="B1298" s="90" t="s">
        <v>6929</v>
      </c>
    </row>
    <row r="1299" spans="1:2" x14ac:dyDescent="0.25">
      <c r="A1299" s="52" t="s">
        <v>95</v>
      </c>
      <c r="B1299" s="90" t="s">
        <v>6930</v>
      </c>
    </row>
    <row r="1300" spans="1:2" x14ac:dyDescent="0.25">
      <c r="A1300" s="52" t="s">
        <v>95</v>
      </c>
      <c r="B1300" s="90" t="s">
        <v>6931</v>
      </c>
    </row>
    <row r="1301" spans="1:2" x14ac:dyDescent="0.25">
      <c r="A1301" s="52" t="s">
        <v>95</v>
      </c>
      <c r="B1301" s="90" t="s">
        <v>6932</v>
      </c>
    </row>
    <row r="1302" spans="1:2" x14ac:dyDescent="0.25">
      <c r="A1302" s="52" t="s">
        <v>95</v>
      </c>
      <c r="B1302" s="90" t="s">
        <v>6933</v>
      </c>
    </row>
    <row r="1303" spans="1:2" x14ac:dyDescent="0.25">
      <c r="A1303" s="52" t="s">
        <v>95</v>
      </c>
      <c r="B1303" s="90" t="s">
        <v>6934</v>
      </c>
    </row>
    <row r="1304" spans="1:2" x14ac:dyDescent="0.25">
      <c r="A1304" s="52" t="s">
        <v>95</v>
      </c>
      <c r="B1304" s="90" t="s">
        <v>6935</v>
      </c>
    </row>
    <row r="1305" spans="1:2" x14ac:dyDescent="0.25">
      <c r="A1305" s="52" t="s">
        <v>95</v>
      </c>
      <c r="B1305" s="90" t="s">
        <v>6936</v>
      </c>
    </row>
    <row r="1306" spans="1:2" x14ac:dyDescent="0.25">
      <c r="A1306" s="52" t="s">
        <v>95</v>
      </c>
      <c r="B1306" s="90" t="s">
        <v>6937</v>
      </c>
    </row>
    <row r="1307" spans="1:2" x14ac:dyDescent="0.25">
      <c r="A1307" s="52" t="s">
        <v>95</v>
      </c>
      <c r="B1307" s="90" t="s">
        <v>6938</v>
      </c>
    </row>
    <row r="1308" spans="1:2" x14ac:dyDescent="0.25">
      <c r="A1308" s="52" t="s">
        <v>95</v>
      </c>
      <c r="B1308" s="90" t="s">
        <v>6938</v>
      </c>
    </row>
    <row r="1309" spans="1:2" x14ac:dyDescent="0.25">
      <c r="A1309" s="52" t="s">
        <v>95</v>
      </c>
      <c r="B1309" s="90" t="s">
        <v>6939</v>
      </c>
    </row>
    <row r="1310" spans="1:2" x14ac:dyDescent="0.25">
      <c r="A1310" s="52" t="s">
        <v>95</v>
      </c>
      <c r="B1310" s="90" t="s">
        <v>6940</v>
      </c>
    </row>
    <row r="1311" spans="1:2" x14ac:dyDescent="0.25">
      <c r="A1311" s="52" t="s">
        <v>95</v>
      </c>
      <c r="B1311" s="90" t="s">
        <v>6941</v>
      </c>
    </row>
    <row r="1312" spans="1:2" x14ac:dyDescent="0.25">
      <c r="A1312" s="52" t="s">
        <v>95</v>
      </c>
      <c r="B1312" s="90" t="s">
        <v>6942</v>
      </c>
    </row>
    <row r="1313" spans="1:2" x14ac:dyDescent="0.25">
      <c r="A1313" s="52" t="s">
        <v>95</v>
      </c>
      <c r="B1313" s="90" t="s">
        <v>6943</v>
      </c>
    </row>
    <row r="1314" spans="1:2" x14ac:dyDescent="0.25">
      <c r="A1314" s="52" t="s">
        <v>95</v>
      </c>
      <c r="B1314" s="90" t="s">
        <v>6944</v>
      </c>
    </row>
    <row r="1315" spans="1:2" x14ac:dyDescent="0.25">
      <c r="A1315" s="52" t="s">
        <v>95</v>
      </c>
      <c r="B1315" s="90" t="s">
        <v>6945</v>
      </c>
    </row>
    <row r="1316" spans="1:2" x14ac:dyDescent="0.25">
      <c r="A1316" s="52" t="s">
        <v>95</v>
      </c>
      <c r="B1316" s="90" t="s">
        <v>6946</v>
      </c>
    </row>
    <row r="1317" spans="1:2" x14ac:dyDescent="0.25">
      <c r="A1317" s="52" t="s">
        <v>95</v>
      </c>
      <c r="B1317" s="90" t="s">
        <v>6947</v>
      </c>
    </row>
    <row r="1318" spans="1:2" x14ac:dyDescent="0.25">
      <c r="A1318" s="52" t="s">
        <v>95</v>
      </c>
      <c r="B1318" s="90" t="s">
        <v>6948</v>
      </c>
    </row>
    <row r="1319" spans="1:2" x14ac:dyDescent="0.25">
      <c r="A1319" s="52" t="s">
        <v>95</v>
      </c>
      <c r="B1319" s="90" t="s">
        <v>6949</v>
      </c>
    </row>
    <row r="1320" spans="1:2" x14ac:dyDescent="0.25">
      <c r="A1320" s="52" t="s">
        <v>95</v>
      </c>
      <c r="B1320" s="90" t="s">
        <v>6950</v>
      </c>
    </row>
    <row r="1321" spans="1:2" x14ac:dyDescent="0.25">
      <c r="A1321" s="52" t="s">
        <v>95</v>
      </c>
      <c r="B1321" s="90" t="s">
        <v>6951</v>
      </c>
    </row>
    <row r="1322" spans="1:2" x14ac:dyDescent="0.25">
      <c r="A1322" s="52" t="s">
        <v>95</v>
      </c>
      <c r="B1322" s="90" t="s">
        <v>6952</v>
      </c>
    </row>
    <row r="1323" spans="1:2" x14ac:dyDescent="0.25">
      <c r="A1323" s="52" t="s">
        <v>95</v>
      </c>
      <c r="B1323" s="90" t="s">
        <v>6953</v>
      </c>
    </row>
    <row r="1324" spans="1:2" x14ac:dyDescent="0.25">
      <c r="A1324" s="52" t="s">
        <v>95</v>
      </c>
      <c r="B1324" s="90" t="s">
        <v>6954</v>
      </c>
    </row>
    <row r="1325" spans="1:2" x14ac:dyDescent="0.25">
      <c r="A1325" s="52" t="s">
        <v>95</v>
      </c>
      <c r="B1325" s="90" t="s">
        <v>6955</v>
      </c>
    </row>
    <row r="1326" spans="1:2" x14ac:dyDescent="0.25">
      <c r="A1326" s="52" t="s">
        <v>95</v>
      </c>
      <c r="B1326" s="90" t="s">
        <v>6956</v>
      </c>
    </row>
    <row r="1327" spans="1:2" x14ac:dyDescent="0.25">
      <c r="A1327" s="52" t="s">
        <v>95</v>
      </c>
      <c r="B1327" s="90" t="s">
        <v>6956</v>
      </c>
    </row>
    <row r="1328" spans="1:2" x14ac:dyDescent="0.25">
      <c r="A1328" s="52" t="s">
        <v>95</v>
      </c>
      <c r="B1328" s="90" t="s">
        <v>6957</v>
      </c>
    </row>
    <row r="1329" spans="1:2" x14ac:dyDescent="0.25">
      <c r="A1329" s="52" t="s">
        <v>95</v>
      </c>
      <c r="B1329" s="90" t="s">
        <v>6958</v>
      </c>
    </row>
    <row r="1330" spans="1:2" x14ac:dyDescent="0.25">
      <c r="A1330" s="52" t="s">
        <v>95</v>
      </c>
      <c r="B1330" s="90" t="s">
        <v>6959</v>
      </c>
    </row>
    <row r="1331" spans="1:2" x14ac:dyDescent="0.25">
      <c r="A1331" s="52" t="s">
        <v>95</v>
      </c>
      <c r="B1331" s="90" t="s">
        <v>6959</v>
      </c>
    </row>
    <row r="1332" spans="1:2" x14ac:dyDescent="0.25">
      <c r="A1332" s="52" t="s">
        <v>95</v>
      </c>
      <c r="B1332" s="90" t="s">
        <v>6959</v>
      </c>
    </row>
    <row r="1333" spans="1:2" x14ac:dyDescent="0.25">
      <c r="A1333" s="52" t="s">
        <v>95</v>
      </c>
      <c r="B1333" s="90" t="s">
        <v>6960</v>
      </c>
    </row>
    <row r="1334" spans="1:2" x14ac:dyDescent="0.25">
      <c r="A1334" s="52" t="s">
        <v>95</v>
      </c>
      <c r="B1334" s="90" t="s">
        <v>6961</v>
      </c>
    </row>
    <row r="1335" spans="1:2" x14ac:dyDescent="0.25">
      <c r="A1335" s="52" t="s">
        <v>95</v>
      </c>
      <c r="B1335" s="90" t="s">
        <v>6962</v>
      </c>
    </row>
    <row r="1336" spans="1:2" x14ac:dyDescent="0.25">
      <c r="A1336" s="52" t="s">
        <v>95</v>
      </c>
      <c r="B1336" s="90" t="s">
        <v>6963</v>
      </c>
    </row>
    <row r="1337" spans="1:2" x14ac:dyDescent="0.25">
      <c r="A1337" s="52" t="s">
        <v>95</v>
      </c>
      <c r="B1337" s="90" t="s">
        <v>6964</v>
      </c>
    </row>
    <row r="1338" spans="1:2" x14ac:dyDescent="0.25">
      <c r="A1338" s="52" t="s">
        <v>95</v>
      </c>
      <c r="B1338" s="90" t="s">
        <v>6965</v>
      </c>
    </row>
    <row r="1339" spans="1:2" x14ac:dyDescent="0.25">
      <c r="A1339" s="52" t="s">
        <v>95</v>
      </c>
      <c r="B1339" s="90" t="s">
        <v>6966</v>
      </c>
    </row>
    <row r="1340" spans="1:2" x14ac:dyDescent="0.25">
      <c r="A1340" s="52" t="s">
        <v>95</v>
      </c>
      <c r="B1340" s="90" t="s">
        <v>6967</v>
      </c>
    </row>
    <row r="1341" spans="1:2" x14ac:dyDescent="0.25">
      <c r="A1341" s="52" t="s">
        <v>95</v>
      </c>
      <c r="B1341" s="90" t="s">
        <v>6968</v>
      </c>
    </row>
    <row r="1342" spans="1:2" x14ac:dyDescent="0.25">
      <c r="A1342" s="52" t="s">
        <v>95</v>
      </c>
      <c r="B1342" s="90" t="s">
        <v>6969</v>
      </c>
    </row>
    <row r="1343" spans="1:2" x14ac:dyDescent="0.25">
      <c r="A1343" s="52" t="s">
        <v>95</v>
      </c>
      <c r="B1343" s="90" t="s">
        <v>6970</v>
      </c>
    </row>
    <row r="1344" spans="1:2" x14ac:dyDescent="0.25">
      <c r="A1344" s="52" t="s">
        <v>95</v>
      </c>
      <c r="B1344" s="90" t="s">
        <v>6971</v>
      </c>
    </row>
    <row r="1345" spans="1:2" x14ac:dyDescent="0.25">
      <c r="A1345" s="52" t="s">
        <v>95</v>
      </c>
      <c r="B1345" s="90" t="s">
        <v>6972</v>
      </c>
    </row>
    <row r="1346" spans="1:2" x14ac:dyDescent="0.25">
      <c r="A1346" s="52" t="s">
        <v>95</v>
      </c>
      <c r="B1346" s="90" t="s">
        <v>6973</v>
      </c>
    </row>
    <row r="1347" spans="1:2" x14ac:dyDescent="0.25">
      <c r="A1347" s="52" t="s">
        <v>95</v>
      </c>
      <c r="B1347" s="90" t="s">
        <v>6974</v>
      </c>
    </row>
    <row r="1348" spans="1:2" x14ac:dyDescent="0.25">
      <c r="A1348" s="52" t="s">
        <v>95</v>
      </c>
      <c r="B1348" s="90" t="s">
        <v>6975</v>
      </c>
    </row>
    <row r="1349" spans="1:2" x14ac:dyDescent="0.25">
      <c r="A1349" s="52" t="s">
        <v>95</v>
      </c>
      <c r="B1349" s="90" t="s">
        <v>6976</v>
      </c>
    </row>
    <row r="1350" spans="1:2" x14ac:dyDescent="0.25">
      <c r="A1350" s="52" t="s">
        <v>95</v>
      </c>
      <c r="B1350" s="90" t="s">
        <v>6977</v>
      </c>
    </row>
    <row r="1351" spans="1:2" x14ac:dyDescent="0.25">
      <c r="A1351" s="52" t="s">
        <v>95</v>
      </c>
      <c r="B1351" s="90" t="s">
        <v>6978</v>
      </c>
    </row>
    <row r="1352" spans="1:2" x14ac:dyDescent="0.25">
      <c r="A1352" s="52" t="s">
        <v>95</v>
      </c>
      <c r="B1352" s="90" t="s">
        <v>6979</v>
      </c>
    </row>
    <row r="1353" spans="1:2" x14ac:dyDescent="0.25">
      <c r="A1353" s="52" t="s">
        <v>95</v>
      </c>
      <c r="B1353" s="90" t="s">
        <v>6980</v>
      </c>
    </row>
    <row r="1354" spans="1:2" x14ac:dyDescent="0.25">
      <c r="A1354" s="52" t="s">
        <v>95</v>
      </c>
      <c r="B1354" s="90" t="s">
        <v>6981</v>
      </c>
    </row>
    <row r="1355" spans="1:2" x14ac:dyDescent="0.25">
      <c r="A1355" s="52" t="s">
        <v>95</v>
      </c>
      <c r="B1355" s="90" t="s">
        <v>6982</v>
      </c>
    </row>
    <row r="1356" spans="1:2" x14ac:dyDescent="0.25">
      <c r="A1356" s="52" t="s">
        <v>95</v>
      </c>
      <c r="B1356" s="90" t="s">
        <v>6983</v>
      </c>
    </row>
    <row r="1357" spans="1:2" x14ac:dyDescent="0.25">
      <c r="A1357" s="52" t="s">
        <v>95</v>
      </c>
      <c r="B1357" s="90" t="s">
        <v>6983</v>
      </c>
    </row>
    <row r="1358" spans="1:2" x14ac:dyDescent="0.25">
      <c r="A1358" s="52" t="s">
        <v>95</v>
      </c>
      <c r="B1358" s="90" t="s">
        <v>6984</v>
      </c>
    </row>
    <row r="1359" spans="1:2" x14ac:dyDescent="0.25">
      <c r="A1359" s="52" t="s">
        <v>95</v>
      </c>
      <c r="B1359" s="90" t="s">
        <v>6985</v>
      </c>
    </row>
    <row r="1360" spans="1:2" x14ac:dyDescent="0.25">
      <c r="A1360" s="52" t="s">
        <v>95</v>
      </c>
      <c r="B1360" s="90" t="s">
        <v>6986</v>
      </c>
    </row>
    <row r="1361" spans="1:2" x14ac:dyDescent="0.25">
      <c r="A1361" s="52" t="s">
        <v>95</v>
      </c>
      <c r="B1361" s="90" t="s">
        <v>6987</v>
      </c>
    </row>
    <row r="1362" spans="1:2" x14ac:dyDescent="0.25">
      <c r="A1362" s="52" t="s">
        <v>95</v>
      </c>
      <c r="B1362" s="90" t="s">
        <v>6988</v>
      </c>
    </row>
    <row r="1363" spans="1:2" x14ac:dyDescent="0.25">
      <c r="A1363" s="52" t="s">
        <v>95</v>
      </c>
      <c r="B1363" s="90" t="s">
        <v>6989</v>
      </c>
    </row>
    <row r="1364" spans="1:2" x14ac:dyDescent="0.25">
      <c r="A1364" s="52" t="s">
        <v>95</v>
      </c>
      <c r="B1364" s="90" t="s">
        <v>6990</v>
      </c>
    </row>
    <row r="1365" spans="1:2" x14ac:dyDescent="0.25">
      <c r="A1365" s="52" t="s">
        <v>95</v>
      </c>
      <c r="B1365" s="90" t="s">
        <v>6991</v>
      </c>
    </row>
    <row r="1366" spans="1:2" x14ac:dyDescent="0.25">
      <c r="A1366" s="52" t="s">
        <v>95</v>
      </c>
      <c r="B1366" s="90" t="s">
        <v>6992</v>
      </c>
    </row>
    <row r="1367" spans="1:2" x14ac:dyDescent="0.25">
      <c r="A1367" s="52" t="s">
        <v>95</v>
      </c>
      <c r="B1367" s="90" t="s">
        <v>6993</v>
      </c>
    </row>
    <row r="1368" spans="1:2" x14ac:dyDescent="0.25">
      <c r="A1368" s="52" t="s">
        <v>95</v>
      </c>
      <c r="B1368" s="90" t="s">
        <v>6994</v>
      </c>
    </row>
    <row r="1369" spans="1:2" x14ac:dyDescent="0.25">
      <c r="A1369" s="52" t="s">
        <v>95</v>
      </c>
      <c r="B1369" s="90" t="s">
        <v>6995</v>
      </c>
    </row>
    <row r="1370" spans="1:2" x14ac:dyDescent="0.25">
      <c r="A1370" s="52" t="s">
        <v>95</v>
      </c>
      <c r="B1370" s="90" t="s">
        <v>6996</v>
      </c>
    </row>
    <row r="1371" spans="1:2" x14ac:dyDescent="0.25">
      <c r="A1371" s="52" t="s">
        <v>95</v>
      </c>
      <c r="B1371" s="90" t="s">
        <v>6997</v>
      </c>
    </row>
    <row r="1372" spans="1:2" x14ac:dyDescent="0.25">
      <c r="A1372" s="52" t="s">
        <v>95</v>
      </c>
      <c r="B1372" s="90" t="s">
        <v>6998</v>
      </c>
    </row>
    <row r="1373" spans="1:2" x14ac:dyDescent="0.25">
      <c r="A1373" s="52" t="s">
        <v>95</v>
      </c>
      <c r="B1373" s="90" t="s">
        <v>6999</v>
      </c>
    </row>
    <row r="1374" spans="1:2" x14ac:dyDescent="0.25">
      <c r="A1374" s="52" t="s">
        <v>95</v>
      </c>
      <c r="B1374" s="90" t="s">
        <v>7000</v>
      </c>
    </row>
    <row r="1375" spans="1:2" x14ac:dyDescent="0.25">
      <c r="A1375" s="52" t="s">
        <v>95</v>
      </c>
      <c r="B1375" s="90" t="s">
        <v>7001</v>
      </c>
    </row>
    <row r="1376" spans="1:2" x14ac:dyDescent="0.25">
      <c r="A1376" s="52" t="s">
        <v>95</v>
      </c>
      <c r="B1376" s="90" t="s">
        <v>5777</v>
      </c>
    </row>
    <row r="1377" spans="1:2" x14ac:dyDescent="0.25">
      <c r="A1377" s="52" t="s">
        <v>95</v>
      </c>
      <c r="B1377" s="90" t="s">
        <v>7002</v>
      </c>
    </row>
    <row r="1378" spans="1:2" x14ac:dyDescent="0.25">
      <c r="A1378" s="52" t="s">
        <v>95</v>
      </c>
      <c r="B1378" s="90" t="s">
        <v>7003</v>
      </c>
    </row>
    <row r="1379" spans="1:2" x14ac:dyDescent="0.25">
      <c r="A1379" s="52" t="s">
        <v>95</v>
      </c>
      <c r="B1379" s="90" t="s">
        <v>7004</v>
      </c>
    </row>
    <row r="1380" spans="1:2" x14ac:dyDescent="0.25">
      <c r="A1380" s="52" t="s">
        <v>95</v>
      </c>
      <c r="B1380" s="90" t="s">
        <v>7005</v>
      </c>
    </row>
    <row r="1381" spans="1:2" x14ac:dyDescent="0.25">
      <c r="A1381" s="52" t="s">
        <v>95</v>
      </c>
      <c r="B1381" s="90" t="s">
        <v>7006</v>
      </c>
    </row>
    <row r="1382" spans="1:2" x14ac:dyDescent="0.25">
      <c r="A1382" s="52" t="s">
        <v>95</v>
      </c>
      <c r="B1382" s="90" t="s">
        <v>7007</v>
      </c>
    </row>
    <row r="1383" spans="1:2" x14ac:dyDescent="0.25">
      <c r="A1383" s="52" t="s">
        <v>95</v>
      </c>
      <c r="B1383" s="90" t="s">
        <v>7008</v>
      </c>
    </row>
    <row r="1384" spans="1:2" x14ac:dyDescent="0.25">
      <c r="A1384" s="52" t="s">
        <v>95</v>
      </c>
      <c r="B1384" s="90" t="s">
        <v>7009</v>
      </c>
    </row>
    <row r="1385" spans="1:2" x14ac:dyDescent="0.25">
      <c r="A1385" s="52" t="s">
        <v>95</v>
      </c>
      <c r="B1385" s="90" t="s">
        <v>7010</v>
      </c>
    </row>
    <row r="1386" spans="1:2" x14ac:dyDescent="0.25">
      <c r="A1386" s="52" t="s">
        <v>95</v>
      </c>
      <c r="B1386" s="90" t="s">
        <v>7011</v>
      </c>
    </row>
    <row r="1387" spans="1:2" x14ac:dyDescent="0.25">
      <c r="A1387" s="52" t="s">
        <v>95</v>
      </c>
      <c r="B1387" s="90" t="s">
        <v>7012</v>
      </c>
    </row>
    <row r="1388" spans="1:2" x14ac:dyDescent="0.25">
      <c r="A1388" s="52" t="s">
        <v>95</v>
      </c>
      <c r="B1388" s="90" t="s">
        <v>7013</v>
      </c>
    </row>
    <row r="1389" spans="1:2" x14ac:dyDescent="0.25">
      <c r="A1389" s="52" t="s">
        <v>95</v>
      </c>
      <c r="B1389" s="90" t="s">
        <v>7014</v>
      </c>
    </row>
    <row r="1390" spans="1:2" x14ac:dyDescent="0.25">
      <c r="A1390" s="52" t="s">
        <v>95</v>
      </c>
      <c r="B1390" s="90" t="s">
        <v>7015</v>
      </c>
    </row>
    <row r="1391" spans="1:2" x14ac:dyDescent="0.25">
      <c r="A1391" s="52" t="s">
        <v>95</v>
      </c>
      <c r="B1391" s="90" t="s">
        <v>7016</v>
      </c>
    </row>
    <row r="1392" spans="1:2" x14ac:dyDescent="0.25">
      <c r="A1392" s="52" t="s">
        <v>95</v>
      </c>
      <c r="B1392" s="90" t="s">
        <v>7017</v>
      </c>
    </row>
    <row r="1393" spans="1:2" x14ac:dyDescent="0.25">
      <c r="A1393" s="52" t="s">
        <v>95</v>
      </c>
      <c r="B1393" s="90" t="s">
        <v>7018</v>
      </c>
    </row>
    <row r="1394" spans="1:2" x14ac:dyDescent="0.25">
      <c r="A1394" s="52" t="s">
        <v>95</v>
      </c>
      <c r="B1394" s="90" t="s">
        <v>7019</v>
      </c>
    </row>
    <row r="1395" spans="1:2" x14ac:dyDescent="0.25">
      <c r="A1395" s="52" t="s">
        <v>95</v>
      </c>
      <c r="B1395" s="90" t="s">
        <v>7020</v>
      </c>
    </row>
    <row r="1396" spans="1:2" x14ac:dyDescent="0.25">
      <c r="A1396" s="52" t="s">
        <v>95</v>
      </c>
      <c r="B1396" s="90" t="s">
        <v>7021</v>
      </c>
    </row>
    <row r="1397" spans="1:2" x14ac:dyDescent="0.25">
      <c r="A1397" s="52" t="s">
        <v>95</v>
      </c>
      <c r="B1397" s="90" t="s">
        <v>7022</v>
      </c>
    </row>
    <row r="1398" spans="1:2" x14ac:dyDescent="0.25">
      <c r="A1398" s="52" t="s">
        <v>95</v>
      </c>
      <c r="B1398" s="90" t="s">
        <v>7023</v>
      </c>
    </row>
    <row r="1399" spans="1:2" x14ac:dyDescent="0.25">
      <c r="A1399" s="52" t="s">
        <v>95</v>
      </c>
      <c r="B1399" s="90" t="s">
        <v>7024</v>
      </c>
    </row>
    <row r="1400" spans="1:2" x14ac:dyDescent="0.25">
      <c r="A1400" s="52" t="s">
        <v>95</v>
      </c>
      <c r="B1400" s="90" t="s">
        <v>7025</v>
      </c>
    </row>
    <row r="1401" spans="1:2" x14ac:dyDescent="0.25">
      <c r="A1401" s="52" t="s">
        <v>95</v>
      </c>
      <c r="B1401" s="90" t="s">
        <v>7026</v>
      </c>
    </row>
    <row r="1402" spans="1:2" x14ac:dyDescent="0.25">
      <c r="A1402" s="52" t="s">
        <v>95</v>
      </c>
      <c r="B1402" s="90" t="s">
        <v>7027</v>
      </c>
    </row>
    <row r="1403" spans="1:2" x14ac:dyDescent="0.25">
      <c r="A1403" s="52" t="s">
        <v>95</v>
      </c>
      <c r="B1403" s="90" t="s">
        <v>7028</v>
      </c>
    </row>
    <row r="1404" spans="1:2" x14ac:dyDescent="0.25">
      <c r="A1404" s="52" t="s">
        <v>95</v>
      </c>
      <c r="B1404" s="90" t="s">
        <v>7029</v>
      </c>
    </row>
    <row r="1405" spans="1:2" x14ac:dyDescent="0.25">
      <c r="A1405" s="52" t="s">
        <v>95</v>
      </c>
      <c r="B1405" s="90" t="s">
        <v>7030</v>
      </c>
    </row>
    <row r="1406" spans="1:2" x14ac:dyDescent="0.25">
      <c r="A1406" s="52" t="s">
        <v>95</v>
      </c>
      <c r="B1406" s="90" t="s">
        <v>7031</v>
      </c>
    </row>
    <row r="1407" spans="1:2" x14ac:dyDescent="0.25">
      <c r="A1407" s="52" t="s">
        <v>95</v>
      </c>
      <c r="B1407" s="90" t="s">
        <v>7032</v>
      </c>
    </row>
    <row r="1408" spans="1:2" x14ac:dyDescent="0.25">
      <c r="A1408" s="52" t="s">
        <v>95</v>
      </c>
      <c r="B1408" s="90" t="s">
        <v>7033</v>
      </c>
    </row>
    <row r="1409" spans="1:2" x14ac:dyDescent="0.25">
      <c r="A1409" s="52" t="s">
        <v>95</v>
      </c>
      <c r="B1409" s="90" t="s">
        <v>7034</v>
      </c>
    </row>
    <row r="1410" spans="1:2" x14ac:dyDescent="0.25">
      <c r="A1410" s="52" t="s">
        <v>95</v>
      </c>
      <c r="B1410" s="90" t="s">
        <v>7035</v>
      </c>
    </row>
    <row r="1411" spans="1:2" x14ac:dyDescent="0.25">
      <c r="A1411" s="52" t="s">
        <v>95</v>
      </c>
      <c r="B1411" s="90" t="s">
        <v>7036</v>
      </c>
    </row>
    <row r="1412" spans="1:2" x14ac:dyDescent="0.25">
      <c r="A1412" s="52" t="s">
        <v>95</v>
      </c>
      <c r="B1412" s="90" t="s">
        <v>7037</v>
      </c>
    </row>
    <row r="1413" spans="1:2" x14ac:dyDescent="0.25">
      <c r="A1413" s="52" t="s">
        <v>95</v>
      </c>
      <c r="B1413" s="90" t="s">
        <v>7038</v>
      </c>
    </row>
    <row r="1414" spans="1:2" x14ac:dyDescent="0.25">
      <c r="A1414" s="52" t="s">
        <v>95</v>
      </c>
      <c r="B1414" s="90" t="s">
        <v>7039</v>
      </c>
    </row>
    <row r="1415" spans="1:2" x14ac:dyDescent="0.25">
      <c r="A1415" s="52" t="s">
        <v>95</v>
      </c>
      <c r="B1415" s="90" t="s">
        <v>7040</v>
      </c>
    </row>
    <row r="1416" spans="1:2" x14ac:dyDescent="0.25">
      <c r="A1416" s="52" t="s">
        <v>95</v>
      </c>
      <c r="B1416" s="90" t="s">
        <v>7041</v>
      </c>
    </row>
    <row r="1417" spans="1:2" x14ac:dyDescent="0.25">
      <c r="A1417" s="52" t="s">
        <v>95</v>
      </c>
      <c r="B1417" s="90" t="s">
        <v>7042</v>
      </c>
    </row>
    <row r="1418" spans="1:2" x14ac:dyDescent="0.25">
      <c r="A1418" s="52" t="s">
        <v>95</v>
      </c>
      <c r="B1418" s="90" t="s">
        <v>7043</v>
      </c>
    </row>
    <row r="1419" spans="1:2" x14ac:dyDescent="0.25">
      <c r="A1419" s="52" t="s">
        <v>95</v>
      </c>
      <c r="B1419" s="90" t="s">
        <v>7044</v>
      </c>
    </row>
    <row r="1420" spans="1:2" x14ac:dyDescent="0.25">
      <c r="A1420" s="52" t="s">
        <v>95</v>
      </c>
      <c r="B1420" s="90" t="s">
        <v>7045</v>
      </c>
    </row>
    <row r="1421" spans="1:2" x14ac:dyDescent="0.25">
      <c r="A1421" s="52" t="s">
        <v>95</v>
      </c>
      <c r="B1421" s="90" t="s">
        <v>7046</v>
      </c>
    </row>
    <row r="1422" spans="1:2" x14ac:dyDescent="0.25">
      <c r="A1422" s="52" t="s">
        <v>95</v>
      </c>
      <c r="B1422" s="90" t="s">
        <v>7047</v>
      </c>
    </row>
    <row r="1423" spans="1:2" x14ac:dyDescent="0.25">
      <c r="A1423" s="52" t="s">
        <v>95</v>
      </c>
      <c r="B1423" s="90" t="s">
        <v>7048</v>
      </c>
    </row>
    <row r="1424" spans="1:2" x14ac:dyDescent="0.25">
      <c r="A1424" s="52" t="s">
        <v>95</v>
      </c>
      <c r="B1424" s="90" t="s">
        <v>7049</v>
      </c>
    </row>
    <row r="1425" spans="1:2" x14ac:dyDescent="0.25">
      <c r="A1425" s="52" t="s">
        <v>95</v>
      </c>
      <c r="B1425" s="90" t="s">
        <v>7050</v>
      </c>
    </row>
    <row r="1426" spans="1:2" x14ac:dyDescent="0.25">
      <c r="A1426" s="52" t="s">
        <v>95</v>
      </c>
      <c r="B1426" s="90" t="s">
        <v>7051</v>
      </c>
    </row>
    <row r="1427" spans="1:2" x14ac:dyDescent="0.25">
      <c r="A1427" s="52" t="s">
        <v>95</v>
      </c>
      <c r="B1427" s="90" t="s">
        <v>7052</v>
      </c>
    </row>
    <row r="1428" spans="1:2" x14ac:dyDescent="0.25">
      <c r="A1428" s="52" t="s">
        <v>95</v>
      </c>
      <c r="B1428" s="90" t="s">
        <v>7053</v>
      </c>
    </row>
    <row r="1429" spans="1:2" x14ac:dyDescent="0.25">
      <c r="A1429" s="52" t="s">
        <v>95</v>
      </c>
      <c r="B1429" s="90" t="s">
        <v>7054</v>
      </c>
    </row>
    <row r="1430" spans="1:2" x14ac:dyDescent="0.25">
      <c r="A1430" s="52" t="s">
        <v>95</v>
      </c>
      <c r="B1430" s="90" t="s">
        <v>7055</v>
      </c>
    </row>
    <row r="1431" spans="1:2" x14ac:dyDescent="0.25">
      <c r="A1431" s="52" t="s">
        <v>95</v>
      </c>
      <c r="B1431" s="90" t="s">
        <v>7056</v>
      </c>
    </row>
    <row r="1432" spans="1:2" x14ac:dyDescent="0.25">
      <c r="A1432" s="52" t="s">
        <v>95</v>
      </c>
      <c r="B1432" s="90" t="s">
        <v>7057</v>
      </c>
    </row>
    <row r="1433" spans="1:2" x14ac:dyDescent="0.25">
      <c r="A1433" s="52" t="s">
        <v>95</v>
      </c>
      <c r="B1433" s="90" t="s">
        <v>7058</v>
      </c>
    </row>
    <row r="1434" spans="1:2" x14ac:dyDescent="0.25">
      <c r="A1434" s="52" t="s">
        <v>95</v>
      </c>
      <c r="B1434" s="90" t="s">
        <v>7059</v>
      </c>
    </row>
    <row r="1435" spans="1:2" x14ac:dyDescent="0.25">
      <c r="A1435" s="52" t="s">
        <v>95</v>
      </c>
      <c r="B1435" s="90" t="s">
        <v>7060</v>
      </c>
    </row>
    <row r="1436" spans="1:2" x14ac:dyDescent="0.25">
      <c r="A1436" s="52" t="s">
        <v>95</v>
      </c>
      <c r="B1436" s="90" t="s">
        <v>7061</v>
      </c>
    </row>
    <row r="1437" spans="1:2" x14ac:dyDescent="0.25">
      <c r="A1437" s="52" t="s">
        <v>95</v>
      </c>
      <c r="B1437" s="90" t="s">
        <v>7062</v>
      </c>
    </row>
    <row r="1438" spans="1:2" x14ac:dyDescent="0.25">
      <c r="A1438" s="52" t="s">
        <v>95</v>
      </c>
      <c r="B1438" s="90" t="s">
        <v>7063</v>
      </c>
    </row>
    <row r="1439" spans="1:2" x14ac:dyDescent="0.25">
      <c r="A1439" s="52" t="s">
        <v>95</v>
      </c>
      <c r="B1439" s="90" t="s">
        <v>7064</v>
      </c>
    </row>
    <row r="1440" spans="1:2" x14ac:dyDescent="0.25">
      <c r="A1440" s="52" t="s">
        <v>95</v>
      </c>
      <c r="B1440" s="90" t="s">
        <v>7065</v>
      </c>
    </row>
    <row r="1441" spans="1:2" x14ac:dyDescent="0.25">
      <c r="A1441" s="52" t="s">
        <v>95</v>
      </c>
      <c r="B1441" s="90" t="s">
        <v>7066</v>
      </c>
    </row>
    <row r="1442" spans="1:2" x14ac:dyDescent="0.25">
      <c r="A1442" s="52" t="s">
        <v>95</v>
      </c>
      <c r="B1442" s="90" t="s">
        <v>7067</v>
      </c>
    </row>
    <row r="1443" spans="1:2" x14ac:dyDescent="0.25">
      <c r="A1443" s="52" t="s">
        <v>95</v>
      </c>
      <c r="B1443" s="90" t="s">
        <v>7068</v>
      </c>
    </row>
    <row r="1444" spans="1:2" x14ac:dyDescent="0.25">
      <c r="A1444" s="52" t="s">
        <v>95</v>
      </c>
      <c r="B1444" s="90" t="s">
        <v>7069</v>
      </c>
    </row>
    <row r="1445" spans="1:2" x14ac:dyDescent="0.25">
      <c r="A1445" s="52" t="s">
        <v>95</v>
      </c>
      <c r="B1445" s="90" t="s">
        <v>7070</v>
      </c>
    </row>
    <row r="1446" spans="1:2" x14ac:dyDescent="0.25">
      <c r="A1446" s="52" t="s">
        <v>95</v>
      </c>
      <c r="B1446" s="90" t="s">
        <v>7071</v>
      </c>
    </row>
    <row r="1447" spans="1:2" x14ac:dyDescent="0.25">
      <c r="A1447" s="52" t="s">
        <v>95</v>
      </c>
      <c r="B1447" s="90" t="s">
        <v>7072</v>
      </c>
    </row>
    <row r="1448" spans="1:2" x14ac:dyDescent="0.25">
      <c r="A1448" s="52" t="s">
        <v>95</v>
      </c>
      <c r="B1448" s="90" t="s">
        <v>7073</v>
      </c>
    </row>
    <row r="1449" spans="1:2" x14ac:dyDescent="0.25">
      <c r="A1449" s="52" t="s">
        <v>95</v>
      </c>
      <c r="B1449" s="90" t="s">
        <v>7074</v>
      </c>
    </row>
    <row r="1450" spans="1:2" x14ac:dyDescent="0.25">
      <c r="A1450" s="52" t="s">
        <v>95</v>
      </c>
      <c r="B1450" s="90" t="s">
        <v>7075</v>
      </c>
    </row>
    <row r="1451" spans="1:2" x14ac:dyDescent="0.25">
      <c r="A1451" s="52" t="s">
        <v>95</v>
      </c>
      <c r="B1451" s="90" t="s">
        <v>7076</v>
      </c>
    </row>
    <row r="1452" spans="1:2" x14ac:dyDescent="0.25">
      <c r="A1452" s="52" t="s">
        <v>95</v>
      </c>
      <c r="B1452" s="90" t="s">
        <v>7077</v>
      </c>
    </row>
    <row r="1453" spans="1:2" x14ac:dyDescent="0.25">
      <c r="A1453" s="52" t="s">
        <v>95</v>
      </c>
      <c r="B1453" s="90" t="s">
        <v>7078</v>
      </c>
    </row>
    <row r="1454" spans="1:2" x14ac:dyDescent="0.25">
      <c r="A1454" s="52" t="s">
        <v>95</v>
      </c>
      <c r="B1454" s="90" t="s">
        <v>7079</v>
      </c>
    </row>
    <row r="1455" spans="1:2" x14ac:dyDescent="0.25">
      <c r="A1455" s="52" t="s">
        <v>95</v>
      </c>
      <c r="B1455" s="90" t="s">
        <v>7080</v>
      </c>
    </row>
    <row r="1456" spans="1:2" x14ac:dyDescent="0.25">
      <c r="A1456" s="52" t="s">
        <v>95</v>
      </c>
      <c r="B1456" s="90" t="s">
        <v>7081</v>
      </c>
    </row>
    <row r="1457" spans="1:2" x14ac:dyDescent="0.25">
      <c r="A1457" s="52" t="s">
        <v>95</v>
      </c>
      <c r="B1457" s="90" t="s">
        <v>7082</v>
      </c>
    </row>
    <row r="1458" spans="1:2" x14ac:dyDescent="0.25">
      <c r="A1458" s="52" t="s">
        <v>95</v>
      </c>
      <c r="B1458" s="90" t="s">
        <v>7083</v>
      </c>
    </row>
    <row r="1459" spans="1:2" x14ac:dyDescent="0.25">
      <c r="A1459" s="52" t="s">
        <v>95</v>
      </c>
      <c r="B1459" s="90" t="s">
        <v>7084</v>
      </c>
    </row>
    <row r="1460" spans="1:2" x14ac:dyDescent="0.25">
      <c r="A1460" s="52" t="s">
        <v>95</v>
      </c>
      <c r="B1460" s="90" t="s">
        <v>7085</v>
      </c>
    </row>
    <row r="1461" spans="1:2" x14ac:dyDescent="0.25">
      <c r="A1461" s="52" t="s">
        <v>95</v>
      </c>
      <c r="B1461" s="90" t="s">
        <v>7086</v>
      </c>
    </row>
    <row r="1462" spans="1:2" x14ac:dyDescent="0.25">
      <c r="A1462" s="52" t="s">
        <v>95</v>
      </c>
      <c r="B1462" s="90" t="s">
        <v>7087</v>
      </c>
    </row>
    <row r="1463" spans="1:2" x14ac:dyDescent="0.25">
      <c r="A1463" s="52" t="s">
        <v>95</v>
      </c>
      <c r="B1463" s="90" t="s">
        <v>7088</v>
      </c>
    </row>
    <row r="1464" spans="1:2" x14ac:dyDescent="0.25">
      <c r="A1464" s="52" t="s">
        <v>95</v>
      </c>
      <c r="B1464" s="90" t="s">
        <v>7089</v>
      </c>
    </row>
    <row r="1465" spans="1:2" x14ac:dyDescent="0.25">
      <c r="A1465" s="52" t="s">
        <v>95</v>
      </c>
      <c r="B1465" s="90" t="s">
        <v>7090</v>
      </c>
    </row>
    <row r="1466" spans="1:2" x14ac:dyDescent="0.25">
      <c r="A1466" s="52" t="s">
        <v>95</v>
      </c>
      <c r="B1466" s="90" t="s">
        <v>7091</v>
      </c>
    </row>
    <row r="1467" spans="1:2" x14ac:dyDescent="0.25">
      <c r="A1467" s="52" t="s">
        <v>95</v>
      </c>
      <c r="B1467" s="90" t="s">
        <v>7092</v>
      </c>
    </row>
    <row r="1468" spans="1:2" x14ac:dyDescent="0.25">
      <c r="A1468" s="52" t="s">
        <v>95</v>
      </c>
      <c r="B1468" s="90" t="s">
        <v>7093</v>
      </c>
    </row>
    <row r="1469" spans="1:2" x14ac:dyDescent="0.25">
      <c r="A1469" s="52" t="s">
        <v>95</v>
      </c>
      <c r="B1469" s="90" t="s">
        <v>7094</v>
      </c>
    </row>
    <row r="1470" spans="1:2" x14ac:dyDescent="0.25">
      <c r="A1470" s="52" t="s">
        <v>95</v>
      </c>
      <c r="B1470" s="90" t="s">
        <v>7095</v>
      </c>
    </row>
    <row r="1471" spans="1:2" x14ac:dyDescent="0.25">
      <c r="A1471" s="52" t="s">
        <v>95</v>
      </c>
      <c r="B1471" s="90" t="s">
        <v>7096</v>
      </c>
    </row>
    <row r="1472" spans="1:2" x14ac:dyDescent="0.25">
      <c r="A1472" s="52" t="s">
        <v>95</v>
      </c>
      <c r="B1472" s="90" t="s">
        <v>7097</v>
      </c>
    </row>
    <row r="1473" spans="1:2" x14ac:dyDescent="0.25">
      <c r="A1473" s="52" t="s">
        <v>95</v>
      </c>
      <c r="B1473" s="90" t="s">
        <v>7098</v>
      </c>
    </row>
    <row r="1474" spans="1:2" x14ac:dyDescent="0.25">
      <c r="A1474" s="52" t="s">
        <v>95</v>
      </c>
      <c r="B1474" s="90" t="s">
        <v>7099</v>
      </c>
    </row>
    <row r="1475" spans="1:2" x14ac:dyDescent="0.25">
      <c r="A1475" s="52" t="s">
        <v>95</v>
      </c>
      <c r="B1475" s="90" t="s">
        <v>7100</v>
      </c>
    </row>
    <row r="1476" spans="1:2" x14ac:dyDescent="0.25">
      <c r="A1476" s="52" t="s">
        <v>95</v>
      </c>
      <c r="B1476" s="90" t="s">
        <v>7101</v>
      </c>
    </row>
    <row r="1477" spans="1:2" x14ac:dyDescent="0.25">
      <c r="A1477" s="52" t="s">
        <v>95</v>
      </c>
      <c r="B1477" s="90" t="s">
        <v>7102</v>
      </c>
    </row>
    <row r="1478" spans="1:2" x14ac:dyDescent="0.25">
      <c r="A1478" s="52" t="s">
        <v>95</v>
      </c>
      <c r="B1478" s="90" t="s">
        <v>7103</v>
      </c>
    </row>
    <row r="1479" spans="1:2" x14ac:dyDescent="0.25">
      <c r="A1479" s="52" t="s">
        <v>95</v>
      </c>
      <c r="B1479" s="90" t="s">
        <v>7104</v>
      </c>
    </row>
    <row r="1480" spans="1:2" x14ac:dyDescent="0.25">
      <c r="A1480" s="52" t="s">
        <v>95</v>
      </c>
      <c r="B1480" s="90" t="s">
        <v>7105</v>
      </c>
    </row>
    <row r="1481" spans="1:2" x14ac:dyDescent="0.25">
      <c r="A1481" s="52" t="s">
        <v>95</v>
      </c>
      <c r="B1481" s="90" t="s">
        <v>7106</v>
      </c>
    </row>
    <row r="1482" spans="1:2" x14ac:dyDescent="0.25">
      <c r="A1482" s="52" t="s">
        <v>95</v>
      </c>
      <c r="B1482" s="90" t="s">
        <v>7107</v>
      </c>
    </row>
    <row r="1483" spans="1:2" x14ac:dyDescent="0.25">
      <c r="A1483" s="52" t="s">
        <v>95</v>
      </c>
      <c r="B1483" s="90" t="s">
        <v>7108</v>
      </c>
    </row>
    <row r="1484" spans="1:2" x14ac:dyDescent="0.25">
      <c r="A1484" s="52" t="s">
        <v>95</v>
      </c>
      <c r="B1484" s="90" t="s">
        <v>7109</v>
      </c>
    </row>
    <row r="1485" spans="1:2" x14ac:dyDescent="0.25">
      <c r="A1485" s="52" t="s">
        <v>95</v>
      </c>
      <c r="B1485" s="90" t="s">
        <v>7110</v>
      </c>
    </row>
    <row r="1486" spans="1:2" x14ac:dyDescent="0.25">
      <c r="A1486" s="52" t="s">
        <v>95</v>
      </c>
      <c r="B1486" s="90" t="s">
        <v>7111</v>
      </c>
    </row>
    <row r="1487" spans="1:2" x14ac:dyDescent="0.25">
      <c r="A1487" s="52" t="s">
        <v>95</v>
      </c>
      <c r="B1487" s="90" t="s">
        <v>7112</v>
      </c>
    </row>
    <row r="1488" spans="1:2" x14ac:dyDescent="0.25">
      <c r="A1488" s="52" t="s">
        <v>95</v>
      </c>
      <c r="B1488" s="90" t="s">
        <v>7113</v>
      </c>
    </row>
    <row r="1489" spans="1:2" x14ac:dyDescent="0.25">
      <c r="A1489" s="52" t="s">
        <v>95</v>
      </c>
      <c r="B1489" s="90" t="s">
        <v>7114</v>
      </c>
    </row>
    <row r="1490" spans="1:2" x14ac:dyDescent="0.25">
      <c r="A1490" s="52" t="s">
        <v>95</v>
      </c>
      <c r="B1490" s="90" t="s">
        <v>7115</v>
      </c>
    </row>
    <row r="1491" spans="1:2" x14ac:dyDescent="0.25">
      <c r="A1491" s="52" t="s">
        <v>95</v>
      </c>
      <c r="B1491" s="90" t="s">
        <v>7116</v>
      </c>
    </row>
    <row r="1492" spans="1:2" x14ac:dyDescent="0.25">
      <c r="A1492" s="52" t="s">
        <v>95</v>
      </c>
      <c r="B1492" s="90" t="s">
        <v>7117</v>
      </c>
    </row>
    <row r="1493" spans="1:2" x14ac:dyDescent="0.25">
      <c r="A1493" s="52" t="s">
        <v>95</v>
      </c>
      <c r="B1493" s="90" t="s">
        <v>7118</v>
      </c>
    </row>
    <row r="1494" spans="1:2" x14ac:dyDescent="0.25">
      <c r="A1494" s="52" t="s">
        <v>95</v>
      </c>
      <c r="B1494" s="90" t="s">
        <v>7119</v>
      </c>
    </row>
    <row r="1495" spans="1:2" x14ac:dyDescent="0.25">
      <c r="A1495" s="52" t="s">
        <v>95</v>
      </c>
      <c r="B1495" s="90" t="s">
        <v>7120</v>
      </c>
    </row>
    <row r="1496" spans="1:2" x14ac:dyDescent="0.25">
      <c r="A1496" s="52" t="s">
        <v>95</v>
      </c>
      <c r="B1496" s="90" t="s">
        <v>7121</v>
      </c>
    </row>
    <row r="1497" spans="1:2" x14ac:dyDescent="0.25">
      <c r="A1497" s="52" t="s">
        <v>95</v>
      </c>
      <c r="B1497" s="90" t="s">
        <v>7122</v>
      </c>
    </row>
    <row r="1498" spans="1:2" x14ac:dyDescent="0.25">
      <c r="A1498" s="52" t="s">
        <v>95</v>
      </c>
      <c r="B1498" s="90" t="s">
        <v>7123</v>
      </c>
    </row>
    <row r="1499" spans="1:2" x14ac:dyDescent="0.25">
      <c r="A1499" s="52" t="s">
        <v>95</v>
      </c>
      <c r="B1499" s="90" t="s">
        <v>7124</v>
      </c>
    </row>
    <row r="1500" spans="1:2" x14ac:dyDescent="0.25">
      <c r="A1500" s="52" t="s">
        <v>95</v>
      </c>
      <c r="B1500" s="90" t="s">
        <v>7125</v>
      </c>
    </row>
    <row r="1501" spans="1:2" x14ac:dyDescent="0.25">
      <c r="A1501" s="52" t="s">
        <v>95</v>
      </c>
      <c r="B1501" s="90" t="s">
        <v>7126</v>
      </c>
    </row>
    <row r="1502" spans="1:2" x14ac:dyDescent="0.25">
      <c r="A1502" s="52" t="s">
        <v>95</v>
      </c>
      <c r="B1502" s="90" t="s">
        <v>7127</v>
      </c>
    </row>
    <row r="1503" spans="1:2" x14ac:dyDescent="0.25">
      <c r="A1503" s="52" t="s">
        <v>95</v>
      </c>
      <c r="B1503" s="90" t="s">
        <v>7128</v>
      </c>
    </row>
    <row r="1504" spans="1:2" x14ac:dyDescent="0.25">
      <c r="A1504" s="52" t="s">
        <v>95</v>
      </c>
      <c r="B1504" s="90" t="s">
        <v>7129</v>
      </c>
    </row>
    <row r="1505" spans="1:2" x14ac:dyDescent="0.25">
      <c r="A1505" s="52" t="s">
        <v>95</v>
      </c>
      <c r="B1505" s="90" t="s">
        <v>7130</v>
      </c>
    </row>
    <row r="1506" spans="1:2" x14ac:dyDescent="0.25">
      <c r="A1506" s="52" t="s">
        <v>95</v>
      </c>
      <c r="B1506" s="90" t="s">
        <v>7131</v>
      </c>
    </row>
    <row r="1507" spans="1:2" x14ac:dyDescent="0.25">
      <c r="A1507" s="52" t="s">
        <v>95</v>
      </c>
      <c r="B1507" s="90" t="s">
        <v>7132</v>
      </c>
    </row>
    <row r="1508" spans="1:2" x14ac:dyDescent="0.25">
      <c r="A1508" s="52" t="s">
        <v>95</v>
      </c>
      <c r="B1508" s="90" t="s">
        <v>7133</v>
      </c>
    </row>
    <row r="1509" spans="1:2" x14ac:dyDescent="0.25">
      <c r="A1509" s="52" t="s">
        <v>95</v>
      </c>
      <c r="B1509" s="90" t="s">
        <v>7134</v>
      </c>
    </row>
    <row r="1510" spans="1:2" x14ac:dyDescent="0.25">
      <c r="A1510" s="52" t="s">
        <v>95</v>
      </c>
      <c r="B1510" s="90" t="s">
        <v>7135</v>
      </c>
    </row>
    <row r="1511" spans="1:2" x14ac:dyDescent="0.25">
      <c r="A1511" s="52" t="s">
        <v>95</v>
      </c>
      <c r="B1511" s="90" t="s">
        <v>7136</v>
      </c>
    </row>
    <row r="1512" spans="1:2" x14ac:dyDescent="0.25">
      <c r="A1512" s="52" t="s">
        <v>95</v>
      </c>
      <c r="B1512" s="90" t="s">
        <v>7137</v>
      </c>
    </row>
    <row r="1513" spans="1:2" x14ac:dyDescent="0.25">
      <c r="A1513" s="52" t="s">
        <v>95</v>
      </c>
      <c r="B1513" s="90" t="s">
        <v>7138</v>
      </c>
    </row>
    <row r="1514" spans="1:2" x14ac:dyDescent="0.25">
      <c r="A1514" s="52" t="s">
        <v>95</v>
      </c>
      <c r="B1514" s="90" t="s">
        <v>7139</v>
      </c>
    </row>
    <row r="1515" spans="1:2" x14ac:dyDescent="0.25">
      <c r="A1515" s="52" t="s">
        <v>95</v>
      </c>
      <c r="B1515" s="90" t="s">
        <v>7140</v>
      </c>
    </row>
    <row r="1516" spans="1:2" x14ac:dyDescent="0.25">
      <c r="A1516" s="52" t="s">
        <v>95</v>
      </c>
      <c r="B1516" s="90" t="s">
        <v>7141</v>
      </c>
    </row>
    <row r="1517" spans="1:2" x14ac:dyDescent="0.25">
      <c r="A1517" s="52" t="s">
        <v>95</v>
      </c>
      <c r="B1517" s="90" t="s">
        <v>7142</v>
      </c>
    </row>
    <row r="1518" spans="1:2" x14ac:dyDescent="0.25">
      <c r="A1518" s="52" t="s">
        <v>95</v>
      </c>
      <c r="B1518" s="90" t="s">
        <v>7143</v>
      </c>
    </row>
    <row r="1519" spans="1:2" x14ac:dyDescent="0.25">
      <c r="A1519" s="52" t="s">
        <v>95</v>
      </c>
      <c r="B1519" s="90" t="s">
        <v>7144</v>
      </c>
    </row>
    <row r="1520" spans="1:2" x14ac:dyDescent="0.25">
      <c r="A1520" s="52" t="s">
        <v>95</v>
      </c>
      <c r="B1520" s="90" t="s">
        <v>7145</v>
      </c>
    </row>
    <row r="1521" spans="1:2" x14ac:dyDescent="0.25">
      <c r="A1521" s="52" t="s">
        <v>95</v>
      </c>
      <c r="B1521" s="90" t="s">
        <v>7146</v>
      </c>
    </row>
    <row r="1522" spans="1:2" x14ac:dyDescent="0.25">
      <c r="A1522" s="52" t="s">
        <v>95</v>
      </c>
      <c r="B1522" s="90" t="s">
        <v>7147</v>
      </c>
    </row>
    <row r="1523" spans="1:2" x14ac:dyDescent="0.25">
      <c r="A1523" s="52" t="s">
        <v>95</v>
      </c>
      <c r="B1523" s="90" t="s">
        <v>7148</v>
      </c>
    </row>
    <row r="1524" spans="1:2" x14ac:dyDescent="0.25">
      <c r="A1524" s="52" t="s">
        <v>95</v>
      </c>
      <c r="B1524" s="90" t="s">
        <v>7149</v>
      </c>
    </row>
    <row r="1525" spans="1:2" x14ac:dyDescent="0.25">
      <c r="A1525" s="52" t="s">
        <v>95</v>
      </c>
      <c r="B1525" s="90" t="s">
        <v>7150</v>
      </c>
    </row>
    <row r="1526" spans="1:2" x14ac:dyDescent="0.25">
      <c r="A1526" s="52" t="s">
        <v>95</v>
      </c>
      <c r="B1526" s="90" t="s">
        <v>7151</v>
      </c>
    </row>
    <row r="1527" spans="1:2" x14ac:dyDescent="0.25">
      <c r="A1527" s="52" t="s">
        <v>95</v>
      </c>
      <c r="B1527" s="90" t="s">
        <v>7152</v>
      </c>
    </row>
    <row r="1528" spans="1:2" x14ac:dyDescent="0.25">
      <c r="A1528" s="52" t="s">
        <v>95</v>
      </c>
      <c r="B1528" s="90" t="s">
        <v>7153</v>
      </c>
    </row>
    <row r="1529" spans="1:2" x14ac:dyDescent="0.25">
      <c r="A1529" s="52" t="s">
        <v>95</v>
      </c>
      <c r="B1529" s="90" t="s">
        <v>7154</v>
      </c>
    </row>
    <row r="1530" spans="1:2" x14ac:dyDescent="0.25">
      <c r="A1530" s="52" t="s">
        <v>95</v>
      </c>
      <c r="B1530" s="90" t="s">
        <v>7155</v>
      </c>
    </row>
    <row r="1531" spans="1:2" x14ac:dyDescent="0.25">
      <c r="A1531" s="52" t="s">
        <v>95</v>
      </c>
      <c r="B1531" s="90" t="s">
        <v>7156</v>
      </c>
    </row>
    <row r="1532" spans="1:2" x14ac:dyDescent="0.25">
      <c r="A1532" s="52" t="s">
        <v>95</v>
      </c>
      <c r="B1532" s="90" t="s">
        <v>7157</v>
      </c>
    </row>
    <row r="1533" spans="1:2" x14ac:dyDescent="0.25">
      <c r="A1533" s="52" t="s">
        <v>95</v>
      </c>
      <c r="B1533" s="90" t="s">
        <v>7158</v>
      </c>
    </row>
    <row r="1534" spans="1:2" x14ac:dyDescent="0.25">
      <c r="A1534" s="52" t="s">
        <v>95</v>
      </c>
      <c r="B1534" s="90" t="s">
        <v>7159</v>
      </c>
    </row>
    <row r="1535" spans="1:2" x14ac:dyDescent="0.25">
      <c r="A1535" s="52" t="s">
        <v>95</v>
      </c>
      <c r="B1535" s="90" t="s">
        <v>7160</v>
      </c>
    </row>
    <row r="1536" spans="1:2" x14ac:dyDescent="0.25">
      <c r="A1536" s="52" t="s">
        <v>95</v>
      </c>
      <c r="B1536" s="90" t="s">
        <v>7161</v>
      </c>
    </row>
    <row r="1537" spans="1:2" x14ac:dyDescent="0.25">
      <c r="A1537" s="52" t="s">
        <v>95</v>
      </c>
      <c r="B1537" s="90" t="s">
        <v>7162</v>
      </c>
    </row>
    <row r="1538" spans="1:2" x14ac:dyDescent="0.25">
      <c r="A1538" s="52" t="s">
        <v>95</v>
      </c>
      <c r="B1538" s="90" t="s">
        <v>7163</v>
      </c>
    </row>
    <row r="1539" spans="1:2" x14ac:dyDescent="0.25">
      <c r="A1539" s="52" t="s">
        <v>95</v>
      </c>
      <c r="B1539" s="90" t="s">
        <v>7164</v>
      </c>
    </row>
    <row r="1540" spans="1:2" x14ac:dyDescent="0.25">
      <c r="A1540" s="52" t="s">
        <v>95</v>
      </c>
      <c r="B1540" s="90" t="s">
        <v>7165</v>
      </c>
    </row>
    <row r="1541" spans="1:2" x14ac:dyDescent="0.25">
      <c r="A1541" s="52" t="s">
        <v>95</v>
      </c>
      <c r="B1541" s="90" t="s">
        <v>7166</v>
      </c>
    </row>
    <row r="1542" spans="1:2" x14ac:dyDescent="0.25">
      <c r="A1542" s="52" t="s">
        <v>95</v>
      </c>
      <c r="B1542" s="90" t="s">
        <v>7167</v>
      </c>
    </row>
    <row r="1543" spans="1:2" x14ac:dyDescent="0.25">
      <c r="A1543" s="52" t="s">
        <v>95</v>
      </c>
      <c r="B1543" s="90" t="s">
        <v>7168</v>
      </c>
    </row>
    <row r="1544" spans="1:2" x14ac:dyDescent="0.25">
      <c r="A1544" s="52" t="s">
        <v>95</v>
      </c>
      <c r="B1544" s="90" t="s">
        <v>7169</v>
      </c>
    </row>
    <row r="1545" spans="1:2" x14ac:dyDescent="0.25">
      <c r="A1545" s="52" t="s">
        <v>95</v>
      </c>
      <c r="B1545" s="90" t="s">
        <v>7170</v>
      </c>
    </row>
    <row r="1546" spans="1:2" x14ac:dyDescent="0.25">
      <c r="A1546" s="52" t="s">
        <v>95</v>
      </c>
      <c r="B1546" s="90" t="s">
        <v>7171</v>
      </c>
    </row>
    <row r="1547" spans="1:2" x14ac:dyDescent="0.25">
      <c r="A1547" s="52" t="s">
        <v>95</v>
      </c>
      <c r="B1547" s="90" t="s">
        <v>7172</v>
      </c>
    </row>
    <row r="1548" spans="1:2" x14ac:dyDescent="0.25">
      <c r="A1548" s="52" t="s">
        <v>95</v>
      </c>
      <c r="B1548" s="90" t="s">
        <v>7173</v>
      </c>
    </row>
    <row r="1549" spans="1:2" x14ac:dyDescent="0.25">
      <c r="A1549" s="52" t="s">
        <v>95</v>
      </c>
      <c r="B1549" s="90" t="s">
        <v>7174</v>
      </c>
    </row>
    <row r="1550" spans="1:2" x14ac:dyDescent="0.25">
      <c r="A1550" s="52" t="s">
        <v>95</v>
      </c>
      <c r="B1550" s="90" t="s">
        <v>7175</v>
      </c>
    </row>
    <row r="1551" spans="1:2" x14ac:dyDescent="0.25">
      <c r="A1551" s="52" t="s">
        <v>95</v>
      </c>
      <c r="B1551" s="90" t="s">
        <v>7176</v>
      </c>
    </row>
    <row r="1552" spans="1:2" x14ac:dyDescent="0.25">
      <c r="A1552" s="52" t="s">
        <v>95</v>
      </c>
      <c r="B1552" s="90" t="s">
        <v>7177</v>
      </c>
    </row>
    <row r="1553" spans="1:2" x14ac:dyDescent="0.25">
      <c r="A1553" s="52" t="s">
        <v>95</v>
      </c>
      <c r="B1553" s="90" t="s">
        <v>7178</v>
      </c>
    </row>
    <row r="1554" spans="1:2" x14ac:dyDescent="0.25">
      <c r="A1554" s="52" t="s">
        <v>95</v>
      </c>
      <c r="B1554" s="90" t="s">
        <v>7179</v>
      </c>
    </row>
    <row r="1555" spans="1:2" x14ac:dyDescent="0.25">
      <c r="A1555" s="52" t="s">
        <v>95</v>
      </c>
      <c r="B1555" s="90" t="s">
        <v>7180</v>
      </c>
    </row>
    <row r="1556" spans="1:2" x14ac:dyDescent="0.25">
      <c r="A1556" s="52" t="s">
        <v>95</v>
      </c>
      <c r="B1556" s="90" t="s">
        <v>7181</v>
      </c>
    </row>
    <row r="1557" spans="1:2" x14ac:dyDescent="0.25">
      <c r="A1557" s="52" t="s">
        <v>95</v>
      </c>
      <c r="B1557" s="90" t="s">
        <v>7182</v>
      </c>
    </row>
    <row r="1558" spans="1:2" x14ac:dyDescent="0.25">
      <c r="A1558" s="52" t="s">
        <v>95</v>
      </c>
      <c r="B1558" s="90" t="s">
        <v>7183</v>
      </c>
    </row>
    <row r="1559" spans="1:2" x14ac:dyDescent="0.25">
      <c r="A1559" s="52" t="s">
        <v>95</v>
      </c>
      <c r="B1559" s="90" t="s">
        <v>7184</v>
      </c>
    </row>
    <row r="1560" spans="1:2" x14ac:dyDescent="0.25">
      <c r="A1560" s="52" t="s">
        <v>95</v>
      </c>
      <c r="B1560" s="90" t="s">
        <v>7185</v>
      </c>
    </row>
    <row r="1561" spans="1:2" x14ac:dyDescent="0.25">
      <c r="A1561" s="52" t="s">
        <v>95</v>
      </c>
      <c r="B1561" s="90" t="s">
        <v>7186</v>
      </c>
    </row>
    <row r="1562" spans="1:2" x14ac:dyDescent="0.25">
      <c r="A1562" s="52" t="s">
        <v>95</v>
      </c>
      <c r="B1562" s="90" t="s">
        <v>7187</v>
      </c>
    </row>
    <row r="1563" spans="1:2" x14ac:dyDescent="0.25">
      <c r="A1563" s="52" t="s">
        <v>95</v>
      </c>
      <c r="B1563" s="90" t="s">
        <v>7188</v>
      </c>
    </row>
    <row r="1564" spans="1:2" x14ac:dyDescent="0.25">
      <c r="A1564" s="52" t="s">
        <v>95</v>
      </c>
      <c r="B1564" s="90" t="s">
        <v>7189</v>
      </c>
    </row>
    <row r="1565" spans="1:2" x14ac:dyDescent="0.25">
      <c r="A1565" s="52" t="s">
        <v>95</v>
      </c>
      <c r="B1565" s="90" t="s">
        <v>7190</v>
      </c>
    </row>
    <row r="1566" spans="1:2" x14ac:dyDescent="0.25">
      <c r="A1566" s="52" t="s">
        <v>95</v>
      </c>
      <c r="B1566" s="90" t="s">
        <v>7191</v>
      </c>
    </row>
    <row r="1567" spans="1:2" x14ac:dyDescent="0.25">
      <c r="A1567" s="52" t="s">
        <v>95</v>
      </c>
      <c r="B1567" s="90" t="s">
        <v>7192</v>
      </c>
    </row>
    <row r="1568" spans="1:2" x14ac:dyDescent="0.25">
      <c r="A1568" s="52" t="s">
        <v>95</v>
      </c>
      <c r="B1568" s="90" t="s">
        <v>7193</v>
      </c>
    </row>
    <row r="1569" spans="1:2" x14ac:dyDescent="0.25">
      <c r="A1569" s="52" t="s">
        <v>95</v>
      </c>
      <c r="B1569" s="90" t="s">
        <v>7194</v>
      </c>
    </row>
    <row r="1570" spans="1:2" x14ac:dyDescent="0.25">
      <c r="A1570" s="52" t="s">
        <v>95</v>
      </c>
      <c r="B1570" s="90" t="s">
        <v>7195</v>
      </c>
    </row>
    <row r="1571" spans="1:2" x14ac:dyDescent="0.25">
      <c r="A1571" s="52" t="s">
        <v>95</v>
      </c>
      <c r="B1571" s="90" t="s">
        <v>7196</v>
      </c>
    </row>
    <row r="1572" spans="1:2" x14ac:dyDescent="0.25">
      <c r="A1572" s="52" t="s">
        <v>95</v>
      </c>
      <c r="B1572" s="90" t="s">
        <v>7197</v>
      </c>
    </row>
    <row r="1573" spans="1:2" x14ac:dyDescent="0.25">
      <c r="A1573" s="52" t="s">
        <v>95</v>
      </c>
      <c r="B1573" s="90" t="s">
        <v>7198</v>
      </c>
    </row>
    <row r="1574" spans="1:2" x14ac:dyDescent="0.25">
      <c r="A1574" s="52" t="s">
        <v>95</v>
      </c>
      <c r="B1574" s="90" t="s">
        <v>7199</v>
      </c>
    </row>
    <row r="1575" spans="1:2" x14ac:dyDescent="0.25">
      <c r="A1575" s="52" t="s">
        <v>95</v>
      </c>
      <c r="B1575" s="90" t="s">
        <v>7200</v>
      </c>
    </row>
    <row r="1576" spans="1:2" x14ac:dyDescent="0.25">
      <c r="A1576" s="52" t="s">
        <v>95</v>
      </c>
      <c r="B1576" s="90" t="s">
        <v>7201</v>
      </c>
    </row>
    <row r="1577" spans="1:2" x14ac:dyDescent="0.25">
      <c r="A1577" s="52" t="s">
        <v>95</v>
      </c>
      <c r="B1577" s="90" t="s">
        <v>7202</v>
      </c>
    </row>
    <row r="1578" spans="1:2" x14ac:dyDescent="0.25">
      <c r="A1578" s="52" t="s">
        <v>95</v>
      </c>
      <c r="B1578" s="90" t="s">
        <v>7203</v>
      </c>
    </row>
    <row r="1579" spans="1:2" x14ac:dyDescent="0.25">
      <c r="A1579" s="52" t="s">
        <v>95</v>
      </c>
      <c r="B1579" s="90" t="s">
        <v>7204</v>
      </c>
    </row>
    <row r="1580" spans="1:2" x14ac:dyDescent="0.25">
      <c r="A1580" s="52" t="s">
        <v>95</v>
      </c>
      <c r="B1580" s="90" t="s">
        <v>7205</v>
      </c>
    </row>
    <row r="1581" spans="1:2" x14ac:dyDescent="0.25">
      <c r="A1581" s="52" t="s">
        <v>95</v>
      </c>
      <c r="B1581" s="90" t="s">
        <v>7206</v>
      </c>
    </row>
    <row r="1582" spans="1:2" x14ac:dyDescent="0.25">
      <c r="A1582" s="52" t="s">
        <v>95</v>
      </c>
      <c r="B1582" s="90" t="s">
        <v>7207</v>
      </c>
    </row>
    <row r="1583" spans="1:2" x14ac:dyDescent="0.25">
      <c r="A1583" s="52" t="s">
        <v>95</v>
      </c>
      <c r="B1583" s="90" t="s">
        <v>7208</v>
      </c>
    </row>
    <row r="1584" spans="1:2" x14ac:dyDescent="0.25">
      <c r="A1584" s="52" t="s">
        <v>95</v>
      </c>
      <c r="B1584" s="90" t="s">
        <v>7209</v>
      </c>
    </row>
    <row r="1585" spans="1:2" x14ac:dyDescent="0.25">
      <c r="A1585" s="52" t="s">
        <v>95</v>
      </c>
      <c r="B1585" s="90" t="s">
        <v>7210</v>
      </c>
    </row>
    <row r="1586" spans="1:2" x14ac:dyDescent="0.25">
      <c r="A1586" s="52" t="s">
        <v>95</v>
      </c>
      <c r="B1586" s="90" t="s">
        <v>7211</v>
      </c>
    </row>
    <row r="1587" spans="1:2" x14ac:dyDescent="0.25">
      <c r="A1587" s="52" t="s">
        <v>95</v>
      </c>
      <c r="B1587" s="90" t="s">
        <v>7212</v>
      </c>
    </row>
    <row r="1588" spans="1:2" x14ac:dyDescent="0.25">
      <c r="A1588" s="52" t="s">
        <v>95</v>
      </c>
      <c r="B1588" s="90" t="s">
        <v>7213</v>
      </c>
    </row>
    <row r="1589" spans="1:2" x14ac:dyDescent="0.25">
      <c r="A1589" s="52" t="s">
        <v>95</v>
      </c>
      <c r="B1589" s="90" t="s">
        <v>419</v>
      </c>
    </row>
    <row r="1590" spans="1:2" x14ac:dyDescent="0.25">
      <c r="A1590" s="52" t="s">
        <v>95</v>
      </c>
      <c r="B1590" s="90" t="s">
        <v>7214</v>
      </c>
    </row>
    <row r="1591" spans="1:2" x14ac:dyDescent="0.25">
      <c r="A1591" s="52" t="s">
        <v>95</v>
      </c>
      <c r="B1591" s="90" t="s">
        <v>7215</v>
      </c>
    </row>
    <row r="1592" spans="1:2" x14ac:dyDescent="0.25">
      <c r="A1592" s="52" t="s">
        <v>95</v>
      </c>
      <c r="B1592" s="90" t="s">
        <v>7216</v>
      </c>
    </row>
    <row r="1593" spans="1:2" x14ac:dyDescent="0.25">
      <c r="A1593" s="52" t="s">
        <v>95</v>
      </c>
      <c r="B1593" s="90" t="s">
        <v>7217</v>
      </c>
    </row>
    <row r="1594" spans="1:2" x14ac:dyDescent="0.25">
      <c r="A1594" s="52" t="s">
        <v>95</v>
      </c>
      <c r="B1594" s="90" t="s">
        <v>7218</v>
      </c>
    </row>
    <row r="1595" spans="1:2" x14ac:dyDescent="0.25">
      <c r="A1595" s="52" t="s">
        <v>95</v>
      </c>
      <c r="B1595" s="90" t="s">
        <v>7219</v>
      </c>
    </row>
    <row r="1596" spans="1:2" x14ac:dyDescent="0.25">
      <c r="A1596" s="52" t="s">
        <v>95</v>
      </c>
      <c r="B1596" s="90" t="s">
        <v>7220</v>
      </c>
    </row>
    <row r="1597" spans="1:2" x14ac:dyDescent="0.25">
      <c r="A1597" s="52" t="s">
        <v>95</v>
      </c>
      <c r="B1597" s="90" t="s">
        <v>7221</v>
      </c>
    </row>
    <row r="1598" spans="1:2" x14ac:dyDescent="0.25">
      <c r="A1598" s="52" t="s">
        <v>95</v>
      </c>
      <c r="B1598" s="90" t="s">
        <v>7222</v>
      </c>
    </row>
    <row r="1599" spans="1:2" x14ac:dyDescent="0.25">
      <c r="A1599" s="52" t="s">
        <v>95</v>
      </c>
      <c r="B1599" s="90" t="s">
        <v>7223</v>
      </c>
    </row>
    <row r="1600" spans="1:2" x14ac:dyDescent="0.25">
      <c r="A1600" s="52" t="s">
        <v>95</v>
      </c>
      <c r="B1600" s="90" t="s">
        <v>7224</v>
      </c>
    </row>
    <row r="1601" spans="1:2" x14ac:dyDescent="0.25">
      <c r="A1601" s="52" t="s">
        <v>95</v>
      </c>
      <c r="B1601" s="90" t="s">
        <v>7225</v>
      </c>
    </row>
    <row r="1602" spans="1:2" x14ac:dyDescent="0.25">
      <c r="A1602" s="52" t="s">
        <v>95</v>
      </c>
      <c r="B1602" s="90" t="s">
        <v>7226</v>
      </c>
    </row>
    <row r="1603" spans="1:2" x14ac:dyDescent="0.25">
      <c r="A1603" s="52" t="s">
        <v>95</v>
      </c>
      <c r="B1603" s="90" t="s">
        <v>7227</v>
      </c>
    </row>
    <row r="1604" spans="1:2" x14ac:dyDescent="0.25">
      <c r="A1604" s="52" t="s">
        <v>95</v>
      </c>
      <c r="B1604" s="90" t="s">
        <v>7228</v>
      </c>
    </row>
    <row r="1605" spans="1:2" x14ac:dyDescent="0.25">
      <c r="A1605" s="52" t="s">
        <v>95</v>
      </c>
      <c r="B1605" s="90" t="s">
        <v>7229</v>
      </c>
    </row>
    <row r="1606" spans="1:2" x14ac:dyDescent="0.25">
      <c r="A1606" s="52" t="s">
        <v>95</v>
      </c>
      <c r="B1606" s="90" t="s">
        <v>7230</v>
      </c>
    </row>
    <row r="1607" spans="1:2" x14ac:dyDescent="0.25">
      <c r="A1607" s="52" t="s">
        <v>95</v>
      </c>
      <c r="B1607" s="90" t="s">
        <v>7231</v>
      </c>
    </row>
    <row r="1608" spans="1:2" x14ac:dyDescent="0.25">
      <c r="A1608" s="52" t="s">
        <v>95</v>
      </c>
      <c r="B1608" s="90" t="s">
        <v>7232</v>
      </c>
    </row>
    <row r="1609" spans="1:2" x14ac:dyDescent="0.25">
      <c r="A1609" s="52" t="s">
        <v>95</v>
      </c>
      <c r="B1609" s="90" t="s">
        <v>7233</v>
      </c>
    </row>
    <row r="1610" spans="1:2" x14ac:dyDescent="0.25">
      <c r="A1610" s="52" t="s">
        <v>95</v>
      </c>
      <c r="B1610" s="90" t="s">
        <v>7234</v>
      </c>
    </row>
    <row r="1611" spans="1:2" x14ac:dyDescent="0.25">
      <c r="A1611" s="52" t="s">
        <v>95</v>
      </c>
      <c r="B1611" s="90" t="s">
        <v>7235</v>
      </c>
    </row>
    <row r="1612" spans="1:2" x14ac:dyDescent="0.25">
      <c r="A1612" s="52" t="s">
        <v>95</v>
      </c>
      <c r="B1612" s="90" t="s">
        <v>7236</v>
      </c>
    </row>
    <row r="1613" spans="1:2" x14ac:dyDescent="0.25">
      <c r="A1613" s="52" t="s">
        <v>95</v>
      </c>
      <c r="B1613" s="90" t="s">
        <v>7237</v>
      </c>
    </row>
    <row r="1614" spans="1:2" x14ac:dyDescent="0.25">
      <c r="A1614" s="52" t="s">
        <v>95</v>
      </c>
      <c r="B1614" s="90" t="s">
        <v>7238</v>
      </c>
    </row>
    <row r="1615" spans="1:2" x14ac:dyDescent="0.25">
      <c r="A1615" s="52" t="s">
        <v>95</v>
      </c>
      <c r="B1615" s="90" t="s">
        <v>7239</v>
      </c>
    </row>
    <row r="1616" spans="1:2" x14ac:dyDescent="0.25">
      <c r="A1616" s="52" t="s">
        <v>95</v>
      </c>
      <c r="B1616" s="90" t="s">
        <v>7240</v>
      </c>
    </row>
    <row r="1617" spans="1:2" x14ac:dyDescent="0.25">
      <c r="A1617" s="52" t="s">
        <v>95</v>
      </c>
      <c r="B1617" s="90" t="s">
        <v>7241</v>
      </c>
    </row>
    <row r="1618" spans="1:2" x14ac:dyDescent="0.25">
      <c r="A1618" s="52" t="s">
        <v>95</v>
      </c>
      <c r="B1618" s="90" t="s">
        <v>7242</v>
      </c>
    </row>
    <row r="1619" spans="1:2" x14ac:dyDescent="0.25">
      <c r="A1619" s="52" t="s">
        <v>95</v>
      </c>
      <c r="B1619" s="90" t="s">
        <v>7243</v>
      </c>
    </row>
    <row r="1620" spans="1:2" x14ac:dyDescent="0.25">
      <c r="A1620" s="52" t="s">
        <v>95</v>
      </c>
      <c r="B1620" s="90" t="s">
        <v>7244</v>
      </c>
    </row>
    <row r="1621" spans="1:2" x14ac:dyDescent="0.25">
      <c r="A1621" s="52" t="s">
        <v>95</v>
      </c>
      <c r="B1621" s="90" t="s">
        <v>7245</v>
      </c>
    </row>
    <row r="1622" spans="1:2" x14ac:dyDescent="0.25">
      <c r="A1622" s="52" t="s">
        <v>95</v>
      </c>
      <c r="B1622" s="90" t="s">
        <v>7246</v>
      </c>
    </row>
    <row r="1623" spans="1:2" x14ac:dyDescent="0.25">
      <c r="A1623" s="52" t="s">
        <v>95</v>
      </c>
      <c r="B1623" s="90" t="s">
        <v>7247</v>
      </c>
    </row>
    <row r="1624" spans="1:2" x14ac:dyDescent="0.25">
      <c r="A1624" s="52" t="s">
        <v>95</v>
      </c>
      <c r="B1624" s="90" t="s">
        <v>7248</v>
      </c>
    </row>
    <row r="1625" spans="1:2" x14ac:dyDescent="0.25">
      <c r="A1625" s="52" t="s">
        <v>95</v>
      </c>
      <c r="B1625" s="90" t="s">
        <v>7249</v>
      </c>
    </row>
    <row r="1626" spans="1:2" x14ac:dyDescent="0.25">
      <c r="A1626" s="52" t="s">
        <v>95</v>
      </c>
      <c r="B1626" s="90" t="s">
        <v>7250</v>
      </c>
    </row>
    <row r="1627" spans="1:2" x14ac:dyDescent="0.25">
      <c r="A1627" s="52" t="s">
        <v>95</v>
      </c>
      <c r="B1627" s="90" t="s">
        <v>7251</v>
      </c>
    </row>
    <row r="1628" spans="1:2" x14ac:dyDescent="0.25">
      <c r="A1628" s="52" t="s">
        <v>95</v>
      </c>
      <c r="B1628" s="90" t="s">
        <v>7252</v>
      </c>
    </row>
    <row r="1629" spans="1:2" x14ac:dyDescent="0.25">
      <c r="A1629" s="52" t="s">
        <v>95</v>
      </c>
      <c r="B1629" s="90" t="s">
        <v>7253</v>
      </c>
    </row>
    <row r="1630" spans="1:2" x14ac:dyDescent="0.25">
      <c r="A1630" s="52" t="s">
        <v>95</v>
      </c>
      <c r="B1630" s="90" t="s">
        <v>7254</v>
      </c>
    </row>
    <row r="1631" spans="1:2" x14ac:dyDescent="0.25">
      <c r="A1631" s="52" t="s">
        <v>95</v>
      </c>
      <c r="B1631" s="90" t="s">
        <v>7255</v>
      </c>
    </row>
    <row r="1632" spans="1:2" x14ac:dyDescent="0.25">
      <c r="A1632" s="52" t="s">
        <v>95</v>
      </c>
      <c r="B1632" s="90" t="s">
        <v>7256</v>
      </c>
    </row>
    <row r="1633" spans="1:2" x14ac:dyDescent="0.25">
      <c r="A1633" s="52" t="s">
        <v>95</v>
      </c>
      <c r="B1633" s="90" t="s">
        <v>7257</v>
      </c>
    </row>
    <row r="1634" spans="1:2" x14ac:dyDescent="0.25">
      <c r="A1634" s="52" t="s">
        <v>95</v>
      </c>
      <c r="B1634" s="90" t="s">
        <v>7258</v>
      </c>
    </row>
    <row r="1635" spans="1:2" x14ac:dyDescent="0.25">
      <c r="A1635" s="52" t="s">
        <v>95</v>
      </c>
      <c r="B1635" s="90" t="s">
        <v>7259</v>
      </c>
    </row>
    <row r="1636" spans="1:2" x14ac:dyDescent="0.25">
      <c r="A1636" s="52" t="s">
        <v>95</v>
      </c>
      <c r="B1636" s="90" t="s">
        <v>7260</v>
      </c>
    </row>
    <row r="1637" spans="1:2" x14ac:dyDescent="0.25">
      <c r="A1637" s="52" t="s">
        <v>95</v>
      </c>
      <c r="B1637" s="90" t="s">
        <v>7261</v>
      </c>
    </row>
    <row r="1638" spans="1:2" x14ac:dyDescent="0.25">
      <c r="A1638" s="52" t="s">
        <v>95</v>
      </c>
      <c r="B1638" s="90" t="s">
        <v>7262</v>
      </c>
    </row>
    <row r="1639" spans="1:2" x14ac:dyDescent="0.25">
      <c r="A1639" s="52" t="s">
        <v>95</v>
      </c>
      <c r="B1639" s="90" t="s">
        <v>7263</v>
      </c>
    </row>
    <row r="1640" spans="1:2" x14ac:dyDescent="0.25">
      <c r="A1640" s="52" t="s">
        <v>95</v>
      </c>
      <c r="B1640" s="90" t="s">
        <v>7264</v>
      </c>
    </row>
    <row r="1641" spans="1:2" x14ac:dyDescent="0.25">
      <c r="A1641" s="52" t="s">
        <v>95</v>
      </c>
      <c r="B1641" s="90" t="s">
        <v>7265</v>
      </c>
    </row>
    <row r="1642" spans="1:2" x14ac:dyDescent="0.25">
      <c r="A1642" s="52" t="s">
        <v>95</v>
      </c>
      <c r="B1642" s="90" t="s">
        <v>7266</v>
      </c>
    </row>
    <row r="1643" spans="1:2" x14ac:dyDescent="0.25">
      <c r="A1643" s="52" t="s">
        <v>95</v>
      </c>
      <c r="B1643" s="90" t="s">
        <v>7267</v>
      </c>
    </row>
    <row r="1644" spans="1:2" x14ac:dyDescent="0.25">
      <c r="A1644" s="52" t="s">
        <v>95</v>
      </c>
      <c r="B1644" s="90" t="s">
        <v>7268</v>
      </c>
    </row>
    <row r="1645" spans="1:2" x14ac:dyDescent="0.25">
      <c r="A1645" s="52" t="s">
        <v>95</v>
      </c>
      <c r="B1645" s="90" t="s">
        <v>7269</v>
      </c>
    </row>
    <row r="1646" spans="1:2" x14ac:dyDescent="0.25">
      <c r="A1646" s="52" t="s">
        <v>95</v>
      </c>
      <c r="B1646" s="90" t="s">
        <v>7270</v>
      </c>
    </row>
    <row r="1647" spans="1:2" x14ac:dyDescent="0.25">
      <c r="A1647" s="52" t="s">
        <v>95</v>
      </c>
      <c r="B1647" s="90" t="s">
        <v>7271</v>
      </c>
    </row>
    <row r="1648" spans="1:2" x14ac:dyDescent="0.25">
      <c r="A1648" s="52" t="s">
        <v>95</v>
      </c>
      <c r="B1648" s="90" t="s">
        <v>7272</v>
      </c>
    </row>
    <row r="1649" spans="1:2" x14ac:dyDescent="0.25">
      <c r="A1649" s="52" t="s">
        <v>95</v>
      </c>
      <c r="B1649" s="90" t="s">
        <v>7273</v>
      </c>
    </row>
    <row r="1650" spans="1:2" x14ac:dyDescent="0.25">
      <c r="A1650" s="52" t="s">
        <v>95</v>
      </c>
      <c r="B1650" s="90" t="s">
        <v>7274</v>
      </c>
    </row>
    <row r="1651" spans="1:2" x14ac:dyDescent="0.25">
      <c r="A1651" s="52" t="s">
        <v>95</v>
      </c>
      <c r="B1651" s="90" t="s">
        <v>7275</v>
      </c>
    </row>
    <row r="1652" spans="1:2" x14ac:dyDescent="0.25">
      <c r="A1652" s="52" t="s">
        <v>95</v>
      </c>
      <c r="B1652" s="90" t="s">
        <v>7276</v>
      </c>
    </row>
    <row r="1653" spans="1:2" x14ac:dyDescent="0.25">
      <c r="A1653" s="52" t="s">
        <v>95</v>
      </c>
      <c r="B1653" s="90" t="s">
        <v>7277</v>
      </c>
    </row>
    <row r="1654" spans="1:2" x14ac:dyDescent="0.25">
      <c r="A1654" s="52" t="s">
        <v>95</v>
      </c>
      <c r="B1654" s="90" t="s">
        <v>7278</v>
      </c>
    </row>
    <row r="1655" spans="1:2" x14ac:dyDescent="0.25">
      <c r="A1655" s="52" t="s">
        <v>95</v>
      </c>
      <c r="B1655" s="90" t="s">
        <v>7279</v>
      </c>
    </row>
    <row r="1656" spans="1:2" x14ac:dyDescent="0.25">
      <c r="A1656" s="52" t="s">
        <v>95</v>
      </c>
      <c r="B1656" s="90" t="s">
        <v>7280</v>
      </c>
    </row>
    <row r="1657" spans="1:2" x14ac:dyDescent="0.25">
      <c r="A1657" s="52" t="s">
        <v>95</v>
      </c>
      <c r="B1657" s="90" t="s">
        <v>7281</v>
      </c>
    </row>
    <row r="1658" spans="1:2" x14ac:dyDescent="0.25">
      <c r="A1658" s="52" t="s">
        <v>95</v>
      </c>
      <c r="B1658" s="90" t="s">
        <v>7282</v>
      </c>
    </row>
    <row r="1659" spans="1:2" x14ac:dyDescent="0.25">
      <c r="A1659" s="52" t="s">
        <v>95</v>
      </c>
      <c r="B1659" s="90" t="s">
        <v>7283</v>
      </c>
    </row>
    <row r="1660" spans="1:2" x14ac:dyDescent="0.25">
      <c r="A1660" s="52" t="s">
        <v>95</v>
      </c>
      <c r="B1660" s="90" t="s">
        <v>7284</v>
      </c>
    </row>
    <row r="1661" spans="1:2" x14ac:dyDescent="0.25">
      <c r="A1661" s="52" t="s">
        <v>95</v>
      </c>
      <c r="B1661" s="90" t="s">
        <v>7285</v>
      </c>
    </row>
    <row r="1662" spans="1:2" x14ac:dyDescent="0.25">
      <c r="A1662" s="52" t="s">
        <v>95</v>
      </c>
      <c r="B1662" s="90" t="s">
        <v>7286</v>
      </c>
    </row>
    <row r="1663" spans="1:2" x14ac:dyDescent="0.25">
      <c r="A1663" s="52" t="s">
        <v>95</v>
      </c>
      <c r="B1663" s="90" t="s">
        <v>7287</v>
      </c>
    </row>
    <row r="1664" spans="1:2" x14ac:dyDescent="0.25">
      <c r="A1664" s="52" t="s">
        <v>95</v>
      </c>
      <c r="B1664" s="90" t="s">
        <v>7288</v>
      </c>
    </row>
    <row r="1665" spans="1:2" x14ac:dyDescent="0.25">
      <c r="A1665" s="52" t="s">
        <v>95</v>
      </c>
      <c r="B1665" s="90" t="s">
        <v>7289</v>
      </c>
    </row>
    <row r="1666" spans="1:2" x14ac:dyDescent="0.25">
      <c r="A1666" s="52" t="s">
        <v>95</v>
      </c>
      <c r="B1666" s="90" t="s">
        <v>7290</v>
      </c>
    </row>
    <row r="1667" spans="1:2" x14ac:dyDescent="0.25">
      <c r="A1667" s="52" t="s">
        <v>95</v>
      </c>
      <c r="B1667" s="90" t="s">
        <v>7291</v>
      </c>
    </row>
    <row r="1668" spans="1:2" x14ac:dyDescent="0.25">
      <c r="A1668" s="52" t="s">
        <v>95</v>
      </c>
      <c r="B1668" s="90" t="s">
        <v>7292</v>
      </c>
    </row>
    <row r="1669" spans="1:2" x14ac:dyDescent="0.25">
      <c r="A1669" s="52" t="s">
        <v>95</v>
      </c>
      <c r="B1669" s="90" t="s">
        <v>7293</v>
      </c>
    </row>
    <row r="1670" spans="1:2" x14ac:dyDescent="0.25">
      <c r="A1670" s="52" t="s">
        <v>95</v>
      </c>
      <c r="B1670" s="90" t="s">
        <v>7294</v>
      </c>
    </row>
    <row r="1671" spans="1:2" x14ac:dyDescent="0.25">
      <c r="A1671" s="52" t="s">
        <v>95</v>
      </c>
      <c r="B1671" s="90" t="s">
        <v>7295</v>
      </c>
    </row>
    <row r="1672" spans="1:2" x14ac:dyDescent="0.25">
      <c r="A1672" s="52" t="s">
        <v>95</v>
      </c>
      <c r="B1672" s="90" t="s">
        <v>7296</v>
      </c>
    </row>
    <row r="1673" spans="1:2" x14ac:dyDescent="0.25">
      <c r="A1673" s="52" t="s">
        <v>95</v>
      </c>
      <c r="B1673" s="90" t="s">
        <v>7297</v>
      </c>
    </row>
    <row r="1674" spans="1:2" x14ac:dyDescent="0.25">
      <c r="A1674" s="52" t="s">
        <v>95</v>
      </c>
      <c r="B1674" s="90" t="s">
        <v>7298</v>
      </c>
    </row>
    <row r="1675" spans="1:2" x14ac:dyDescent="0.25">
      <c r="A1675" s="52" t="s">
        <v>95</v>
      </c>
      <c r="B1675" s="90" t="s">
        <v>7299</v>
      </c>
    </row>
    <row r="1676" spans="1:2" x14ac:dyDescent="0.25">
      <c r="A1676" s="52" t="s">
        <v>95</v>
      </c>
      <c r="B1676" s="90" t="s">
        <v>7300</v>
      </c>
    </row>
    <row r="1677" spans="1:2" x14ac:dyDescent="0.25">
      <c r="A1677" s="52" t="s">
        <v>95</v>
      </c>
      <c r="B1677" s="90" t="s">
        <v>7301</v>
      </c>
    </row>
    <row r="1678" spans="1:2" x14ac:dyDescent="0.25">
      <c r="A1678" s="52" t="s">
        <v>95</v>
      </c>
      <c r="B1678" s="90" t="s">
        <v>7302</v>
      </c>
    </row>
    <row r="1679" spans="1:2" x14ac:dyDescent="0.25">
      <c r="A1679" s="52" t="s">
        <v>95</v>
      </c>
      <c r="B1679" s="90" t="s">
        <v>7303</v>
      </c>
    </row>
    <row r="1680" spans="1:2" x14ac:dyDescent="0.25">
      <c r="A1680" s="52" t="s">
        <v>95</v>
      </c>
      <c r="B1680" s="90" t="s">
        <v>7304</v>
      </c>
    </row>
    <row r="1681" spans="1:2" x14ac:dyDescent="0.25">
      <c r="A1681" s="52" t="s">
        <v>95</v>
      </c>
      <c r="B1681" s="90" t="s">
        <v>7305</v>
      </c>
    </row>
    <row r="1682" spans="1:2" x14ac:dyDescent="0.25">
      <c r="A1682" s="52" t="s">
        <v>95</v>
      </c>
      <c r="B1682" s="90" t="s">
        <v>7306</v>
      </c>
    </row>
    <row r="1683" spans="1:2" x14ac:dyDescent="0.25">
      <c r="A1683" s="52" t="s">
        <v>95</v>
      </c>
      <c r="B1683" s="90" t="s">
        <v>7307</v>
      </c>
    </row>
    <row r="1684" spans="1:2" x14ac:dyDescent="0.25">
      <c r="A1684" s="52" t="s">
        <v>95</v>
      </c>
      <c r="B1684" s="90" t="s">
        <v>7308</v>
      </c>
    </row>
    <row r="1685" spans="1:2" x14ac:dyDescent="0.25">
      <c r="A1685" s="52" t="s">
        <v>95</v>
      </c>
      <c r="B1685" s="90" t="s">
        <v>7309</v>
      </c>
    </row>
    <row r="1686" spans="1:2" x14ac:dyDescent="0.25">
      <c r="A1686" s="52" t="s">
        <v>95</v>
      </c>
      <c r="B1686" s="90" t="s">
        <v>7310</v>
      </c>
    </row>
    <row r="1687" spans="1:2" x14ac:dyDescent="0.25">
      <c r="A1687" s="52" t="s">
        <v>95</v>
      </c>
      <c r="B1687" s="90" t="s">
        <v>7311</v>
      </c>
    </row>
    <row r="1688" spans="1:2" x14ac:dyDescent="0.25">
      <c r="A1688" s="52" t="s">
        <v>95</v>
      </c>
      <c r="B1688" s="90" t="s">
        <v>7312</v>
      </c>
    </row>
    <row r="1689" spans="1:2" x14ac:dyDescent="0.25">
      <c r="A1689" s="52" t="s">
        <v>95</v>
      </c>
      <c r="B1689" s="90" t="s">
        <v>7313</v>
      </c>
    </row>
    <row r="1690" spans="1:2" x14ac:dyDescent="0.25">
      <c r="A1690" s="52" t="s">
        <v>95</v>
      </c>
      <c r="B1690" s="90" t="s">
        <v>7314</v>
      </c>
    </row>
    <row r="1691" spans="1:2" x14ac:dyDescent="0.25">
      <c r="A1691" s="52" t="s">
        <v>95</v>
      </c>
      <c r="B1691" s="90" t="s">
        <v>7315</v>
      </c>
    </row>
    <row r="1692" spans="1:2" x14ac:dyDescent="0.25">
      <c r="A1692" s="52" t="s">
        <v>95</v>
      </c>
      <c r="B1692" s="90" t="s">
        <v>7316</v>
      </c>
    </row>
    <row r="1693" spans="1:2" x14ac:dyDescent="0.25">
      <c r="A1693" s="52" t="s">
        <v>95</v>
      </c>
      <c r="B1693" s="90" t="s">
        <v>7317</v>
      </c>
    </row>
    <row r="1694" spans="1:2" x14ac:dyDescent="0.25">
      <c r="A1694" s="52" t="s">
        <v>95</v>
      </c>
      <c r="B1694" s="90" t="s">
        <v>7318</v>
      </c>
    </row>
    <row r="1695" spans="1:2" x14ac:dyDescent="0.25">
      <c r="A1695" s="52" t="s">
        <v>95</v>
      </c>
      <c r="B1695" s="90" t="s">
        <v>7319</v>
      </c>
    </row>
    <row r="1696" spans="1:2" x14ac:dyDescent="0.25">
      <c r="A1696" s="52" t="s">
        <v>95</v>
      </c>
      <c r="B1696" s="90" t="s">
        <v>7320</v>
      </c>
    </row>
    <row r="1697" spans="1:2" x14ac:dyDescent="0.25">
      <c r="A1697" s="52" t="s">
        <v>95</v>
      </c>
      <c r="B1697" s="90" t="s">
        <v>7321</v>
      </c>
    </row>
    <row r="1698" spans="1:2" x14ac:dyDescent="0.25">
      <c r="A1698" s="52" t="s">
        <v>95</v>
      </c>
      <c r="B1698" s="90" t="s">
        <v>7322</v>
      </c>
    </row>
    <row r="1699" spans="1:2" x14ac:dyDescent="0.25">
      <c r="A1699" s="52" t="s">
        <v>95</v>
      </c>
      <c r="B1699" s="90" t="s">
        <v>7323</v>
      </c>
    </row>
    <row r="1700" spans="1:2" x14ac:dyDescent="0.25">
      <c r="A1700" s="52" t="s">
        <v>95</v>
      </c>
      <c r="B1700" s="90" t="s">
        <v>7324</v>
      </c>
    </row>
    <row r="1701" spans="1:2" x14ac:dyDescent="0.25">
      <c r="A1701" s="52" t="s">
        <v>95</v>
      </c>
      <c r="B1701" s="90" t="s">
        <v>7325</v>
      </c>
    </row>
    <row r="1702" spans="1:2" x14ac:dyDescent="0.25">
      <c r="A1702" s="52" t="s">
        <v>95</v>
      </c>
      <c r="B1702" s="90" t="s">
        <v>7325</v>
      </c>
    </row>
    <row r="1703" spans="1:2" x14ac:dyDescent="0.25">
      <c r="A1703" s="52" t="s">
        <v>95</v>
      </c>
      <c r="B1703" s="90" t="s">
        <v>7325</v>
      </c>
    </row>
    <row r="1704" spans="1:2" x14ac:dyDescent="0.25">
      <c r="A1704" s="52" t="s">
        <v>95</v>
      </c>
      <c r="B1704" s="90" t="s">
        <v>7326</v>
      </c>
    </row>
    <row r="1705" spans="1:2" x14ac:dyDescent="0.25">
      <c r="A1705" s="52" t="s">
        <v>95</v>
      </c>
      <c r="B1705" s="90" t="s">
        <v>7327</v>
      </c>
    </row>
    <row r="1706" spans="1:2" x14ac:dyDescent="0.25">
      <c r="A1706" s="52" t="s">
        <v>95</v>
      </c>
      <c r="B1706" s="90" t="s">
        <v>7328</v>
      </c>
    </row>
    <row r="1707" spans="1:2" x14ac:dyDescent="0.25">
      <c r="A1707" s="52" t="s">
        <v>95</v>
      </c>
      <c r="B1707" s="90" t="s">
        <v>7329</v>
      </c>
    </row>
    <row r="1708" spans="1:2" x14ac:dyDescent="0.25">
      <c r="A1708" s="52" t="s">
        <v>95</v>
      </c>
      <c r="B1708" s="90" t="s">
        <v>7330</v>
      </c>
    </row>
    <row r="1709" spans="1:2" x14ac:dyDescent="0.25">
      <c r="A1709" s="52" t="s">
        <v>95</v>
      </c>
      <c r="B1709" s="90" t="s">
        <v>7331</v>
      </c>
    </row>
    <row r="1710" spans="1:2" x14ac:dyDescent="0.25">
      <c r="A1710" s="52" t="s">
        <v>95</v>
      </c>
      <c r="B1710" s="90" t="s">
        <v>7332</v>
      </c>
    </row>
    <row r="1711" spans="1:2" x14ac:dyDescent="0.25">
      <c r="A1711" s="52" t="s">
        <v>95</v>
      </c>
      <c r="B1711" s="90" t="s">
        <v>7333</v>
      </c>
    </row>
    <row r="1712" spans="1:2" x14ac:dyDescent="0.25">
      <c r="A1712" s="52" t="s">
        <v>95</v>
      </c>
      <c r="B1712" s="90" t="s">
        <v>7334</v>
      </c>
    </row>
    <row r="1713" spans="1:2" x14ac:dyDescent="0.25">
      <c r="A1713" s="52" t="s">
        <v>95</v>
      </c>
      <c r="B1713" s="90" t="s">
        <v>7335</v>
      </c>
    </row>
    <row r="1714" spans="1:2" x14ac:dyDescent="0.25">
      <c r="A1714" s="52" t="s">
        <v>95</v>
      </c>
      <c r="B1714" s="90" t="s">
        <v>7336</v>
      </c>
    </row>
    <row r="1715" spans="1:2" x14ac:dyDescent="0.25">
      <c r="A1715" s="52" t="s">
        <v>95</v>
      </c>
      <c r="B1715" s="90" t="s">
        <v>7337</v>
      </c>
    </row>
    <row r="1716" spans="1:2" x14ac:dyDescent="0.25">
      <c r="A1716" s="52" t="s">
        <v>95</v>
      </c>
      <c r="B1716" s="90" t="s">
        <v>7338</v>
      </c>
    </row>
    <row r="1717" spans="1:2" x14ac:dyDescent="0.25">
      <c r="A1717" s="52" t="s">
        <v>95</v>
      </c>
      <c r="B1717" s="90" t="s">
        <v>7339</v>
      </c>
    </row>
    <row r="1718" spans="1:2" x14ac:dyDescent="0.25">
      <c r="A1718" s="52" t="s">
        <v>95</v>
      </c>
      <c r="B1718" s="90" t="s">
        <v>7340</v>
      </c>
    </row>
    <row r="1719" spans="1:2" x14ac:dyDescent="0.25">
      <c r="A1719" s="52" t="s">
        <v>95</v>
      </c>
      <c r="B1719" s="90" t="s">
        <v>7341</v>
      </c>
    </row>
    <row r="1720" spans="1:2" x14ac:dyDescent="0.25">
      <c r="A1720" s="52" t="s">
        <v>95</v>
      </c>
      <c r="B1720" s="90" t="s">
        <v>7342</v>
      </c>
    </row>
    <row r="1721" spans="1:2" x14ac:dyDescent="0.25">
      <c r="A1721" s="52" t="s">
        <v>95</v>
      </c>
      <c r="B1721" s="90" t="s">
        <v>7343</v>
      </c>
    </row>
    <row r="1722" spans="1:2" x14ac:dyDescent="0.25">
      <c r="A1722" s="52" t="s">
        <v>95</v>
      </c>
      <c r="B1722" s="90" t="s">
        <v>7344</v>
      </c>
    </row>
    <row r="1723" spans="1:2" x14ac:dyDescent="0.25">
      <c r="A1723" s="52" t="s">
        <v>95</v>
      </c>
      <c r="B1723" s="90" t="s">
        <v>7345</v>
      </c>
    </row>
    <row r="1724" spans="1:2" x14ac:dyDescent="0.25">
      <c r="A1724" s="52" t="s">
        <v>95</v>
      </c>
      <c r="B1724" s="90" t="s">
        <v>7346</v>
      </c>
    </row>
    <row r="1725" spans="1:2" x14ac:dyDescent="0.25">
      <c r="A1725" s="52" t="s">
        <v>95</v>
      </c>
      <c r="B1725" s="90" t="s">
        <v>7346</v>
      </c>
    </row>
    <row r="1726" spans="1:2" x14ac:dyDescent="0.25">
      <c r="A1726" s="52" t="s">
        <v>95</v>
      </c>
      <c r="B1726" s="90" t="s">
        <v>7347</v>
      </c>
    </row>
    <row r="1727" spans="1:2" x14ac:dyDescent="0.25">
      <c r="A1727" s="52" t="s">
        <v>95</v>
      </c>
      <c r="B1727" s="90" t="s">
        <v>7348</v>
      </c>
    </row>
    <row r="1728" spans="1:2" x14ac:dyDescent="0.25">
      <c r="A1728" s="52" t="s">
        <v>95</v>
      </c>
      <c r="B1728" s="90" t="s">
        <v>7349</v>
      </c>
    </row>
    <row r="1729" spans="1:2" x14ac:dyDescent="0.25">
      <c r="A1729" s="52" t="s">
        <v>95</v>
      </c>
      <c r="B1729" s="90" t="s">
        <v>7350</v>
      </c>
    </row>
    <row r="1730" spans="1:2" x14ac:dyDescent="0.25">
      <c r="A1730" s="52" t="s">
        <v>95</v>
      </c>
      <c r="B1730" s="90" t="s">
        <v>7351</v>
      </c>
    </row>
    <row r="1731" spans="1:2" x14ac:dyDescent="0.25">
      <c r="A1731" s="52" t="s">
        <v>95</v>
      </c>
      <c r="B1731" s="90" t="s">
        <v>7352</v>
      </c>
    </row>
    <row r="1732" spans="1:2" x14ac:dyDescent="0.25">
      <c r="A1732" s="52" t="s">
        <v>95</v>
      </c>
      <c r="B1732" s="90" t="s">
        <v>7353</v>
      </c>
    </row>
    <row r="1733" spans="1:2" x14ac:dyDescent="0.25">
      <c r="A1733" s="52" t="s">
        <v>95</v>
      </c>
      <c r="B1733" s="90" t="s">
        <v>7354</v>
      </c>
    </row>
    <row r="1734" spans="1:2" x14ac:dyDescent="0.25">
      <c r="A1734" s="52" t="s">
        <v>95</v>
      </c>
      <c r="B1734" s="90" t="s">
        <v>7355</v>
      </c>
    </row>
    <row r="1735" spans="1:2" x14ac:dyDescent="0.25">
      <c r="A1735" s="52" t="s">
        <v>95</v>
      </c>
      <c r="B1735" s="90" t="s">
        <v>7356</v>
      </c>
    </row>
    <row r="1736" spans="1:2" x14ac:dyDescent="0.25">
      <c r="A1736" s="52" t="s">
        <v>95</v>
      </c>
      <c r="B1736" s="90" t="s">
        <v>7357</v>
      </c>
    </row>
    <row r="1737" spans="1:2" x14ac:dyDescent="0.25">
      <c r="A1737" s="52" t="s">
        <v>95</v>
      </c>
      <c r="B1737" s="90" t="s">
        <v>7358</v>
      </c>
    </row>
    <row r="1738" spans="1:2" x14ac:dyDescent="0.25">
      <c r="A1738" s="52" t="s">
        <v>95</v>
      </c>
      <c r="B1738" s="90" t="s">
        <v>7359</v>
      </c>
    </row>
    <row r="1739" spans="1:2" x14ac:dyDescent="0.25">
      <c r="A1739" s="52" t="s">
        <v>95</v>
      </c>
      <c r="B1739" s="90" t="s">
        <v>7360</v>
      </c>
    </row>
    <row r="1740" spans="1:2" x14ac:dyDescent="0.25">
      <c r="A1740" s="52" t="s">
        <v>95</v>
      </c>
      <c r="B1740" s="90" t="s">
        <v>7361</v>
      </c>
    </row>
    <row r="1741" spans="1:2" x14ac:dyDescent="0.25">
      <c r="A1741" s="52" t="s">
        <v>95</v>
      </c>
      <c r="B1741" s="90" t="s">
        <v>7362</v>
      </c>
    </row>
    <row r="1742" spans="1:2" x14ac:dyDescent="0.25">
      <c r="A1742" s="52" t="s">
        <v>95</v>
      </c>
      <c r="B1742" s="90" t="s">
        <v>7363</v>
      </c>
    </row>
    <row r="1743" spans="1:2" x14ac:dyDescent="0.25">
      <c r="A1743" s="52" t="s">
        <v>95</v>
      </c>
      <c r="B1743" s="90" t="s">
        <v>7364</v>
      </c>
    </row>
    <row r="1744" spans="1:2" x14ac:dyDescent="0.25">
      <c r="A1744" s="52" t="s">
        <v>95</v>
      </c>
      <c r="B1744" s="90" t="s">
        <v>7365</v>
      </c>
    </row>
    <row r="1745" spans="1:2" x14ac:dyDescent="0.25">
      <c r="A1745" s="52" t="s">
        <v>95</v>
      </c>
      <c r="B1745" s="90" t="s">
        <v>7366</v>
      </c>
    </row>
    <row r="1746" spans="1:2" x14ac:dyDescent="0.25">
      <c r="A1746" s="52" t="s">
        <v>95</v>
      </c>
      <c r="B1746" s="90" t="s">
        <v>7367</v>
      </c>
    </row>
    <row r="1747" spans="1:2" x14ac:dyDescent="0.25">
      <c r="A1747" s="52" t="s">
        <v>95</v>
      </c>
      <c r="B1747" s="90" t="s">
        <v>7368</v>
      </c>
    </row>
    <row r="1748" spans="1:2" x14ac:dyDescent="0.25">
      <c r="A1748" s="52" t="s">
        <v>95</v>
      </c>
      <c r="B1748" s="90" t="s">
        <v>7369</v>
      </c>
    </row>
    <row r="1749" spans="1:2" x14ac:dyDescent="0.25">
      <c r="A1749" s="52" t="s">
        <v>95</v>
      </c>
      <c r="B1749" s="90" t="s">
        <v>7370</v>
      </c>
    </row>
    <row r="1750" spans="1:2" x14ac:dyDescent="0.25">
      <c r="A1750" s="52" t="s">
        <v>95</v>
      </c>
      <c r="B1750" s="90" t="s">
        <v>7371</v>
      </c>
    </row>
    <row r="1751" spans="1:2" x14ac:dyDescent="0.25">
      <c r="A1751" s="52" t="s">
        <v>95</v>
      </c>
      <c r="B1751" s="90" t="s">
        <v>7372</v>
      </c>
    </row>
    <row r="1752" spans="1:2" x14ac:dyDescent="0.25">
      <c r="A1752" s="52" t="s">
        <v>95</v>
      </c>
      <c r="B1752" s="90" t="s">
        <v>5780</v>
      </c>
    </row>
    <row r="1753" spans="1:2" x14ac:dyDescent="0.25">
      <c r="A1753" s="52" t="s">
        <v>95</v>
      </c>
      <c r="B1753" s="90" t="s">
        <v>7373</v>
      </c>
    </row>
    <row r="1754" spans="1:2" x14ac:dyDescent="0.25">
      <c r="A1754" s="52" t="s">
        <v>95</v>
      </c>
      <c r="B1754" s="90" t="s">
        <v>7374</v>
      </c>
    </row>
    <row r="1755" spans="1:2" x14ac:dyDescent="0.25">
      <c r="A1755" s="52" t="s">
        <v>95</v>
      </c>
      <c r="B1755" s="90" t="s">
        <v>7375</v>
      </c>
    </row>
    <row r="1756" spans="1:2" x14ac:dyDescent="0.25">
      <c r="A1756" s="52" t="s">
        <v>95</v>
      </c>
      <c r="B1756" s="90" t="s">
        <v>7376</v>
      </c>
    </row>
    <row r="1757" spans="1:2" x14ac:dyDescent="0.25">
      <c r="A1757" s="52" t="s">
        <v>95</v>
      </c>
      <c r="B1757" s="90" t="s">
        <v>7377</v>
      </c>
    </row>
    <row r="1758" spans="1:2" x14ac:dyDescent="0.25">
      <c r="A1758" s="52" t="s">
        <v>95</v>
      </c>
      <c r="B1758" s="90" t="s">
        <v>7378</v>
      </c>
    </row>
    <row r="1759" spans="1:2" x14ac:dyDescent="0.25">
      <c r="A1759" s="52" t="s">
        <v>95</v>
      </c>
      <c r="B1759" s="90" t="s">
        <v>7379</v>
      </c>
    </row>
    <row r="1760" spans="1:2" x14ac:dyDescent="0.25">
      <c r="A1760" s="52" t="s">
        <v>95</v>
      </c>
      <c r="B1760" s="90" t="s">
        <v>7380</v>
      </c>
    </row>
    <row r="1761" spans="1:2" x14ac:dyDescent="0.25">
      <c r="A1761" s="52" t="s">
        <v>95</v>
      </c>
      <c r="B1761" s="90" t="s">
        <v>7380</v>
      </c>
    </row>
    <row r="1762" spans="1:2" x14ac:dyDescent="0.25">
      <c r="A1762" s="52" t="s">
        <v>95</v>
      </c>
      <c r="B1762" s="90" t="s">
        <v>7381</v>
      </c>
    </row>
    <row r="1763" spans="1:2" x14ac:dyDescent="0.25">
      <c r="A1763" s="52" t="s">
        <v>95</v>
      </c>
      <c r="B1763" s="90" t="s">
        <v>7382</v>
      </c>
    </row>
    <row r="1764" spans="1:2" x14ac:dyDescent="0.25">
      <c r="A1764" s="52" t="s">
        <v>95</v>
      </c>
      <c r="B1764" s="90" t="s">
        <v>7383</v>
      </c>
    </row>
    <row r="1765" spans="1:2" x14ac:dyDescent="0.25">
      <c r="A1765" s="52" t="s">
        <v>95</v>
      </c>
      <c r="B1765" s="90" t="s">
        <v>7384</v>
      </c>
    </row>
    <row r="1766" spans="1:2" x14ac:dyDescent="0.25">
      <c r="A1766" s="52" t="s">
        <v>95</v>
      </c>
      <c r="B1766" s="90" t="s">
        <v>7385</v>
      </c>
    </row>
    <row r="1767" spans="1:2" x14ac:dyDescent="0.25">
      <c r="A1767" s="52" t="s">
        <v>95</v>
      </c>
      <c r="B1767" s="90" t="s">
        <v>7386</v>
      </c>
    </row>
    <row r="1768" spans="1:2" x14ac:dyDescent="0.25">
      <c r="A1768" s="52" t="s">
        <v>95</v>
      </c>
      <c r="B1768" s="90" t="s">
        <v>7386</v>
      </c>
    </row>
    <row r="1769" spans="1:2" x14ac:dyDescent="0.25">
      <c r="A1769" s="52" t="s">
        <v>95</v>
      </c>
      <c r="B1769" s="90" t="s">
        <v>7387</v>
      </c>
    </row>
    <row r="1770" spans="1:2" x14ac:dyDescent="0.25">
      <c r="A1770" s="52" t="s">
        <v>95</v>
      </c>
      <c r="B1770" s="90" t="s">
        <v>7388</v>
      </c>
    </row>
    <row r="1771" spans="1:2" x14ac:dyDescent="0.25">
      <c r="A1771" s="52" t="s">
        <v>95</v>
      </c>
      <c r="B1771" s="90" t="s">
        <v>7389</v>
      </c>
    </row>
    <row r="1772" spans="1:2" x14ac:dyDescent="0.25">
      <c r="A1772" s="52" t="s">
        <v>95</v>
      </c>
      <c r="B1772" s="90" t="s">
        <v>7390</v>
      </c>
    </row>
    <row r="1773" spans="1:2" x14ac:dyDescent="0.25">
      <c r="A1773" s="52" t="s">
        <v>95</v>
      </c>
      <c r="B1773" s="90" t="s">
        <v>7391</v>
      </c>
    </row>
    <row r="1774" spans="1:2" x14ac:dyDescent="0.25">
      <c r="A1774" s="52" t="s">
        <v>95</v>
      </c>
      <c r="B1774" s="90" t="s">
        <v>7392</v>
      </c>
    </row>
    <row r="1775" spans="1:2" x14ac:dyDescent="0.25">
      <c r="A1775" s="52" t="s">
        <v>95</v>
      </c>
      <c r="B1775" s="90" t="s">
        <v>7393</v>
      </c>
    </row>
    <row r="1776" spans="1:2" x14ac:dyDescent="0.25">
      <c r="A1776" s="52" t="s">
        <v>95</v>
      </c>
      <c r="B1776" s="90" t="s">
        <v>7394</v>
      </c>
    </row>
    <row r="1777" spans="1:2" x14ac:dyDescent="0.25">
      <c r="A1777" s="52" t="s">
        <v>95</v>
      </c>
      <c r="B1777" s="90" t="s">
        <v>7395</v>
      </c>
    </row>
    <row r="1778" spans="1:2" x14ac:dyDescent="0.25">
      <c r="A1778" s="52" t="s">
        <v>95</v>
      </c>
      <c r="B1778" s="90" t="s">
        <v>7396</v>
      </c>
    </row>
    <row r="1779" spans="1:2" x14ac:dyDescent="0.25">
      <c r="A1779" s="52" t="s">
        <v>95</v>
      </c>
      <c r="B1779" s="90" t="s">
        <v>7397</v>
      </c>
    </row>
    <row r="1780" spans="1:2" x14ac:dyDescent="0.25">
      <c r="A1780" s="52" t="s">
        <v>95</v>
      </c>
      <c r="B1780" s="90" t="s">
        <v>7398</v>
      </c>
    </row>
    <row r="1781" spans="1:2" x14ac:dyDescent="0.25">
      <c r="A1781" s="52" t="s">
        <v>95</v>
      </c>
      <c r="B1781" s="90" t="s">
        <v>7399</v>
      </c>
    </row>
    <row r="1782" spans="1:2" x14ac:dyDescent="0.25">
      <c r="A1782" s="52" t="s">
        <v>95</v>
      </c>
      <c r="B1782" s="90" t="s">
        <v>7400</v>
      </c>
    </row>
    <row r="1783" spans="1:2" x14ac:dyDescent="0.25">
      <c r="A1783" s="52" t="s">
        <v>95</v>
      </c>
      <c r="B1783" s="90" t="s">
        <v>7401</v>
      </c>
    </row>
    <row r="1784" spans="1:2" x14ac:dyDescent="0.25">
      <c r="A1784" s="52" t="s">
        <v>95</v>
      </c>
      <c r="B1784" s="90" t="s">
        <v>7402</v>
      </c>
    </row>
    <row r="1785" spans="1:2" x14ac:dyDescent="0.25">
      <c r="A1785" s="52" t="s">
        <v>95</v>
      </c>
      <c r="B1785" s="90" t="s">
        <v>7403</v>
      </c>
    </row>
    <row r="1786" spans="1:2" x14ac:dyDescent="0.25">
      <c r="A1786" s="52" t="s">
        <v>95</v>
      </c>
      <c r="B1786" s="90" t="s">
        <v>7404</v>
      </c>
    </row>
    <row r="1787" spans="1:2" x14ac:dyDescent="0.25">
      <c r="A1787" s="52" t="s">
        <v>95</v>
      </c>
      <c r="B1787" s="90" t="s">
        <v>7405</v>
      </c>
    </row>
    <row r="1788" spans="1:2" x14ac:dyDescent="0.25">
      <c r="A1788" s="52" t="s">
        <v>95</v>
      </c>
      <c r="B1788" s="90" t="s">
        <v>7406</v>
      </c>
    </row>
    <row r="1789" spans="1:2" x14ac:dyDescent="0.25">
      <c r="A1789" s="52" t="s">
        <v>95</v>
      </c>
      <c r="B1789" s="90" t="s">
        <v>7407</v>
      </c>
    </row>
    <row r="1790" spans="1:2" x14ac:dyDescent="0.25">
      <c r="A1790" s="52" t="s">
        <v>95</v>
      </c>
      <c r="B1790" s="90" t="s">
        <v>7408</v>
      </c>
    </row>
    <row r="1791" spans="1:2" x14ac:dyDescent="0.25">
      <c r="A1791" s="52" t="s">
        <v>95</v>
      </c>
      <c r="B1791" s="90" t="s">
        <v>7409</v>
      </c>
    </row>
    <row r="1792" spans="1:2" x14ac:dyDescent="0.25">
      <c r="A1792" s="52" t="s">
        <v>95</v>
      </c>
      <c r="B1792" s="90" t="s">
        <v>7410</v>
      </c>
    </row>
    <row r="1793" spans="1:2" x14ac:dyDescent="0.25">
      <c r="A1793" s="52" t="s">
        <v>95</v>
      </c>
      <c r="B1793" s="90" t="s">
        <v>7411</v>
      </c>
    </row>
    <row r="1794" spans="1:2" x14ac:dyDescent="0.25">
      <c r="A1794" s="52" t="s">
        <v>95</v>
      </c>
      <c r="B1794" s="90" t="s">
        <v>7412</v>
      </c>
    </row>
    <row r="1795" spans="1:2" x14ac:dyDescent="0.25">
      <c r="A1795" s="52" t="s">
        <v>95</v>
      </c>
      <c r="B1795" s="90" t="s">
        <v>7413</v>
      </c>
    </row>
    <row r="1796" spans="1:2" x14ac:dyDescent="0.25">
      <c r="A1796" s="52" t="s">
        <v>95</v>
      </c>
      <c r="B1796" s="90" t="s">
        <v>7414</v>
      </c>
    </row>
    <row r="1797" spans="1:2" x14ac:dyDescent="0.25">
      <c r="A1797" s="52" t="s">
        <v>95</v>
      </c>
      <c r="B1797" s="90" t="s">
        <v>7415</v>
      </c>
    </row>
    <row r="1798" spans="1:2" x14ac:dyDescent="0.25">
      <c r="A1798" s="52" t="s">
        <v>95</v>
      </c>
      <c r="B1798" s="90" t="s">
        <v>7416</v>
      </c>
    </row>
    <row r="1799" spans="1:2" x14ac:dyDescent="0.25">
      <c r="A1799" s="52" t="s">
        <v>95</v>
      </c>
      <c r="B1799" s="90" t="s">
        <v>7417</v>
      </c>
    </row>
    <row r="1800" spans="1:2" x14ac:dyDescent="0.25">
      <c r="A1800" s="52" t="s">
        <v>95</v>
      </c>
      <c r="B1800" s="90" t="s">
        <v>7418</v>
      </c>
    </row>
    <row r="1801" spans="1:2" x14ac:dyDescent="0.25">
      <c r="A1801" s="52" t="s">
        <v>95</v>
      </c>
      <c r="B1801" s="90" t="s">
        <v>7419</v>
      </c>
    </row>
    <row r="1802" spans="1:2" x14ac:dyDescent="0.25">
      <c r="A1802" s="52" t="s">
        <v>95</v>
      </c>
      <c r="B1802" s="90" t="s">
        <v>7420</v>
      </c>
    </row>
    <row r="1803" spans="1:2" x14ac:dyDescent="0.25">
      <c r="A1803" s="52" t="s">
        <v>95</v>
      </c>
      <c r="B1803" s="90" t="s">
        <v>7421</v>
      </c>
    </row>
    <row r="1804" spans="1:2" x14ac:dyDescent="0.25">
      <c r="A1804" s="52" t="s">
        <v>95</v>
      </c>
      <c r="B1804" s="90" t="s">
        <v>7422</v>
      </c>
    </row>
    <row r="1805" spans="1:2" x14ac:dyDescent="0.25">
      <c r="A1805" s="52" t="s">
        <v>95</v>
      </c>
      <c r="B1805" s="90" t="s">
        <v>7423</v>
      </c>
    </row>
    <row r="1806" spans="1:2" x14ac:dyDescent="0.25">
      <c r="A1806" s="52" t="s">
        <v>95</v>
      </c>
      <c r="B1806" s="90" t="s">
        <v>7424</v>
      </c>
    </row>
    <row r="1807" spans="1:2" x14ac:dyDescent="0.25">
      <c r="A1807" s="52" t="s">
        <v>95</v>
      </c>
      <c r="B1807" s="90" t="s">
        <v>7425</v>
      </c>
    </row>
    <row r="1808" spans="1:2" x14ac:dyDescent="0.25">
      <c r="A1808" s="52" t="s">
        <v>95</v>
      </c>
      <c r="B1808" s="90" t="s">
        <v>7426</v>
      </c>
    </row>
    <row r="1809" spans="1:2" x14ac:dyDescent="0.25">
      <c r="A1809" s="52" t="s">
        <v>95</v>
      </c>
      <c r="B1809" s="90" t="s">
        <v>7427</v>
      </c>
    </row>
    <row r="1810" spans="1:2" x14ac:dyDescent="0.25">
      <c r="A1810" s="52" t="s">
        <v>95</v>
      </c>
      <c r="B1810" s="90" t="s">
        <v>7428</v>
      </c>
    </row>
    <row r="1811" spans="1:2" x14ac:dyDescent="0.25">
      <c r="A1811" s="52" t="s">
        <v>95</v>
      </c>
      <c r="B1811" s="90" t="s">
        <v>7429</v>
      </c>
    </row>
    <row r="1812" spans="1:2" x14ac:dyDescent="0.25">
      <c r="A1812" s="52" t="s">
        <v>95</v>
      </c>
      <c r="B1812" s="90" t="s">
        <v>7430</v>
      </c>
    </row>
    <row r="1813" spans="1:2" x14ac:dyDescent="0.25">
      <c r="A1813" s="52" t="s">
        <v>95</v>
      </c>
      <c r="B1813" s="90" t="s">
        <v>7431</v>
      </c>
    </row>
    <row r="1814" spans="1:2" x14ac:dyDescent="0.25">
      <c r="A1814" s="52" t="s">
        <v>95</v>
      </c>
      <c r="B1814" s="90" t="s">
        <v>7432</v>
      </c>
    </row>
    <row r="1815" spans="1:2" x14ac:dyDescent="0.25">
      <c r="A1815" s="52" t="s">
        <v>95</v>
      </c>
      <c r="B1815" s="90" t="s">
        <v>7433</v>
      </c>
    </row>
    <row r="1816" spans="1:2" x14ac:dyDescent="0.25">
      <c r="A1816" s="52" t="s">
        <v>95</v>
      </c>
      <c r="B1816" s="90" t="s">
        <v>7434</v>
      </c>
    </row>
    <row r="1817" spans="1:2" x14ac:dyDescent="0.25">
      <c r="A1817" s="52" t="s">
        <v>95</v>
      </c>
      <c r="B1817" s="90" t="s">
        <v>7435</v>
      </c>
    </row>
    <row r="1818" spans="1:2" x14ac:dyDescent="0.25">
      <c r="A1818" s="52" t="s">
        <v>95</v>
      </c>
      <c r="B1818" s="90" t="s">
        <v>7436</v>
      </c>
    </row>
    <row r="1819" spans="1:2" x14ac:dyDescent="0.25">
      <c r="A1819" s="52" t="s">
        <v>95</v>
      </c>
      <c r="B1819" s="90" t="s">
        <v>7437</v>
      </c>
    </row>
    <row r="1820" spans="1:2" x14ac:dyDescent="0.25">
      <c r="A1820" s="52" t="s">
        <v>95</v>
      </c>
      <c r="B1820" s="90" t="s">
        <v>7438</v>
      </c>
    </row>
    <row r="1821" spans="1:2" x14ac:dyDescent="0.25">
      <c r="A1821" s="52" t="s">
        <v>95</v>
      </c>
      <c r="B1821" s="90" t="s">
        <v>7439</v>
      </c>
    </row>
    <row r="1822" spans="1:2" x14ac:dyDescent="0.25">
      <c r="A1822" s="52" t="s">
        <v>95</v>
      </c>
      <c r="B1822" s="90" t="s">
        <v>7440</v>
      </c>
    </row>
    <row r="1823" spans="1:2" x14ac:dyDescent="0.25">
      <c r="A1823" s="52" t="s">
        <v>95</v>
      </c>
      <c r="B1823" s="90" t="s">
        <v>7441</v>
      </c>
    </row>
    <row r="1824" spans="1:2" x14ac:dyDescent="0.25">
      <c r="A1824" s="52" t="s">
        <v>95</v>
      </c>
      <c r="B1824" s="90" t="s">
        <v>7442</v>
      </c>
    </row>
    <row r="1825" spans="1:2" x14ac:dyDescent="0.25">
      <c r="A1825" s="52" t="s">
        <v>95</v>
      </c>
      <c r="B1825" s="90" t="s">
        <v>7443</v>
      </c>
    </row>
    <row r="1826" spans="1:2" x14ac:dyDescent="0.25">
      <c r="A1826" s="52" t="s">
        <v>95</v>
      </c>
      <c r="B1826" s="90" t="s">
        <v>7444</v>
      </c>
    </row>
    <row r="1827" spans="1:2" x14ac:dyDescent="0.25">
      <c r="A1827" s="52" t="s">
        <v>95</v>
      </c>
      <c r="B1827" s="90" t="s">
        <v>7445</v>
      </c>
    </row>
    <row r="1828" spans="1:2" x14ac:dyDescent="0.25">
      <c r="A1828" s="52" t="s">
        <v>95</v>
      </c>
      <c r="B1828" s="90" t="s">
        <v>7446</v>
      </c>
    </row>
    <row r="1829" spans="1:2" x14ac:dyDescent="0.25">
      <c r="A1829" s="52" t="s">
        <v>95</v>
      </c>
      <c r="B1829" s="90" t="s">
        <v>7447</v>
      </c>
    </row>
    <row r="1830" spans="1:2" x14ac:dyDescent="0.25">
      <c r="A1830" s="52" t="s">
        <v>95</v>
      </c>
      <c r="B1830" s="90" t="s">
        <v>7448</v>
      </c>
    </row>
    <row r="1831" spans="1:2" x14ac:dyDescent="0.25">
      <c r="A1831" s="52" t="s">
        <v>95</v>
      </c>
      <c r="B1831" s="90" t="s">
        <v>7449</v>
      </c>
    </row>
    <row r="1832" spans="1:2" x14ac:dyDescent="0.25">
      <c r="A1832" s="52" t="s">
        <v>95</v>
      </c>
      <c r="B1832" s="90" t="s">
        <v>7450</v>
      </c>
    </row>
    <row r="1833" spans="1:2" x14ac:dyDescent="0.25">
      <c r="A1833" s="52" t="s">
        <v>95</v>
      </c>
      <c r="B1833" s="90" t="s">
        <v>7451</v>
      </c>
    </row>
    <row r="1834" spans="1:2" x14ac:dyDescent="0.25">
      <c r="A1834" s="52" t="s">
        <v>95</v>
      </c>
      <c r="B1834" s="90" t="s">
        <v>7452</v>
      </c>
    </row>
    <row r="1835" spans="1:2" x14ac:dyDescent="0.25">
      <c r="A1835" s="52" t="s">
        <v>95</v>
      </c>
      <c r="B1835" s="90" t="s">
        <v>7453</v>
      </c>
    </row>
    <row r="1836" spans="1:2" x14ac:dyDescent="0.25">
      <c r="A1836" s="52" t="s">
        <v>95</v>
      </c>
      <c r="B1836" s="90" t="s">
        <v>7454</v>
      </c>
    </row>
    <row r="1837" spans="1:2" x14ac:dyDescent="0.25">
      <c r="A1837" s="52" t="s">
        <v>95</v>
      </c>
      <c r="B1837" s="90" t="s">
        <v>7455</v>
      </c>
    </row>
    <row r="1838" spans="1:2" x14ac:dyDescent="0.25">
      <c r="A1838" s="52" t="s">
        <v>95</v>
      </c>
      <c r="B1838" s="90" t="s">
        <v>7456</v>
      </c>
    </row>
    <row r="1839" spans="1:2" x14ac:dyDescent="0.25">
      <c r="A1839" s="52" t="s">
        <v>95</v>
      </c>
      <c r="B1839" s="90" t="s">
        <v>7457</v>
      </c>
    </row>
    <row r="1840" spans="1:2" x14ac:dyDescent="0.25">
      <c r="A1840" s="52" t="s">
        <v>95</v>
      </c>
      <c r="B1840" s="90" t="s">
        <v>7458</v>
      </c>
    </row>
    <row r="1841" spans="1:2" x14ac:dyDescent="0.25">
      <c r="A1841" s="52" t="s">
        <v>95</v>
      </c>
      <c r="B1841" s="90" t="s">
        <v>7459</v>
      </c>
    </row>
    <row r="1842" spans="1:2" x14ac:dyDescent="0.25">
      <c r="A1842" s="52" t="s">
        <v>95</v>
      </c>
      <c r="B1842" s="90" t="s">
        <v>7460</v>
      </c>
    </row>
    <row r="1843" spans="1:2" x14ac:dyDescent="0.25">
      <c r="A1843" s="52" t="s">
        <v>95</v>
      </c>
      <c r="B1843" s="90" t="s">
        <v>7461</v>
      </c>
    </row>
    <row r="1844" spans="1:2" x14ac:dyDescent="0.25">
      <c r="A1844" s="52" t="s">
        <v>95</v>
      </c>
      <c r="B1844" s="90" t="s">
        <v>7462</v>
      </c>
    </row>
    <row r="1845" spans="1:2" x14ac:dyDescent="0.25">
      <c r="A1845" s="52" t="s">
        <v>95</v>
      </c>
      <c r="B1845" s="90" t="s">
        <v>7463</v>
      </c>
    </row>
    <row r="1846" spans="1:2" x14ac:dyDescent="0.25">
      <c r="A1846" s="52" t="s">
        <v>95</v>
      </c>
      <c r="B1846" s="90" t="s">
        <v>7464</v>
      </c>
    </row>
    <row r="1847" spans="1:2" x14ac:dyDescent="0.25">
      <c r="A1847" s="52" t="s">
        <v>95</v>
      </c>
      <c r="B1847" s="90" t="s">
        <v>7465</v>
      </c>
    </row>
    <row r="1848" spans="1:2" x14ac:dyDescent="0.25">
      <c r="A1848" s="52" t="s">
        <v>95</v>
      </c>
      <c r="B1848" s="90" t="s">
        <v>7466</v>
      </c>
    </row>
    <row r="1849" spans="1:2" x14ac:dyDescent="0.25">
      <c r="A1849" s="52" t="s">
        <v>95</v>
      </c>
      <c r="B1849" s="90" t="s">
        <v>7466</v>
      </c>
    </row>
    <row r="1850" spans="1:2" x14ac:dyDescent="0.25">
      <c r="A1850" s="52" t="s">
        <v>95</v>
      </c>
      <c r="B1850" s="90" t="s">
        <v>7467</v>
      </c>
    </row>
    <row r="1851" spans="1:2" x14ac:dyDescent="0.25">
      <c r="A1851" s="52" t="s">
        <v>95</v>
      </c>
      <c r="B1851" s="90" t="s">
        <v>7468</v>
      </c>
    </row>
    <row r="1852" spans="1:2" x14ac:dyDescent="0.25">
      <c r="A1852" s="52" t="s">
        <v>95</v>
      </c>
      <c r="B1852" s="90" t="s">
        <v>7469</v>
      </c>
    </row>
    <row r="1853" spans="1:2" x14ac:dyDescent="0.25">
      <c r="A1853" s="52" t="s">
        <v>95</v>
      </c>
      <c r="B1853" s="90" t="s">
        <v>7470</v>
      </c>
    </row>
    <row r="1854" spans="1:2" x14ac:dyDescent="0.25">
      <c r="A1854" s="52" t="s">
        <v>95</v>
      </c>
      <c r="B1854" s="90" t="s">
        <v>7471</v>
      </c>
    </row>
    <row r="1855" spans="1:2" x14ac:dyDescent="0.25">
      <c r="A1855" s="52" t="s">
        <v>95</v>
      </c>
      <c r="B1855" s="90" t="s">
        <v>7472</v>
      </c>
    </row>
    <row r="1856" spans="1:2" x14ac:dyDescent="0.25">
      <c r="A1856" s="52" t="s">
        <v>95</v>
      </c>
      <c r="B1856" s="90" t="s">
        <v>7473</v>
      </c>
    </row>
    <row r="1857" spans="1:2" x14ac:dyDescent="0.25">
      <c r="A1857" s="52" t="s">
        <v>95</v>
      </c>
      <c r="B1857" s="90" t="s">
        <v>7474</v>
      </c>
    </row>
    <row r="1858" spans="1:2" x14ac:dyDescent="0.25">
      <c r="A1858" s="52" t="s">
        <v>95</v>
      </c>
      <c r="B1858" s="90" t="s">
        <v>7475</v>
      </c>
    </row>
    <row r="1859" spans="1:2" x14ac:dyDescent="0.25">
      <c r="A1859" s="52" t="s">
        <v>95</v>
      </c>
      <c r="B1859" s="90" t="s">
        <v>7476</v>
      </c>
    </row>
    <row r="1860" spans="1:2" x14ac:dyDescent="0.25">
      <c r="A1860" s="52" t="s">
        <v>95</v>
      </c>
      <c r="B1860" s="90" t="s">
        <v>7477</v>
      </c>
    </row>
    <row r="1861" spans="1:2" x14ac:dyDescent="0.25">
      <c r="A1861" s="52" t="s">
        <v>95</v>
      </c>
      <c r="B1861" s="90" t="s">
        <v>7478</v>
      </c>
    </row>
    <row r="1862" spans="1:2" x14ac:dyDescent="0.25">
      <c r="A1862" s="52" t="s">
        <v>95</v>
      </c>
      <c r="B1862" s="90" t="s">
        <v>7479</v>
      </c>
    </row>
    <row r="1863" spans="1:2" x14ac:dyDescent="0.25">
      <c r="A1863" s="52" t="s">
        <v>95</v>
      </c>
      <c r="B1863" s="90" t="s">
        <v>7480</v>
      </c>
    </row>
    <row r="1864" spans="1:2" x14ac:dyDescent="0.25">
      <c r="A1864" s="52" t="s">
        <v>95</v>
      </c>
      <c r="B1864" s="90" t="s">
        <v>7481</v>
      </c>
    </row>
    <row r="1865" spans="1:2" x14ac:dyDescent="0.25">
      <c r="A1865" s="52" t="s">
        <v>95</v>
      </c>
      <c r="B1865" s="90" t="s">
        <v>7482</v>
      </c>
    </row>
    <row r="1866" spans="1:2" x14ac:dyDescent="0.25">
      <c r="A1866" s="52" t="s">
        <v>95</v>
      </c>
      <c r="B1866" s="90" t="s">
        <v>7483</v>
      </c>
    </row>
    <row r="1867" spans="1:2" x14ac:dyDescent="0.25">
      <c r="A1867" s="52" t="s">
        <v>95</v>
      </c>
      <c r="B1867" s="90" t="s">
        <v>7484</v>
      </c>
    </row>
    <row r="1868" spans="1:2" x14ac:dyDescent="0.25">
      <c r="A1868" s="52" t="s">
        <v>95</v>
      </c>
      <c r="B1868" s="90" t="s">
        <v>7485</v>
      </c>
    </row>
    <row r="1869" spans="1:2" x14ac:dyDescent="0.25">
      <c r="A1869" s="52" t="s">
        <v>95</v>
      </c>
      <c r="B1869" s="90" t="s">
        <v>7486</v>
      </c>
    </row>
    <row r="1870" spans="1:2" x14ac:dyDescent="0.25">
      <c r="A1870" s="52" t="s">
        <v>95</v>
      </c>
      <c r="B1870" s="90" t="s">
        <v>7487</v>
      </c>
    </row>
    <row r="1871" spans="1:2" x14ac:dyDescent="0.25">
      <c r="A1871" s="52" t="s">
        <v>95</v>
      </c>
      <c r="B1871" s="90" t="s">
        <v>7488</v>
      </c>
    </row>
    <row r="1872" spans="1:2" x14ac:dyDescent="0.25">
      <c r="A1872" s="52" t="s">
        <v>95</v>
      </c>
      <c r="B1872" s="90" t="s">
        <v>7489</v>
      </c>
    </row>
    <row r="1873" spans="1:2" x14ac:dyDescent="0.25">
      <c r="A1873" s="52" t="s">
        <v>95</v>
      </c>
      <c r="B1873" s="90" t="s">
        <v>7490</v>
      </c>
    </row>
    <row r="1874" spans="1:2" x14ac:dyDescent="0.25">
      <c r="A1874" s="52" t="s">
        <v>95</v>
      </c>
      <c r="B1874" s="90" t="s">
        <v>5781</v>
      </c>
    </row>
    <row r="1875" spans="1:2" x14ac:dyDescent="0.25">
      <c r="A1875" s="52" t="s">
        <v>95</v>
      </c>
      <c r="B1875" s="90" t="s">
        <v>7491</v>
      </c>
    </row>
    <row r="1876" spans="1:2" x14ac:dyDescent="0.25">
      <c r="A1876" s="52" t="s">
        <v>95</v>
      </c>
      <c r="B1876" s="90" t="s">
        <v>7491</v>
      </c>
    </row>
    <row r="1877" spans="1:2" x14ac:dyDescent="0.25">
      <c r="A1877" s="52" t="s">
        <v>95</v>
      </c>
      <c r="B1877" s="90" t="s">
        <v>7492</v>
      </c>
    </row>
    <row r="1878" spans="1:2" x14ac:dyDescent="0.25">
      <c r="A1878" s="52" t="s">
        <v>95</v>
      </c>
      <c r="B1878" s="90" t="s">
        <v>7493</v>
      </c>
    </row>
    <row r="1879" spans="1:2" x14ac:dyDescent="0.25">
      <c r="A1879" s="52" t="s">
        <v>95</v>
      </c>
      <c r="B1879" s="90" t="s">
        <v>7494</v>
      </c>
    </row>
    <row r="1880" spans="1:2" x14ac:dyDescent="0.25">
      <c r="A1880" s="52" t="s">
        <v>95</v>
      </c>
      <c r="B1880" s="90" t="s">
        <v>7495</v>
      </c>
    </row>
    <row r="1881" spans="1:2" x14ac:dyDescent="0.25">
      <c r="A1881" s="52" t="s">
        <v>95</v>
      </c>
      <c r="B1881" s="90" t="s">
        <v>7496</v>
      </c>
    </row>
    <row r="1882" spans="1:2" x14ac:dyDescent="0.25">
      <c r="A1882" s="52" t="s">
        <v>95</v>
      </c>
      <c r="B1882" s="90" t="s">
        <v>7497</v>
      </c>
    </row>
    <row r="1883" spans="1:2" x14ac:dyDescent="0.25">
      <c r="A1883" s="52" t="s">
        <v>95</v>
      </c>
      <c r="B1883" s="90" t="s">
        <v>7498</v>
      </c>
    </row>
    <row r="1884" spans="1:2" x14ac:dyDescent="0.25">
      <c r="A1884" s="52" t="s">
        <v>95</v>
      </c>
      <c r="B1884" s="90" t="s">
        <v>7499</v>
      </c>
    </row>
    <row r="1885" spans="1:2" x14ac:dyDescent="0.25">
      <c r="A1885" s="52" t="s">
        <v>95</v>
      </c>
      <c r="B1885" s="90" t="s">
        <v>7500</v>
      </c>
    </row>
    <row r="1886" spans="1:2" x14ac:dyDescent="0.25">
      <c r="A1886" s="52" t="s">
        <v>95</v>
      </c>
      <c r="B1886" s="90" t="s">
        <v>7501</v>
      </c>
    </row>
    <row r="1887" spans="1:2" x14ac:dyDescent="0.25">
      <c r="A1887" s="52" t="s">
        <v>95</v>
      </c>
      <c r="B1887" s="90" t="s">
        <v>7502</v>
      </c>
    </row>
    <row r="1888" spans="1:2" x14ac:dyDescent="0.25">
      <c r="A1888" s="52" t="s">
        <v>95</v>
      </c>
      <c r="B1888" s="90" t="s">
        <v>7503</v>
      </c>
    </row>
    <row r="1889" spans="1:2" x14ac:dyDescent="0.25">
      <c r="A1889" s="52" t="s">
        <v>95</v>
      </c>
      <c r="B1889" s="90" t="s">
        <v>7504</v>
      </c>
    </row>
    <row r="1890" spans="1:2" x14ac:dyDescent="0.25">
      <c r="A1890" s="52" t="s">
        <v>95</v>
      </c>
      <c r="B1890" s="90" t="s">
        <v>7505</v>
      </c>
    </row>
    <row r="1891" spans="1:2" x14ac:dyDescent="0.25">
      <c r="A1891" s="52" t="s">
        <v>95</v>
      </c>
      <c r="B1891" s="90" t="s">
        <v>7506</v>
      </c>
    </row>
    <row r="1892" spans="1:2" x14ac:dyDescent="0.25">
      <c r="A1892" s="52" t="s">
        <v>95</v>
      </c>
      <c r="B1892" s="90" t="s">
        <v>7507</v>
      </c>
    </row>
    <row r="1893" spans="1:2" x14ac:dyDescent="0.25">
      <c r="A1893" s="52" t="s">
        <v>95</v>
      </c>
      <c r="B1893" s="90" t="s">
        <v>7508</v>
      </c>
    </row>
    <row r="1894" spans="1:2" x14ac:dyDescent="0.25">
      <c r="A1894" s="52" t="s">
        <v>95</v>
      </c>
      <c r="B1894" s="90" t="s">
        <v>7509</v>
      </c>
    </row>
    <row r="1895" spans="1:2" x14ac:dyDescent="0.25">
      <c r="A1895" s="52" t="s">
        <v>95</v>
      </c>
      <c r="B1895" s="90" t="s">
        <v>7510</v>
      </c>
    </row>
    <row r="1896" spans="1:2" x14ac:dyDescent="0.25">
      <c r="A1896" s="52" t="s">
        <v>95</v>
      </c>
      <c r="B1896" s="90" t="s">
        <v>7511</v>
      </c>
    </row>
    <row r="1897" spans="1:2" x14ac:dyDescent="0.25">
      <c r="A1897" s="52" t="s">
        <v>95</v>
      </c>
      <c r="B1897" s="90" t="s">
        <v>7512</v>
      </c>
    </row>
    <row r="1898" spans="1:2" x14ac:dyDescent="0.25">
      <c r="A1898" s="52" t="s">
        <v>95</v>
      </c>
      <c r="B1898" s="90" t="s">
        <v>7513</v>
      </c>
    </row>
    <row r="1899" spans="1:2" x14ac:dyDescent="0.25">
      <c r="A1899" s="52" t="s">
        <v>95</v>
      </c>
      <c r="B1899" s="90" t="s">
        <v>7514</v>
      </c>
    </row>
    <row r="1900" spans="1:2" x14ac:dyDescent="0.25">
      <c r="A1900" s="52" t="s">
        <v>95</v>
      </c>
      <c r="B1900" s="90" t="s">
        <v>7515</v>
      </c>
    </row>
    <row r="1901" spans="1:2" x14ac:dyDescent="0.25">
      <c r="A1901" s="52" t="s">
        <v>95</v>
      </c>
      <c r="B1901" s="90" t="s">
        <v>7516</v>
      </c>
    </row>
    <row r="1902" spans="1:2" x14ac:dyDescent="0.25">
      <c r="A1902" s="52" t="s">
        <v>95</v>
      </c>
      <c r="B1902" s="90" t="s">
        <v>7517</v>
      </c>
    </row>
    <row r="1903" spans="1:2" x14ac:dyDescent="0.25">
      <c r="A1903" s="52" t="s">
        <v>95</v>
      </c>
      <c r="B1903" s="90" t="s">
        <v>7518</v>
      </c>
    </row>
    <row r="1904" spans="1:2" x14ac:dyDescent="0.25">
      <c r="A1904" s="52" t="s">
        <v>95</v>
      </c>
      <c r="B1904" s="90" t="s">
        <v>7519</v>
      </c>
    </row>
    <row r="1905" spans="1:2" x14ac:dyDescent="0.25">
      <c r="A1905" s="52" t="s">
        <v>95</v>
      </c>
      <c r="B1905" s="90" t="s">
        <v>7520</v>
      </c>
    </row>
    <row r="1906" spans="1:2" x14ac:dyDescent="0.25">
      <c r="A1906" s="52" t="s">
        <v>95</v>
      </c>
      <c r="B1906" s="90" t="s">
        <v>7521</v>
      </c>
    </row>
    <row r="1907" spans="1:2" x14ac:dyDescent="0.25">
      <c r="A1907" s="52" t="s">
        <v>95</v>
      </c>
      <c r="B1907" s="90" t="s">
        <v>7522</v>
      </c>
    </row>
    <row r="1908" spans="1:2" x14ac:dyDescent="0.25">
      <c r="A1908" s="52" t="s">
        <v>95</v>
      </c>
      <c r="B1908" s="90" t="s">
        <v>7523</v>
      </c>
    </row>
    <row r="1909" spans="1:2" x14ac:dyDescent="0.25">
      <c r="A1909" s="52" t="s">
        <v>95</v>
      </c>
      <c r="B1909" s="90" t="s">
        <v>7524</v>
      </c>
    </row>
    <row r="1910" spans="1:2" x14ac:dyDescent="0.25">
      <c r="A1910" s="52" t="s">
        <v>95</v>
      </c>
      <c r="B1910" s="90" t="s">
        <v>7525</v>
      </c>
    </row>
    <row r="1911" spans="1:2" x14ac:dyDescent="0.25">
      <c r="A1911" s="52" t="s">
        <v>95</v>
      </c>
      <c r="B1911" s="90" t="s">
        <v>7526</v>
      </c>
    </row>
    <row r="1912" spans="1:2" x14ac:dyDescent="0.25">
      <c r="A1912" s="52" t="s">
        <v>95</v>
      </c>
      <c r="B1912" s="90" t="s">
        <v>7527</v>
      </c>
    </row>
    <row r="1913" spans="1:2" x14ac:dyDescent="0.25">
      <c r="A1913" s="52" t="s">
        <v>95</v>
      </c>
      <c r="B1913" s="90" t="s">
        <v>7528</v>
      </c>
    </row>
    <row r="1914" spans="1:2" x14ac:dyDescent="0.25">
      <c r="A1914" s="52" t="s">
        <v>95</v>
      </c>
      <c r="B1914" s="90" t="s">
        <v>7529</v>
      </c>
    </row>
    <row r="1915" spans="1:2" x14ac:dyDescent="0.25">
      <c r="A1915" s="52" t="s">
        <v>95</v>
      </c>
      <c r="B1915" s="90" t="s">
        <v>7530</v>
      </c>
    </row>
    <row r="1916" spans="1:2" x14ac:dyDescent="0.25">
      <c r="A1916" s="52" t="s">
        <v>95</v>
      </c>
      <c r="B1916" s="90" t="s">
        <v>7531</v>
      </c>
    </row>
    <row r="1917" spans="1:2" x14ac:dyDescent="0.25">
      <c r="A1917" s="52" t="s">
        <v>95</v>
      </c>
      <c r="B1917" s="90" t="s">
        <v>7532</v>
      </c>
    </row>
    <row r="1918" spans="1:2" x14ac:dyDescent="0.25">
      <c r="A1918" s="52" t="s">
        <v>95</v>
      </c>
      <c r="B1918" s="90" t="s">
        <v>7533</v>
      </c>
    </row>
    <row r="1919" spans="1:2" x14ac:dyDescent="0.25">
      <c r="A1919" s="52" t="s">
        <v>95</v>
      </c>
      <c r="B1919" s="90" t="s">
        <v>7534</v>
      </c>
    </row>
    <row r="1920" spans="1:2" x14ac:dyDescent="0.25">
      <c r="A1920" s="52" t="s">
        <v>95</v>
      </c>
      <c r="B1920" s="90" t="s">
        <v>7535</v>
      </c>
    </row>
    <row r="1921" spans="1:2" x14ac:dyDescent="0.25">
      <c r="A1921" s="52" t="s">
        <v>95</v>
      </c>
      <c r="B1921" s="90" t="s">
        <v>5782</v>
      </c>
    </row>
    <row r="1922" spans="1:2" x14ac:dyDescent="0.25">
      <c r="A1922" s="52" t="s">
        <v>95</v>
      </c>
      <c r="B1922" s="90" t="s">
        <v>7536</v>
      </c>
    </row>
    <row r="1923" spans="1:2" x14ac:dyDescent="0.25">
      <c r="A1923" s="52" t="s">
        <v>95</v>
      </c>
      <c r="B1923" s="90" t="s">
        <v>7537</v>
      </c>
    </row>
    <row r="1924" spans="1:2" x14ac:dyDescent="0.25">
      <c r="A1924" s="52" t="s">
        <v>95</v>
      </c>
      <c r="B1924" s="90" t="s">
        <v>7538</v>
      </c>
    </row>
    <row r="1925" spans="1:2" x14ac:dyDescent="0.25">
      <c r="A1925" s="52" t="s">
        <v>95</v>
      </c>
      <c r="B1925" s="90" t="s">
        <v>7539</v>
      </c>
    </row>
    <row r="1926" spans="1:2" x14ac:dyDescent="0.25">
      <c r="A1926" s="52" t="s">
        <v>95</v>
      </c>
      <c r="B1926" s="90" t="s">
        <v>7540</v>
      </c>
    </row>
    <row r="1927" spans="1:2" x14ac:dyDescent="0.25">
      <c r="A1927" s="52" t="s">
        <v>95</v>
      </c>
      <c r="B1927" s="90" t="s">
        <v>7541</v>
      </c>
    </row>
    <row r="1928" spans="1:2" x14ac:dyDescent="0.25">
      <c r="A1928" s="52" t="s">
        <v>95</v>
      </c>
      <c r="B1928" s="90" t="s">
        <v>7542</v>
      </c>
    </row>
    <row r="1929" spans="1:2" x14ac:dyDescent="0.25">
      <c r="A1929" s="52" t="s">
        <v>95</v>
      </c>
      <c r="B1929" s="90" t="s">
        <v>7543</v>
      </c>
    </row>
    <row r="1930" spans="1:2" x14ac:dyDescent="0.25">
      <c r="A1930" s="52" t="s">
        <v>95</v>
      </c>
      <c r="B1930" s="90" t="s">
        <v>7544</v>
      </c>
    </row>
    <row r="1931" spans="1:2" x14ac:dyDescent="0.25">
      <c r="A1931" s="52" t="s">
        <v>95</v>
      </c>
      <c r="B1931" s="90" t="s">
        <v>7545</v>
      </c>
    </row>
    <row r="1932" spans="1:2" x14ac:dyDescent="0.25">
      <c r="A1932" s="52" t="s">
        <v>95</v>
      </c>
      <c r="B1932" s="90" t="s">
        <v>7546</v>
      </c>
    </row>
    <row r="1933" spans="1:2" x14ac:dyDescent="0.25">
      <c r="A1933" s="52" t="s">
        <v>95</v>
      </c>
      <c r="B1933" s="90" t="s">
        <v>7547</v>
      </c>
    </row>
    <row r="1934" spans="1:2" x14ac:dyDescent="0.25">
      <c r="A1934" s="52" t="s">
        <v>95</v>
      </c>
      <c r="B1934" s="90" t="s">
        <v>7548</v>
      </c>
    </row>
    <row r="1935" spans="1:2" x14ac:dyDescent="0.25">
      <c r="A1935" s="52" t="s">
        <v>95</v>
      </c>
      <c r="B1935" s="90" t="s">
        <v>7549</v>
      </c>
    </row>
    <row r="1936" spans="1:2" x14ac:dyDescent="0.25">
      <c r="A1936" s="52" t="s">
        <v>95</v>
      </c>
      <c r="B1936" s="90" t="s">
        <v>7550</v>
      </c>
    </row>
    <row r="1937" spans="1:2" x14ac:dyDescent="0.25">
      <c r="A1937" s="52" t="s">
        <v>95</v>
      </c>
      <c r="B1937" s="90" t="s">
        <v>7551</v>
      </c>
    </row>
    <row r="1938" spans="1:2" x14ac:dyDescent="0.25">
      <c r="A1938" s="52" t="s">
        <v>95</v>
      </c>
      <c r="B1938" s="90" t="s">
        <v>7552</v>
      </c>
    </row>
    <row r="1939" spans="1:2" x14ac:dyDescent="0.25">
      <c r="A1939" s="52" t="s">
        <v>95</v>
      </c>
      <c r="B1939" s="90" t="s">
        <v>7553</v>
      </c>
    </row>
    <row r="1940" spans="1:2" x14ac:dyDescent="0.25">
      <c r="A1940" s="52" t="s">
        <v>95</v>
      </c>
      <c r="B1940" s="90" t="s">
        <v>7554</v>
      </c>
    </row>
    <row r="1941" spans="1:2" x14ac:dyDescent="0.25">
      <c r="A1941" s="52" t="s">
        <v>95</v>
      </c>
      <c r="B1941" s="90" t="s">
        <v>7555</v>
      </c>
    </row>
    <row r="1942" spans="1:2" x14ac:dyDescent="0.25">
      <c r="A1942" s="52" t="s">
        <v>95</v>
      </c>
      <c r="B1942" s="90" t="s">
        <v>7556</v>
      </c>
    </row>
    <row r="1943" spans="1:2" x14ac:dyDescent="0.25">
      <c r="A1943" s="52" t="s">
        <v>95</v>
      </c>
      <c r="B1943" s="90" t="s">
        <v>7557</v>
      </c>
    </row>
    <row r="1944" spans="1:2" x14ac:dyDescent="0.25">
      <c r="A1944" s="52" t="s">
        <v>95</v>
      </c>
      <c r="B1944" s="90" t="s">
        <v>7558</v>
      </c>
    </row>
    <row r="1945" spans="1:2" x14ac:dyDescent="0.25">
      <c r="A1945" s="52" t="s">
        <v>95</v>
      </c>
      <c r="B1945" s="90" t="s">
        <v>7559</v>
      </c>
    </row>
    <row r="1946" spans="1:2" x14ac:dyDescent="0.25">
      <c r="A1946" s="52" t="s">
        <v>95</v>
      </c>
      <c r="B1946" s="90" t="s">
        <v>7560</v>
      </c>
    </row>
    <row r="1947" spans="1:2" x14ac:dyDescent="0.25">
      <c r="A1947" s="52" t="s">
        <v>95</v>
      </c>
      <c r="B1947" s="90" t="s">
        <v>7561</v>
      </c>
    </row>
    <row r="1948" spans="1:2" x14ac:dyDescent="0.25">
      <c r="A1948" s="52" t="s">
        <v>95</v>
      </c>
      <c r="B1948" s="90" t="s">
        <v>7562</v>
      </c>
    </row>
    <row r="1949" spans="1:2" x14ac:dyDescent="0.25">
      <c r="A1949" s="52" t="s">
        <v>95</v>
      </c>
      <c r="B1949" s="90" t="s">
        <v>7563</v>
      </c>
    </row>
    <row r="1950" spans="1:2" x14ac:dyDescent="0.25">
      <c r="A1950" s="52" t="s">
        <v>95</v>
      </c>
      <c r="B1950" s="90" t="s">
        <v>7564</v>
      </c>
    </row>
    <row r="1951" spans="1:2" x14ac:dyDescent="0.25">
      <c r="A1951" s="52" t="s">
        <v>95</v>
      </c>
      <c r="B1951" s="90" t="s">
        <v>7565</v>
      </c>
    </row>
    <row r="1952" spans="1:2" x14ac:dyDescent="0.25">
      <c r="A1952" s="52" t="s">
        <v>95</v>
      </c>
      <c r="B1952" s="90" t="s">
        <v>7566</v>
      </c>
    </row>
    <row r="1953" spans="1:2" x14ac:dyDescent="0.25">
      <c r="A1953" s="52" t="s">
        <v>95</v>
      </c>
      <c r="B1953" s="90" t="s">
        <v>7567</v>
      </c>
    </row>
    <row r="1954" spans="1:2" x14ac:dyDescent="0.25">
      <c r="A1954" s="52" t="s">
        <v>95</v>
      </c>
      <c r="B1954" s="90" t="s">
        <v>7568</v>
      </c>
    </row>
    <row r="1955" spans="1:2" x14ac:dyDescent="0.25">
      <c r="A1955" s="52" t="s">
        <v>95</v>
      </c>
      <c r="B1955" s="90" t="s">
        <v>7569</v>
      </c>
    </row>
    <row r="1956" spans="1:2" x14ac:dyDescent="0.25">
      <c r="A1956" s="52" t="s">
        <v>95</v>
      </c>
      <c r="B1956" s="90" t="s">
        <v>7570</v>
      </c>
    </row>
    <row r="1957" spans="1:2" x14ac:dyDescent="0.25">
      <c r="A1957" s="52" t="s">
        <v>95</v>
      </c>
      <c r="B1957" s="90" t="s">
        <v>7571</v>
      </c>
    </row>
    <row r="1958" spans="1:2" x14ac:dyDescent="0.25">
      <c r="A1958" s="52" t="s">
        <v>95</v>
      </c>
      <c r="B1958" s="90" t="s">
        <v>7572</v>
      </c>
    </row>
    <row r="1959" spans="1:2" x14ac:dyDescent="0.25">
      <c r="A1959" s="52" t="s">
        <v>95</v>
      </c>
      <c r="B1959" s="90" t="s">
        <v>7573</v>
      </c>
    </row>
    <row r="1960" spans="1:2" x14ac:dyDescent="0.25">
      <c r="A1960" s="52" t="s">
        <v>95</v>
      </c>
      <c r="B1960" s="90" t="s">
        <v>7574</v>
      </c>
    </row>
    <row r="1961" spans="1:2" x14ac:dyDescent="0.25">
      <c r="A1961" s="52" t="s">
        <v>95</v>
      </c>
      <c r="B1961" s="90" t="s">
        <v>7575</v>
      </c>
    </row>
    <row r="1962" spans="1:2" x14ac:dyDescent="0.25">
      <c r="A1962" s="52" t="s">
        <v>95</v>
      </c>
      <c r="B1962" s="90" t="s">
        <v>7576</v>
      </c>
    </row>
    <row r="1963" spans="1:2" x14ac:dyDescent="0.25">
      <c r="A1963" s="52" t="s">
        <v>95</v>
      </c>
      <c r="B1963" s="90" t="s">
        <v>7577</v>
      </c>
    </row>
    <row r="1964" spans="1:2" x14ac:dyDescent="0.25">
      <c r="A1964" s="52" t="s">
        <v>95</v>
      </c>
      <c r="B1964" s="90" t="s">
        <v>7578</v>
      </c>
    </row>
    <row r="1965" spans="1:2" x14ac:dyDescent="0.25">
      <c r="A1965" s="52" t="s">
        <v>95</v>
      </c>
      <c r="B1965" s="90" t="s">
        <v>7579</v>
      </c>
    </row>
    <row r="1966" spans="1:2" x14ac:dyDescent="0.25">
      <c r="A1966" s="52" t="s">
        <v>95</v>
      </c>
      <c r="B1966" s="90" t="s">
        <v>7580</v>
      </c>
    </row>
    <row r="1967" spans="1:2" x14ac:dyDescent="0.25">
      <c r="A1967" s="52" t="s">
        <v>95</v>
      </c>
      <c r="B1967" s="90" t="s">
        <v>7581</v>
      </c>
    </row>
    <row r="1968" spans="1:2" x14ac:dyDescent="0.25">
      <c r="A1968" s="52" t="s">
        <v>95</v>
      </c>
      <c r="B1968" s="90" t="s">
        <v>7582</v>
      </c>
    </row>
    <row r="1969" spans="1:2" x14ac:dyDescent="0.25">
      <c r="A1969" s="52" t="s">
        <v>95</v>
      </c>
      <c r="B1969" s="90" t="s">
        <v>7583</v>
      </c>
    </row>
    <row r="1970" spans="1:2" x14ac:dyDescent="0.25">
      <c r="A1970" s="52" t="s">
        <v>95</v>
      </c>
      <c r="B1970" s="90" t="s">
        <v>7584</v>
      </c>
    </row>
    <row r="1971" spans="1:2" x14ac:dyDescent="0.25">
      <c r="A1971" s="52" t="s">
        <v>95</v>
      </c>
      <c r="B1971" s="90" t="s">
        <v>7585</v>
      </c>
    </row>
    <row r="1972" spans="1:2" x14ac:dyDescent="0.25">
      <c r="A1972" s="52" t="s">
        <v>95</v>
      </c>
      <c r="B1972" s="90" t="s">
        <v>7586</v>
      </c>
    </row>
    <row r="1973" spans="1:2" x14ac:dyDescent="0.25">
      <c r="A1973" s="52" t="s">
        <v>95</v>
      </c>
      <c r="B1973" s="90" t="s">
        <v>7587</v>
      </c>
    </row>
    <row r="1974" spans="1:2" x14ac:dyDescent="0.25">
      <c r="A1974" s="52" t="s">
        <v>95</v>
      </c>
      <c r="B1974" s="90" t="s">
        <v>7588</v>
      </c>
    </row>
    <row r="1975" spans="1:2" x14ac:dyDescent="0.25">
      <c r="A1975" s="52" t="s">
        <v>95</v>
      </c>
      <c r="B1975" s="90" t="s">
        <v>7589</v>
      </c>
    </row>
    <row r="1976" spans="1:2" x14ac:dyDescent="0.25">
      <c r="A1976" s="52" t="s">
        <v>95</v>
      </c>
      <c r="B1976" s="90" t="s">
        <v>7590</v>
      </c>
    </row>
    <row r="1977" spans="1:2" x14ac:dyDescent="0.25">
      <c r="A1977" s="52" t="s">
        <v>95</v>
      </c>
      <c r="B1977" s="90" t="s">
        <v>7591</v>
      </c>
    </row>
    <row r="1978" spans="1:2" x14ac:dyDescent="0.25">
      <c r="A1978" s="52" t="s">
        <v>95</v>
      </c>
      <c r="B1978" s="90" t="s">
        <v>7592</v>
      </c>
    </row>
    <row r="1979" spans="1:2" x14ac:dyDescent="0.25">
      <c r="A1979" s="52" t="s">
        <v>95</v>
      </c>
      <c r="B1979" s="90" t="s">
        <v>7593</v>
      </c>
    </row>
    <row r="1980" spans="1:2" x14ac:dyDescent="0.25">
      <c r="A1980" s="52" t="s">
        <v>95</v>
      </c>
      <c r="B1980" s="90" t="s">
        <v>7594</v>
      </c>
    </row>
    <row r="1981" spans="1:2" x14ac:dyDescent="0.25">
      <c r="A1981" s="52" t="s">
        <v>95</v>
      </c>
      <c r="B1981" s="90" t="s">
        <v>288</v>
      </c>
    </row>
    <row r="1982" spans="1:2" x14ac:dyDescent="0.25">
      <c r="A1982" s="52" t="s">
        <v>95</v>
      </c>
      <c r="B1982" s="90" t="s">
        <v>7595</v>
      </c>
    </row>
    <row r="1983" spans="1:2" x14ac:dyDescent="0.25">
      <c r="A1983" s="52" t="s">
        <v>95</v>
      </c>
      <c r="B1983" s="90" t="s">
        <v>7596</v>
      </c>
    </row>
    <row r="1984" spans="1:2" x14ac:dyDescent="0.25">
      <c r="A1984" s="52" t="s">
        <v>95</v>
      </c>
      <c r="B1984" s="90" t="s">
        <v>7597</v>
      </c>
    </row>
    <row r="1985" spans="1:2" x14ac:dyDescent="0.25">
      <c r="A1985" s="52" t="s">
        <v>95</v>
      </c>
      <c r="B1985" s="90" t="s">
        <v>7598</v>
      </c>
    </row>
    <row r="1986" spans="1:2" x14ac:dyDescent="0.25">
      <c r="A1986" s="52" t="s">
        <v>95</v>
      </c>
      <c r="B1986" s="90" t="s">
        <v>7599</v>
      </c>
    </row>
    <row r="1987" spans="1:2" x14ac:dyDescent="0.25">
      <c r="A1987" s="52" t="s">
        <v>95</v>
      </c>
      <c r="B1987" s="90" t="s">
        <v>7600</v>
      </c>
    </row>
    <row r="1988" spans="1:2" x14ac:dyDescent="0.25">
      <c r="A1988" s="52" t="s">
        <v>95</v>
      </c>
      <c r="B1988" s="90" t="s">
        <v>7601</v>
      </c>
    </row>
    <row r="1989" spans="1:2" x14ac:dyDescent="0.25">
      <c r="A1989" s="52" t="s">
        <v>95</v>
      </c>
      <c r="B1989" s="90" t="s">
        <v>7602</v>
      </c>
    </row>
    <row r="1990" spans="1:2" x14ac:dyDescent="0.25">
      <c r="A1990" s="52" t="s">
        <v>95</v>
      </c>
      <c r="B1990" s="90" t="s">
        <v>7603</v>
      </c>
    </row>
    <row r="1991" spans="1:2" x14ac:dyDescent="0.25">
      <c r="A1991" s="52" t="s">
        <v>95</v>
      </c>
      <c r="B1991" s="90" t="s">
        <v>7604</v>
      </c>
    </row>
    <row r="1992" spans="1:2" x14ac:dyDescent="0.25">
      <c r="A1992" s="52" t="s">
        <v>95</v>
      </c>
      <c r="B1992" s="90" t="s">
        <v>7605</v>
      </c>
    </row>
    <row r="1993" spans="1:2" x14ac:dyDescent="0.25">
      <c r="A1993" s="52" t="s">
        <v>95</v>
      </c>
      <c r="B1993" s="90" t="s">
        <v>7606</v>
      </c>
    </row>
    <row r="1994" spans="1:2" x14ac:dyDescent="0.25">
      <c r="A1994" s="52" t="s">
        <v>95</v>
      </c>
      <c r="B1994" s="90" t="s">
        <v>7607</v>
      </c>
    </row>
    <row r="1995" spans="1:2" x14ac:dyDescent="0.25">
      <c r="A1995" s="52" t="s">
        <v>95</v>
      </c>
      <c r="B1995" s="90" t="s">
        <v>7608</v>
      </c>
    </row>
    <row r="1996" spans="1:2" x14ac:dyDescent="0.25">
      <c r="A1996" s="52" t="s">
        <v>95</v>
      </c>
      <c r="B1996" s="90" t="s">
        <v>7609</v>
      </c>
    </row>
    <row r="1997" spans="1:2" x14ac:dyDescent="0.25">
      <c r="A1997" s="52" t="s">
        <v>95</v>
      </c>
      <c r="B1997" s="90" t="s">
        <v>7610</v>
      </c>
    </row>
    <row r="1998" spans="1:2" x14ac:dyDescent="0.25">
      <c r="A1998" s="52" t="s">
        <v>95</v>
      </c>
      <c r="B1998" s="90" t="s">
        <v>7611</v>
      </c>
    </row>
    <row r="1999" spans="1:2" x14ac:dyDescent="0.25">
      <c r="A1999" s="52" t="s">
        <v>95</v>
      </c>
      <c r="B1999" s="90" t="s">
        <v>7612</v>
      </c>
    </row>
    <row r="2000" spans="1:2" x14ac:dyDescent="0.25">
      <c r="A2000" s="52" t="s">
        <v>95</v>
      </c>
      <c r="B2000" s="90" t="s">
        <v>7613</v>
      </c>
    </row>
    <row r="2001" spans="1:2" x14ac:dyDescent="0.25">
      <c r="A2001" s="52" t="s">
        <v>95</v>
      </c>
      <c r="B2001" s="90" t="s">
        <v>7614</v>
      </c>
    </row>
    <row r="2002" spans="1:2" x14ac:dyDescent="0.25">
      <c r="A2002" s="52" t="s">
        <v>95</v>
      </c>
      <c r="B2002" s="90" t="s">
        <v>7615</v>
      </c>
    </row>
    <row r="2003" spans="1:2" x14ac:dyDescent="0.25">
      <c r="A2003" s="52" t="s">
        <v>95</v>
      </c>
      <c r="B2003" s="90" t="s">
        <v>7616</v>
      </c>
    </row>
    <row r="2004" spans="1:2" x14ac:dyDescent="0.25">
      <c r="A2004" s="52" t="s">
        <v>95</v>
      </c>
      <c r="B2004" s="90" t="s">
        <v>7616</v>
      </c>
    </row>
    <row r="2005" spans="1:2" x14ac:dyDescent="0.25">
      <c r="A2005" s="52" t="s">
        <v>95</v>
      </c>
      <c r="B2005" s="90" t="s">
        <v>7617</v>
      </c>
    </row>
    <row r="2006" spans="1:2" x14ac:dyDescent="0.25">
      <c r="A2006" s="52" t="s">
        <v>95</v>
      </c>
      <c r="B2006" s="90" t="s">
        <v>7618</v>
      </c>
    </row>
    <row r="2007" spans="1:2" x14ac:dyDescent="0.25">
      <c r="A2007" s="52" t="s">
        <v>95</v>
      </c>
      <c r="B2007" s="90" t="s">
        <v>7619</v>
      </c>
    </row>
    <row r="2008" spans="1:2" x14ac:dyDescent="0.25">
      <c r="A2008" s="52" t="s">
        <v>95</v>
      </c>
      <c r="B2008" s="90" t="s">
        <v>7619</v>
      </c>
    </row>
    <row r="2009" spans="1:2" x14ac:dyDescent="0.25">
      <c r="A2009" s="52" t="s">
        <v>95</v>
      </c>
      <c r="B2009" s="90" t="s">
        <v>7620</v>
      </c>
    </row>
    <row r="2010" spans="1:2" x14ac:dyDescent="0.25">
      <c r="A2010" s="52" t="s">
        <v>95</v>
      </c>
      <c r="B2010" s="90" t="s">
        <v>7621</v>
      </c>
    </row>
    <row r="2011" spans="1:2" x14ac:dyDescent="0.25">
      <c r="A2011" s="52" t="s">
        <v>95</v>
      </c>
      <c r="B2011" s="90" t="s">
        <v>7622</v>
      </c>
    </row>
    <row r="2012" spans="1:2" x14ac:dyDescent="0.25">
      <c r="A2012" s="52" t="s">
        <v>95</v>
      </c>
      <c r="B2012" s="90" t="s">
        <v>7623</v>
      </c>
    </row>
    <row r="2013" spans="1:2" x14ac:dyDescent="0.25">
      <c r="A2013" s="52" t="s">
        <v>95</v>
      </c>
      <c r="B2013" s="90" t="s">
        <v>7624</v>
      </c>
    </row>
    <row r="2014" spans="1:2" x14ac:dyDescent="0.25">
      <c r="A2014" s="52" t="s">
        <v>95</v>
      </c>
      <c r="B2014" s="90" t="s">
        <v>7625</v>
      </c>
    </row>
    <row r="2015" spans="1:2" x14ac:dyDescent="0.25">
      <c r="A2015" s="52" t="s">
        <v>95</v>
      </c>
      <c r="B2015" s="90" t="s">
        <v>7626</v>
      </c>
    </row>
    <row r="2016" spans="1:2" x14ac:dyDescent="0.25">
      <c r="A2016" s="52" t="s">
        <v>95</v>
      </c>
      <c r="B2016" s="90" t="s">
        <v>7627</v>
      </c>
    </row>
    <row r="2017" spans="1:2" x14ac:dyDescent="0.25">
      <c r="A2017" s="52" t="s">
        <v>95</v>
      </c>
      <c r="B2017" s="90" t="s">
        <v>7628</v>
      </c>
    </row>
    <row r="2018" spans="1:2" x14ac:dyDescent="0.25">
      <c r="A2018" s="52" t="s">
        <v>95</v>
      </c>
      <c r="B2018" s="90" t="s">
        <v>7629</v>
      </c>
    </row>
    <row r="2019" spans="1:2" x14ac:dyDescent="0.25">
      <c r="A2019" s="52" t="s">
        <v>95</v>
      </c>
      <c r="B2019" s="90" t="s">
        <v>7630</v>
      </c>
    </row>
    <row r="2020" spans="1:2" x14ac:dyDescent="0.25">
      <c r="A2020" s="52" t="s">
        <v>95</v>
      </c>
      <c r="B2020" s="90" t="s">
        <v>7631</v>
      </c>
    </row>
    <row r="2021" spans="1:2" x14ac:dyDescent="0.25">
      <c r="A2021" s="52" t="s">
        <v>95</v>
      </c>
      <c r="B2021" s="90" t="s">
        <v>7632</v>
      </c>
    </row>
    <row r="2022" spans="1:2" x14ac:dyDescent="0.25">
      <c r="A2022" s="52" t="s">
        <v>95</v>
      </c>
      <c r="B2022" s="90" t="s">
        <v>7633</v>
      </c>
    </row>
    <row r="2023" spans="1:2" x14ac:dyDescent="0.25">
      <c r="A2023" s="52" t="s">
        <v>95</v>
      </c>
      <c r="B2023" s="90" t="s">
        <v>7634</v>
      </c>
    </row>
    <row r="2024" spans="1:2" x14ac:dyDescent="0.25">
      <c r="A2024" s="52" t="s">
        <v>95</v>
      </c>
      <c r="B2024" s="90" t="s">
        <v>7635</v>
      </c>
    </row>
    <row r="2025" spans="1:2" x14ac:dyDescent="0.25">
      <c r="A2025" s="52" t="s">
        <v>95</v>
      </c>
      <c r="B2025" s="90" t="s">
        <v>7636</v>
      </c>
    </row>
    <row r="2026" spans="1:2" x14ac:dyDescent="0.25">
      <c r="A2026" s="52" t="s">
        <v>95</v>
      </c>
      <c r="B2026" s="90" t="s">
        <v>7637</v>
      </c>
    </row>
    <row r="2027" spans="1:2" x14ac:dyDescent="0.25">
      <c r="A2027" s="52" t="s">
        <v>95</v>
      </c>
      <c r="B2027" s="90" t="s">
        <v>7638</v>
      </c>
    </row>
    <row r="2028" spans="1:2" x14ac:dyDescent="0.25">
      <c r="A2028" s="52" t="s">
        <v>95</v>
      </c>
      <c r="B2028" s="90" t="s">
        <v>7639</v>
      </c>
    </row>
    <row r="2029" spans="1:2" x14ac:dyDescent="0.25">
      <c r="A2029" s="52" t="s">
        <v>95</v>
      </c>
      <c r="B2029" s="90" t="s">
        <v>7640</v>
      </c>
    </row>
    <row r="2030" spans="1:2" x14ac:dyDescent="0.25">
      <c r="A2030" s="52" t="s">
        <v>95</v>
      </c>
      <c r="B2030" s="90" t="s">
        <v>7641</v>
      </c>
    </row>
    <row r="2031" spans="1:2" x14ac:dyDescent="0.25">
      <c r="A2031" s="52" t="s">
        <v>95</v>
      </c>
      <c r="B2031" s="90" t="s">
        <v>7642</v>
      </c>
    </row>
    <row r="2032" spans="1:2" x14ac:dyDescent="0.25">
      <c r="A2032" s="52" t="s">
        <v>95</v>
      </c>
      <c r="B2032" s="90" t="s">
        <v>7643</v>
      </c>
    </row>
    <row r="2033" spans="1:2" x14ac:dyDescent="0.25">
      <c r="A2033" s="52" t="s">
        <v>95</v>
      </c>
      <c r="B2033" s="90" t="s">
        <v>7644</v>
      </c>
    </row>
    <row r="2034" spans="1:2" x14ac:dyDescent="0.25">
      <c r="A2034" s="52" t="s">
        <v>95</v>
      </c>
      <c r="B2034" s="90" t="s">
        <v>7645</v>
      </c>
    </row>
    <row r="2035" spans="1:2" x14ac:dyDescent="0.25">
      <c r="A2035" s="52" t="s">
        <v>95</v>
      </c>
      <c r="B2035" s="90" t="s">
        <v>7646</v>
      </c>
    </row>
    <row r="2036" spans="1:2" x14ac:dyDescent="0.25">
      <c r="A2036" s="52" t="s">
        <v>95</v>
      </c>
      <c r="B2036" s="90" t="s">
        <v>7647</v>
      </c>
    </row>
    <row r="2037" spans="1:2" x14ac:dyDescent="0.25">
      <c r="A2037" s="52" t="s">
        <v>95</v>
      </c>
      <c r="B2037" s="90" t="s">
        <v>7647</v>
      </c>
    </row>
    <row r="2038" spans="1:2" x14ac:dyDescent="0.25">
      <c r="A2038" s="52" t="s">
        <v>95</v>
      </c>
      <c r="B2038" s="90" t="s">
        <v>7648</v>
      </c>
    </row>
    <row r="2039" spans="1:2" x14ac:dyDescent="0.25">
      <c r="A2039" s="52" t="s">
        <v>95</v>
      </c>
      <c r="B2039" s="90" t="s">
        <v>7649</v>
      </c>
    </row>
    <row r="2040" spans="1:2" x14ac:dyDescent="0.25">
      <c r="A2040" s="52" t="s">
        <v>95</v>
      </c>
      <c r="B2040" s="90" t="s">
        <v>7650</v>
      </c>
    </row>
    <row r="2041" spans="1:2" x14ac:dyDescent="0.25">
      <c r="A2041" s="52" t="s">
        <v>95</v>
      </c>
      <c r="B2041" s="90" t="s">
        <v>7651</v>
      </c>
    </row>
    <row r="2042" spans="1:2" x14ac:dyDescent="0.25">
      <c r="A2042" s="52" t="s">
        <v>95</v>
      </c>
      <c r="B2042" s="90" t="s">
        <v>7652</v>
      </c>
    </row>
    <row r="2043" spans="1:2" x14ac:dyDescent="0.25">
      <c r="A2043" s="52" t="s">
        <v>95</v>
      </c>
      <c r="B2043" s="90" t="s">
        <v>7653</v>
      </c>
    </row>
    <row r="2044" spans="1:2" x14ac:dyDescent="0.25">
      <c r="A2044" s="52" t="s">
        <v>95</v>
      </c>
      <c r="B2044" s="90" t="s">
        <v>7654</v>
      </c>
    </row>
    <row r="2045" spans="1:2" x14ac:dyDescent="0.25">
      <c r="A2045" s="52" t="s">
        <v>95</v>
      </c>
      <c r="B2045" s="90" t="s">
        <v>7655</v>
      </c>
    </row>
    <row r="2046" spans="1:2" x14ac:dyDescent="0.25">
      <c r="A2046" s="52" t="s">
        <v>95</v>
      </c>
      <c r="B2046" s="90" t="s">
        <v>7656</v>
      </c>
    </row>
    <row r="2047" spans="1:2" x14ac:dyDescent="0.25">
      <c r="A2047" s="52" t="s">
        <v>95</v>
      </c>
      <c r="B2047" s="90" t="s">
        <v>7657</v>
      </c>
    </row>
    <row r="2048" spans="1:2" x14ac:dyDescent="0.25">
      <c r="A2048" s="52" t="s">
        <v>95</v>
      </c>
      <c r="B2048" s="90" t="s">
        <v>7658</v>
      </c>
    </row>
    <row r="2049" spans="1:2" x14ac:dyDescent="0.25">
      <c r="A2049" s="52" t="s">
        <v>95</v>
      </c>
      <c r="B2049" s="90" t="s">
        <v>7659</v>
      </c>
    </row>
    <row r="2050" spans="1:2" x14ac:dyDescent="0.25">
      <c r="A2050" s="52" t="s">
        <v>95</v>
      </c>
      <c r="B2050" s="90" t="s">
        <v>7660</v>
      </c>
    </row>
    <row r="2051" spans="1:2" x14ac:dyDescent="0.25">
      <c r="A2051" s="52" t="s">
        <v>95</v>
      </c>
      <c r="B2051" s="90" t="s">
        <v>7661</v>
      </c>
    </row>
    <row r="2052" spans="1:2" x14ac:dyDescent="0.25">
      <c r="A2052" s="52" t="s">
        <v>95</v>
      </c>
      <c r="B2052" s="90" t="s">
        <v>7662</v>
      </c>
    </row>
    <row r="2053" spans="1:2" x14ac:dyDescent="0.25">
      <c r="A2053" s="52" t="s">
        <v>95</v>
      </c>
      <c r="B2053" s="90" t="s">
        <v>7663</v>
      </c>
    </row>
    <row r="2054" spans="1:2" x14ac:dyDescent="0.25">
      <c r="A2054" s="52" t="s">
        <v>95</v>
      </c>
      <c r="B2054" s="90" t="s">
        <v>7664</v>
      </c>
    </row>
    <row r="2055" spans="1:2" x14ac:dyDescent="0.25">
      <c r="A2055" s="52" t="s">
        <v>95</v>
      </c>
      <c r="B2055" s="90" t="s">
        <v>7665</v>
      </c>
    </row>
    <row r="2056" spans="1:2" x14ac:dyDescent="0.25">
      <c r="A2056" s="52" t="s">
        <v>95</v>
      </c>
      <c r="B2056" s="90" t="s">
        <v>7666</v>
      </c>
    </row>
    <row r="2057" spans="1:2" x14ac:dyDescent="0.25">
      <c r="A2057" s="52" t="s">
        <v>95</v>
      </c>
      <c r="B2057" s="90" t="s">
        <v>7667</v>
      </c>
    </row>
    <row r="2058" spans="1:2" x14ac:dyDescent="0.25">
      <c r="A2058" s="52" t="s">
        <v>95</v>
      </c>
      <c r="B2058" s="90" t="s">
        <v>7668</v>
      </c>
    </row>
    <row r="2059" spans="1:2" x14ac:dyDescent="0.25">
      <c r="A2059" s="52" t="s">
        <v>95</v>
      </c>
      <c r="B2059" s="90" t="s">
        <v>7669</v>
      </c>
    </row>
    <row r="2060" spans="1:2" x14ac:dyDescent="0.25">
      <c r="A2060" s="52" t="s">
        <v>95</v>
      </c>
      <c r="B2060" s="90" t="s">
        <v>7670</v>
      </c>
    </row>
    <row r="2061" spans="1:2" x14ac:dyDescent="0.25">
      <c r="A2061" s="52" t="s">
        <v>95</v>
      </c>
      <c r="B2061" s="90" t="s">
        <v>7671</v>
      </c>
    </row>
    <row r="2062" spans="1:2" x14ac:dyDescent="0.25">
      <c r="A2062" s="52" t="s">
        <v>95</v>
      </c>
      <c r="B2062" s="90" t="s">
        <v>7672</v>
      </c>
    </row>
    <row r="2063" spans="1:2" x14ac:dyDescent="0.25">
      <c r="A2063" s="52" t="s">
        <v>95</v>
      </c>
      <c r="B2063" s="90" t="s">
        <v>7673</v>
      </c>
    </row>
    <row r="2064" spans="1:2" x14ac:dyDescent="0.25">
      <c r="A2064" s="52" t="s">
        <v>95</v>
      </c>
      <c r="B2064" s="90" t="s">
        <v>7674</v>
      </c>
    </row>
    <row r="2065" spans="1:2" x14ac:dyDescent="0.25">
      <c r="A2065" s="52" t="s">
        <v>95</v>
      </c>
      <c r="B2065" s="90" t="s">
        <v>7675</v>
      </c>
    </row>
    <row r="2066" spans="1:2" x14ac:dyDescent="0.25">
      <c r="A2066" s="52" t="s">
        <v>95</v>
      </c>
      <c r="B2066" s="90" t="s">
        <v>7676</v>
      </c>
    </row>
    <row r="2067" spans="1:2" x14ac:dyDescent="0.25">
      <c r="A2067" s="52" t="s">
        <v>95</v>
      </c>
      <c r="B2067" s="90" t="s">
        <v>7677</v>
      </c>
    </row>
    <row r="2068" spans="1:2" x14ac:dyDescent="0.25">
      <c r="A2068" s="52" t="s">
        <v>95</v>
      </c>
      <c r="B2068" s="90" t="s">
        <v>7678</v>
      </c>
    </row>
    <row r="2069" spans="1:2" x14ac:dyDescent="0.25">
      <c r="A2069" s="52" t="s">
        <v>95</v>
      </c>
      <c r="B2069" s="90" t="s">
        <v>7679</v>
      </c>
    </row>
    <row r="2070" spans="1:2" x14ac:dyDescent="0.25">
      <c r="A2070" s="52" t="s">
        <v>95</v>
      </c>
      <c r="B2070" s="90" t="s">
        <v>7680</v>
      </c>
    </row>
    <row r="2071" spans="1:2" x14ac:dyDescent="0.25">
      <c r="A2071" s="52" t="s">
        <v>95</v>
      </c>
      <c r="B2071" s="90" t="s">
        <v>7681</v>
      </c>
    </row>
    <row r="2072" spans="1:2" x14ac:dyDescent="0.25">
      <c r="A2072" s="52" t="s">
        <v>95</v>
      </c>
      <c r="B2072" s="90" t="s">
        <v>7682</v>
      </c>
    </row>
    <row r="2073" spans="1:2" x14ac:dyDescent="0.25">
      <c r="A2073" s="52" t="s">
        <v>95</v>
      </c>
      <c r="B2073" s="90" t="s">
        <v>7683</v>
      </c>
    </row>
    <row r="2074" spans="1:2" x14ac:dyDescent="0.25">
      <c r="A2074" s="52" t="s">
        <v>95</v>
      </c>
      <c r="B2074" s="90" t="s">
        <v>7684</v>
      </c>
    </row>
    <row r="2075" spans="1:2" x14ac:dyDescent="0.25">
      <c r="A2075" s="52" t="s">
        <v>95</v>
      </c>
      <c r="B2075" s="90" t="s">
        <v>7685</v>
      </c>
    </row>
    <row r="2076" spans="1:2" x14ac:dyDescent="0.25">
      <c r="A2076" s="52" t="s">
        <v>95</v>
      </c>
      <c r="B2076" s="90" t="s">
        <v>7686</v>
      </c>
    </row>
    <row r="2077" spans="1:2" x14ac:dyDescent="0.25">
      <c r="A2077" s="52" t="s">
        <v>95</v>
      </c>
      <c r="B2077" s="90" t="s">
        <v>7687</v>
      </c>
    </row>
    <row r="2078" spans="1:2" x14ac:dyDescent="0.25">
      <c r="A2078" s="52" t="s">
        <v>95</v>
      </c>
      <c r="B2078" s="90" t="s">
        <v>7688</v>
      </c>
    </row>
    <row r="2079" spans="1:2" x14ac:dyDescent="0.25">
      <c r="A2079" s="52" t="s">
        <v>95</v>
      </c>
      <c r="B2079" s="90" t="s">
        <v>7689</v>
      </c>
    </row>
    <row r="2080" spans="1:2" x14ac:dyDescent="0.25">
      <c r="A2080" s="52" t="s">
        <v>95</v>
      </c>
      <c r="B2080" s="90" t="s">
        <v>7690</v>
      </c>
    </row>
    <row r="2081" spans="1:2" x14ac:dyDescent="0.25">
      <c r="A2081" s="52" t="s">
        <v>95</v>
      </c>
      <c r="B2081" s="90" t="s">
        <v>7691</v>
      </c>
    </row>
    <row r="2082" spans="1:2" x14ac:dyDescent="0.25">
      <c r="A2082" s="52" t="s">
        <v>95</v>
      </c>
      <c r="B2082" s="90" t="s">
        <v>7692</v>
      </c>
    </row>
    <row r="2083" spans="1:2" x14ac:dyDescent="0.25">
      <c r="A2083" s="52" t="s">
        <v>95</v>
      </c>
      <c r="B2083" s="90" t="s">
        <v>7693</v>
      </c>
    </row>
    <row r="2084" spans="1:2" x14ac:dyDescent="0.25">
      <c r="A2084" s="52" t="s">
        <v>95</v>
      </c>
      <c r="B2084" s="90" t="s">
        <v>7694</v>
      </c>
    </row>
    <row r="2085" spans="1:2" x14ac:dyDescent="0.25">
      <c r="A2085" s="52" t="s">
        <v>95</v>
      </c>
      <c r="B2085" s="90" t="s">
        <v>7695</v>
      </c>
    </row>
    <row r="2086" spans="1:2" x14ac:dyDescent="0.25">
      <c r="A2086" s="52" t="s">
        <v>95</v>
      </c>
      <c r="B2086" s="90" t="s">
        <v>7696</v>
      </c>
    </row>
    <row r="2087" spans="1:2" x14ac:dyDescent="0.25">
      <c r="A2087" s="52" t="s">
        <v>95</v>
      </c>
      <c r="B2087" s="90" t="s">
        <v>7697</v>
      </c>
    </row>
    <row r="2088" spans="1:2" x14ac:dyDescent="0.25">
      <c r="A2088" s="52" t="s">
        <v>95</v>
      </c>
      <c r="B2088" s="90" t="s">
        <v>7698</v>
      </c>
    </row>
    <row r="2089" spans="1:2" x14ac:dyDescent="0.25">
      <c r="A2089" s="52" t="s">
        <v>95</v>
      </c>
      <c r="B2089" s="90" t="s">
        <v>7699</v>
      </c>
    </row>
    <row r="2090" spans="1:2" x14ac:dyDescent="0.25">
      <c r="A2090" s="52" t="s">
        <v>95</v>
      </c>
      <c r="B2090" s="90" t="s">
        <v>7700</v>
      </c>
    </row>
    <row r="2091" spans="1:2" x14ac:dyDescent="0.25">
      <c r="A2091" s="52" t="s">
        <v>95</v>
      </c>
      <c r="B2091" s="90" t="s">
        <v>7701</v>
      </c>
    </row>
    <row r="2092" spans="1:2" x14ac:dyDescent="0.25">
      <c r="A2092" s="52" t="s">
        <v>95</v>
      </c>
      <c r="B2092" s="90" t="s">
        <v>7702</v>
      </c>
    </row>
    <row r="2093" spans="1:2" x14ac:dyDescent="0.25">
      <c r="A2093" s="52" t="s">
        <v>95</v>
      </c>
      <c r="B2093" s="90" t="s">
        <v>7703</v>
      </c>
    </row>
    <row r="2094" spans="1:2" x14ac:dyDescent="0.25">
      <c r="A2094" s="52" t="s">
        <v>95</v>
      </c>
      <c r="B2094" s="90" t="s">
        <v>7704</v>
      </c>
    </row>
    <row r="2095" spans="1:2" x14ac:dyDescent="0.25">
      <c r="A2095" s="52" t="s">
        <v>95</v>
      </c>
      <c r="B2095" s="90" t="s">
        <v>7705</v>
      </c>
    </row>
    <row r="2096" spans="1:2" x14ac:dyDescent="0.25">
      <c r="A2096" s="52" t="s">
        <v>95</v>
      </c>
      <c r="B2096" s="90" t="s">
        <v>7706</v>
      </c>
    </row>
    <row r="2097" spans="1:2" x14ac:dyDescent="0.25">
      <c r="A2097" s="52" t="s">
        <v>95</v>
      </c>
      <c r="B2097" s="90" t="s">
        <v>7707</v>
      </c>
    </row>
    <row r="2098" spans="1:2" x14ac:dyDescent="0.25">
      <c r="A2098" s="52" t="s">
        <v>95</v>
      </c>
      <c r="B2098" s="90" t="s">
        <v>7708</v>
      </c>
    </row>
    <row r="2099" spans="1:2" x14ac:dyDescent="0.25">
      <c r="A2099" s="52" t="s">
        <v>95</v>
      </c>
      <c r="B2099" s="90" t="s">
        <v>7709</v>
      </c>
    </row>
    <row r="2100" spans="1:2" x14ac:dyDescent="0.25">
      <c r="A2100" s="52" t="s">
        <v>95</v>
      </c>
      <c r="B2100" s="90" t="s">
        <v>7710</v>
      </c>
    </row>
    <row r="2101" spans="1:2" x14ac:dyDescent="0.25">
      <c r="A2101" s="52" t="s">
        <v>95</v>
      </c>
      <c r="B2101" s="90" t="s">
        <v>7711</v>
      </c>
    </row>
    <row r="2102" spans="1:2" x14ac:dyDescent="0.25">
      <c r="A2102" s="52" t="s">
        <v>95</v>
      </c>
      <c r="B2102" s="90" t="s">
        <v>7712</v>
      </c>
    </row>
    <row r="2103" spans="1:2" x14ac:dyDescent="0.25">
      <c r="A2103" s="52" t="s">
        <v>95</v>
      </c>
      <c r="B2103" s="90" t="s">
        <v>7713</v>
      </c>
    </row>
    <row r="2104" spans="1:2" x14ac:dyDescent="0.25">
      <c r="A2104" s="52" t="s">
        <v>95</v>
      </c>
      <c r="B2104" s="90" t="s">
        <v>7714</v>
      </c>
    </row>
    <row r="2105" spans="1:2" x14ac:dyDescent="0.25">
      <c r="A2105" s="52" t="s">
        <v>95</v>
      </c>
      <c r="B2105" s="90" t="s">
        <v>7715</v>
      </c>
    </row>
    <row r="2106" spans="1:2" x14ac:dyDescent="0.25">
      <c r="A2106" s="52" t="s">
        <v>95</v>
      </c>
      <c r="B2106" s="90" t="s">
        <v>7716</v>
      </c>
    </row>
    <row r="2107" spans="1:2" x14ac:dyDescent="0.25">
      <c r="A2107" s="52" t="s">
        <v>95</v>
      </c>
      <c r="B2107" s="90" t="s">
        <v>7717</v>
      </c>
    </row>
    <row r="2108" spans="1:2" x14ac:dyDescent="0.25">
      <c r="A2108" s="52" t="s">
        <v>95</v>
      </c>
      <c r="B2108" s="90" t="s">
        <v>7718</v>
      </c>
    </row>
    <row r="2109" spans="1:2" x14ac:dyDescent="0.25">
      <c r="A2109" s="52" t="s">
        <v>95</v>
      </c>
      <c r="B2109" s="90" t="s">
        <v>7718</v>
      </c>
    </row>
    <row r="2110" spans="1:2" x14ac:dyDescent="0.25">
      <c r="A2110" s="52" t="s">
        <v>95</v>
      </c>
      <c r="B2110" s="90" t="s">
        <v>7719</v>
      </c>
    </row>
    <row r="2111" spans="1:2" x14ac:dyDescent="0.25">
      <c r="A2111" s="52" t="s">
        <v>95</v>
      </c>
      <c r="B2111" s="90" t="s">
        <v>7720</v>
      </c>
    </row>
    <row r="2112" spans="1:2" x14ac:dyDescent="0.25">
      <c r="A2112" s="52" t="s">
        <v>95</v>
      </c>
      <c r="B2112" s="90" t="s">
        <v>7721</v>
      </c>
    </row>
    <row r="2113" spans="1:2" x14ac:dyDescent="0.25">
      <c r="A2113" s="52" t="s">
        <v>95</v>
      </c>
      <c r="B2113" s="90" t="s">
        <v>7722</v>
      </c>
    </row>
    <row r="2114" spans="1:2" x14ac:dyDescent="0.25">
      <c r="A2114" s="52" t="s">
        <v>95</v>
      </c>
      <c r="B2114" s="90" t="s">
        <v>7723</v>
      </c>
    </row>
    <row r="2115" spans="1:2" x14ac:dyDescent="0.25">
      <c r="A2115" s="52" t="s">
        <v>95</v>
      </c>
      <c r="B2115" s="90" t="s">
        <v>7724</v>
      </c>
    </row>
    <row r="2116" spans="1:2" x14ac:dyDescent="0.25">
      <c r="A2116" s="52" t="s">
        <v>95</v>
      </c>
      <c r="B2116" s="90" t="s">
        <v>7725</v>
      </c>
    </row>
    <row r="2117" spans="1:2" x14ac:dyDescent="0.25">
      <c r="A2117" s="52" t="s">
        <v>95</v>
      </c>
      <c r="B2117" s="90" t="s">
        <v>7726</v>
      </c>
    </row>
    <row r="2118" spans="1:2" x14ac:dyDescent="0.25">
      <c r="A2118" s="52" t="s">
        <v>95</v>
      </c>
      <c r="B2118" s="90" t="s">
        <v>7727</v>
      </c>
    </row>
    <row r="2119" spans="1:2" x14ac:dyDescent="0.25">
      <c r="A2119" s="52" t="s">
        <v>95</v>
      </c>
      <c r="B2119" s="90" t="s">
        <v>7728</v>
      </c>
    </row>
    <row r="2120" spans="1:2" x14ac:dyDescent="0.25">
      <c r="A2120" s="52" t="s">
        <v>95</v>
      </c>
      <c r="B2120" s="90" t="s">
        <v>2450</v>
      </c>
    </row>
    <row r="2121" spans="1:2" x14ac:dyDescent="0.25">
      <c r="A2121" s="52" t="s">
        <v>95</v>
      </c>
      <c r="B2121" s="90" t="s">
        <v>2451</v>
      </c>
    </row>
    <row r="2122" spans="1:2" x14ac:dyDescent="0.25">
      <c r="A2122" s="52" t="s">
        <v>95</v>
      </c>
      <c r="B2122" s="90" t="s">
        <v>7729</v>
      </c>
    </row>
    <row r="2123" spans="1:2" x14ac:dyDescent="0.25">
      <c r="A2123" s="52" t="s">
        <v>95</v>
      </c>
      <c r="B2123" s="90" t="s">
        <v>7730</v>
      </c>
    </row>
    <row r="2124" spans="1:2" x14ac:dyDescent="0.25">
      <c r="A2124" s="52" t="s">
        <v>95</v>
      </c>
      <c r="B2124" s="90" t="s">
        <v>7731</v>
      </c>
    </row>
    <row r="2125" spans="1:2" x14ac:dyDescent="0.25">
      <c r="A2125" s="52" t="s">
        <v>95</v>
      </c>
      <c r="B2125" s="90" t="s">
        <v>7732</v>
      </c>
    </row>
    <row r="2126" spans="1:2" x14ac:dyDescent="0.25">
      <c r="A2126" s="52" t="s">
        <v>95</v>
      </c>
      <c r="B2126" s="90" t="s">
        <v>7733</v>
      </c>
    </row>
    <row r="2127" spans="1:2" x14ac:dyDescent="0.25">
      <c r="A2127" s="52" t="s">
        <v>95</v>
      </c>
      <c r="B2127" s="90" t="s">
        <v>7734</v>
      </c>
    </row>
    <row r="2128" spans="1:2" x14ac:dyDescent="0.25">
      <c r="A2128" s="52" t="s">
        <v>95</v>
      </c>
      <c r="B2128" s="90" t="s">
        <v>7735</v>
      </c>
    </row>
    <row r="2129" spans="1:2" x14ac:dyDescent="0.25">
      <c r="A2129" s="52" t="s">
        <v>95</v>
      </c>
      <c r="B2129" s="90" t="s">
        <v>7736</v>
      </c>
    </row>
    <row r="2130" spans="1:2" x14ac:dyDescent="0.25">
      <c r="A2130" s="52" t="s">
        <v>95</v>
      </c>
      <c r="B2130" s="90" t="s">
        <v>7737</v>
      </c>
    </row>
    <row r="2131" spans="1:2" x14ac:dyDescent="0.25">
      <c r="A2131" s="52" t="s">
        <v>95</v>
      </c>
      <c r="B2131" s="90" t="s">
        <v>7738</v>
      </c>
    </row>
    <row r="2132" spans="1:2" x14ac:dyDescent="0.25">
      <c r="A2132" s="52" t="s">
        <v>95</v>
      </c>
      <c r="B2132" s="90" t="s">
        <v>7739</v>
      </c>
    </row>
    <row r="2133" spans="1:2" x14ac:dyDescent="0.25">
      <c r="A2133" s="52" t="s">
        <v>95</v>
      </c>
      <c r="B2133" s="90" t="s">
        <v>7740</v>
      </c>
    </row>
    <row r="2134" spans="1:2" x14ac:dyDescent="0.25">
      <c r="A2134" s="52" t="s">
        <v>95</v>
      </c>
      <c r="B2134" s="90" t="s">
        <v>7741</v>
      </c>
    </row>
    <row r="2135" spans="1:2" x14ac:dyDescent="0.25">
      <c r="A2135" s="52" t="s">
        <v>95</v>
      </c>
      <c r="B2135" s="90" t="s">
        <v>7742</v>
      </c>
    </row>
    <row r="2136" spans="1:2" x14ac:dyDescent="0.25">
      <c r="A2136" s="52" t="s">
        <v>95</v>
      </c>
      <c r="B2136" s="90" t="s">
        <v>7743</v>
      </c>
    </row>
    <row r="2137" spans="1:2" x14ac:dyDescent="0.25">
      <c r="A2137" s="52" t="s">
        <v>95</v>
      </c>
      <c r="B2137" s="90" t="s">
        <v>7744</v>
      </c>
    </row>
    <row r="2138" spans="1:2" x14ac:dyDescent="0.25">
      <c r="A2138" s="52" t="s">
        <v>95</v>
      </c>
      <c r="B2138" s="90" t="s">
        <v>7745</v>
      </c>
    </row>
    <row r="2139" spans="1:2" x14ac:dyDescent="0.25">
      <c r="A2139" s="52" t="s">
        <v>95</v>
      </c>
      <c r="B2139" s="90" t="s">
        <v>7746</v>
      </c>
    </row>
    <row r="2140" spans="1:2" x14ac:dyDescent="0.25">
      <c r="A2140" s="52" t="s">
        <v>95</v>
      </c>
      <c r="B2140" s="90" t="s">
        <v>7747</v>
      </c>
    </row>
    <row r="2141" spans="1:2" x14ac:dyDescent="0.25">
      <c r="A2141" s="52" t="s">
        <v>95</v>
      </c>
      <c r="B2141" s="90" t="s">
        <v>7748</v>
      </c>
    </row>
    <row r="2142" spans="1:2" x14ac:dyDescent="0.25">
      <c r="A2142" s="52" t="s">
        <v>95</v>
      </c>
      <c r="B2142" s="90" t="s">
        <v>7749</v>
      </c>
    </row>
    <row r="2143" spans="1:2" x14ac:dyDescent="0.25">
      <c r="A2143" s="52" t="s">
        <v>95</v>
      </c>
      <c r="B2143" s="90" t="s">
        <v>7750</v>
      </c>
    </row>
    <row r="2144" spans="1:2" x14ac:dyDescent="0.25">
      <c r="A2144" s="52" t="s">
        <v>95</v>
      </c>
      <c r="B2144" s="90" t="s">
        <v>7751</v>
      </c>
    </row>
    <row r="2145" spans="1:2" x14ac:dyDescent="0.25">
      <c r="A2145" s="52" t="s">
        <v>95</v>
      </c>
      <c r="B2145" s="90" t="s">
        <v>7752</v>
      </c>
    </row>
    <row r="2146" spans="1:2" x14ac:dyDescent="0.25">
      <c r="A2146" s="52" t="s">
        <v>95</v>
      </c>
      <c r="B2146" s="90" t="s">
        <v>7753</v>
      </c>
    </row>
    <row r="2147" spans="1:2" x14ac:dyDescent="0.25">
      <c r="A2147" s="52" t="s">
        <v>95</v>
      </c>
      <c r="B2147" s="90" t="s">
        <v>7754</v>
      </c>
    </row>
    <row r="2148" spans="1:2" x14ac:dyDescent="0.25">
      <c r="A2148" s="52" t="s">
        <v>95</v>
      </c>
      <c r="B2148" s="90" t="s">
        <v>7755</v>
      </c>
    </row>
    <row r="2149" spans="1:2" x14ac:dyDescent="0.25">
      <c r="A2149" s="52" t="s">
        <v>95</v>
      </c>
      <c r="B2149" s="90" t="s">
        <v>7756</v>
      </c>
    </row>
    <row r="2150" spans="1:2" x14ac:dyDescent="0.25">
      <c r="A2150" s="52" t="s">
        <v>95</v>
      </c>
      <c r="B2150" s="90" t="s">
        <v>7757</v>
      </c>
    </row>
    <row r="2151" spans="1:2" x14ac:dyDescent="0.25">
      <c r="A2151" s="52" t="s">
        <v>95</v>
      </c>
      <c r="B2151" s="90" t="s">
        <v>7757</v>
      </c>
    </row>
    <row r="2152" spans="1:2" x14ac:dyDescent="0.25">
      <c r="A2152" s="52" t="s">
        <v>95</v>
      </c>
      <c r="B2152" s="90" t="s">
        <v>7758</v>
      </c>
    </row>
    <row r="2153" spans="1:2" x14ac:dyDescent="0.25">
      <c r="A2153" s="52" t="s">
        <v>95</v>
      </c>
      <c r="B2153" s="90" t="s">
        <v>7759</v>
      </c>
    </row>
    <row r="2154" spans="1:2" x14ac:dyDescent="0.25">
      <c r="A2154" s="52" t="s">
        <v>95</v>
      </c>
      <c r="B2154" s="90" t="s">
        <v>7760</v>
      </c>
    </row>
    <row r="2155" spans="1:2" x14ac:dyDescent="0.25">
      <c r="A2155" s="52" t="s">
        <v>95</v>
      </c>
      <c r="B2155" s="90" t="s">
        <v>7761</v>
      </c>
    </row>
    <row r="2156" spans="1:2" x14ac:dyDescent="0.25">
      <c r="A2156" s="52" t="s">
        <v>95</v>
      </c>
      <c r="B2156" s="90" t="s">
        <v>7762</v>
      </c>
    </row>
    <row r="2157" spans="1:2" x14ac:dyDescent="0.25">
      <c r="A2157" s="52" t="s">
        <v>95</v>
      </c>
      <c r="B2157" s="90" t="s">
        <v>7763</v>
      </c>
    </row>
    <row r="2158" spans="1:2" x14ac:dyDescent="0.25">
      <c r="A2158" s="52" t="s">
        <v>95</v>
      </c>
      <c r="B2158" s="90" t="s">
        <v>7764</v>
      </c>
    </row>
    <row r="2159" spans="1:2" x14ac:dyDescent="0.25">
      <c r="A2159" s="52" t="s">
        <v>95</v>
      </c>
      <c r="B2159" s="90" t="s">
        <v>7765</v>
      </c>
    </row>
    <row r="2160" spans="1:2" x14ac:dyDescent="0.25">
      <c r="A2160" s="52" t="s">
        <v>95</v>
      </c>
      <c r="B2160" s="90" t="s">
        <v>7766</v>
      </c>
    </row>
    <row r="2161" spans="1:2" x14ac:dyDescent="0.25">
      <c r="A2161" s="52" t="s">
        <v>95</v>
      </c>
      <c r="B2161" s="90" t="s">
        <v>7767</v>
      </c>
    </row>
    <row r="2162" spans="1:2" x14ac:dyDescent="0.25">
      <c r="A2162" s="52" t="s">
        <v>95</v>
      </c>
      <c r="B2162" s="90" t="s">
        <v>7768</v>
      </c>
    </row>
    <row r="2163" spans="1:2" x14ac:dyDescent="0.25">
      <c r="A2163" s="52" t="s">
        <v>95</v>
      </c>
      <c r="B2163" s="90" t="s">
        <v>7769</v>
      </c>
    </row>
    <row r="2164" spans="1:2" x14ac:dyDescent="0.25">
      <c r="A2164" s="52" t="s">
        <v>95</v>
      </c>
      <c r="B2164" s="90" t="s">
        <v>7769</v>
      </c>
    </row>
    <row r="2165" spans="1:2" x14ac:dyDescent="0.25">
      <c r="A2165" s="52" t="s">
        <v>95</v>
      </c>
      <c r="B2165" s="90" t="s">
        <v>7770</v>
      </c>
    </row>
    <row r="2166" spans="1:2" x14ac:dyDescent="0.25">
      <c r="A2166" s="52" t="s">
        <v>95</v>
      </c>
      <c r="B2166" s="90" t="s">
        <v>7771</v>
      </c>
    </row>
    <row r="2167" spans="1:2" x14ac:dyDescent="0.25">
      <c r="A2167" s="52" t="s">
        <v>95</v>
      </c>
      <c r="B2167" s="90" t="s">
        <v>7772</v>
      </c>
    </row>
    <row r="2168" spans="1:2" x14ac:dyDescent="0.25">
      <c r="A2168" s="52" t="s">
        <v>95</v>
      </c>
      <c r="B2168" s="90" t="s">
        <v>7773</v>
      </c>
    </row>
    <row r="2169" spans="1:2" x14ac:dyDescent="0.25">
      <c r="A2169" s="52" t="s">
        <v>95</v>
      </c>
      <c r="B2169" s="90" t="s">
        <v>7774</v>
      </c>
    </row>
    <row r="2170" spans="1:2" x14ac:dyDescent="0.25">
      <c r="A2170" s="52" t="s">
        <v>95</v>
      </c>
      <c r="B2170" s="90" t="s">
        <v>7775</v>
      </c>
    </row>
    <row r="2171" spans="1:2" x14ac:dyDescent="0.25">
      <c r="A2171" s="52" t="s">
        <v>95</v>
      </c>
      <c r="B2171" s="90" t="s">
        <v>7776</v>
      </c>
    </row>
    <row r="2172" spans="1:2" x14ac:dyDescent="0.25">
      <c r="A2172" s="52" t="s">
        <v>95</v>
      </c>
      <c r="B2172" s="90" t="s">
        <v>7777</v>
      </c>
    </row>
    <row r="2173" spans="1:2" x14ac:dyDescent="0.25">
      <c r="A2173" s="52" t="s">
        <v>95</v>
      </c>
      <c r="B2173" s="90" t="s">
        <v>7778</v>
      </c>
    </row>
    <row r="2174" spans="1:2" x14ac:dyDescent="0.25">
      <c r="A2174" s="52" t="s">
        <v>95</v>
      </c>
      <c r="B2174" s="90" t="s">
        <v>7779</v>
      </c>
    </row>
    <row r="2175" spans="1:2" x14ac:dyDescent="0.25">
      <c r="A2175" s="52" t="s">
        <v>95</v>
      </c>
      <c r="B2175" s="90" t="s">
        <v>7780</v>
      </c>
    </row>
    <row r="2176" spans="1:2" x14ac:dyDescent="0.25">
      <c r="A2176" s="52" t="s">
        <v>95</v>
      </c>
      <c r="B2176" s="90" t="s">
        <v>7781</v>
      </c>
    </row>
    <row r="2177" spans="1:2" x14ac:dyDescent="0.25">
      <c r="A2177" s="52" t="s">
        <v>95</v>
      </c>
      <c r="B2177" s="90" t="s">
        <v>7782</v>
      </c>
    </row>
    <row r="2178" spans="1:2" x14ac:dyDescent="0.25">
      <c r="A2178" s="52" t="s">
        <v>95</v>
      </c>
      <c r="B2178" s="90" t="s">
        <v>7783</v>
      </c>
    </row>
    <row r="2179" spans="1:2" x14ac:dyDescent="0.25">
      <c r="A2179" s="52" t="s">
        <v>95</v>
      </c>
      <c r="B2179" s="90" t="s">
        <v>7784</v>
      </c>
    </row>
    <row r="2180" spans="1:2" x14ac:dyDescent="0.25">
      <c r="A2180" s="52" t="s">
        <v>95</v>
      </c>
      <c r="B2180" s="90" t="s">
        <v>7785</v>
      </c>
    </row>
    <row r="2181" spans="1:2" x14ac:dyDescent="0.25">
      <c r="A2181" s="52" t="s">
        <v>95</v>
      </c>
      <c r="B2181" s="90" t="s">
        <v>7786</v>
      </c>
    </row>
    <row r="2182" spans="1:2" x14ac:dyDescent="0.25">
      <c r="A2182" s="52" t="s">
        <v>95</v>
      </c>
      <c r="B2182" s="90" t="s">
        <v>7787</v>
      </c>
    </row>
    <row r="2183" spans="1:2" x14ac:dyDescent="0.25">
      <c r="A2183" s="52" t="s">
        <v>95</v>
      </c>
      <c r="B2183" s="90" t="s">
        <v>7788</v>
      </c>
    </row>
    <row r="2184" spans="1:2" x14ac:dyDescent="0.25">
      <c r="A2184" s="52" t="s">
        <v>95</v>
      </c>
      <c r="B2184" s="90" t="s">
        <v>7789</v>
      </c>
    </row>
    <row r="2185" spans="1:2" x14ac:dyDescent="0.25">
      <c r="A2185" s="52" t="s">
        <v>95</v>
      </c>
      <c r="B2185" s="90" t="s">
        <v>7790</v>
      </c>
    </row>
    <row r="2186" spans="1:2" x14ac:dyDescent="0.25">
      <c r="A2186" s="52" t="s">
        <v>95</v>
      </c>
      <c r="B2186" s="90" t="s">
        <v>7791</v>
      </c>
    </row>
    <row r="2187" spans="1:2" x14ac:dyDescent="0.25">
      <c r="A2187" s="52" t="s">
        <v>95</v>
      </c>
      <c r="B2187" s="90" t="s">
        <v>7792</v>
      </c>
    </row>
    <row r="2188" spans="1:2" x14ac:dyDescent="0.25">
      <c r="A2188" s="52" t="s">
        <v>95</v>
      </c>
      <c r="B2188" s="90" t="s">
        <v>7793</v>
      </c>
    </row>
    <row r="2189" spans="1:2" x14ac:dyDescent="0.25">
      <c r="A2189" s="52" t="s">
        <v>95</v>
      </c>
      <c r="B2189" s="90" t="s">
        <v>7794</v>
      </c>
    </row>
    <row r="2190" spans="1:2" x14ac:dyDescent="0.25">
      <c r="A2190" s="52" t="s">
        <v>95</v>
      </c>
      <c r="B2190" s="90" t="s">
        <v>7795</v>
      </c>
    </row>
    <row r="2191" spans="1:2" x14ac:dyDescent="0.25">
      <c r="A2191" s="52" t="s">
        <v>95</v>
      </c>
      <c r="B2191" s="90" t="s">
        <v>7796</v>
      </c>
    </row>
    <row r="2192" spans="1:2" x14ac:dyDescent="0.25">
      <c r="A2192" s="52" t="s">
        <v>95</v>
      </c>
      <c r="B2192" s="90" t="s">
        <v>7797</v>
      </c>
    </row>
    <row r="2193" spans="1:2" x14ac:dyDescent="0.25">
      <c r="A2193" s="52" t="s">
        <v>95</v>
      </c>
      <c r="B2193" s="90" t="s">
        <v>7798</v>
      </c>
    </row>
    <row r="2194" spans="1:2" x14ac:dyDescent="0.25">
      <c r="A2194" s="52" t="s">
        <v>95</v>
      </c>
      <c r="B2194" s="90" t="s">
        <v>7799</v>
      </c>
    </row>
    <row r="2195" spans="1:2" x14ac:dyDescent="0.25">
      <c r="A2195" s="52" t="s">
        <v>95</v>
      </c>
      <c r="B2195" s="90" t="s">
        <v>7800</v>
      </c>
    </row>
    <row r="2196" spans="1:2" x14ac:dyDescent="0.25">
      <c r="A2196" s="52" t="s">
        <v>95</v>
      </c>
      <c r="B2196" s="90" t="s">
        <v>7801</v>
      </c>
    </row>
    <row r="2197" spans="1:2" x14ac:dyDescent="0.25">
      <c r="A2197" s="52" t="s">
        <v>95</v>
      </c>
      <c r="B2197" s="90" t="s">
        <v>7802</v>
      </c>
    </row>
    <row r="2198" spans="1:2" x14ac:dyDescent="0.25">
      <c r="A2198" s="52" t="s">
        <v>95</v>
      </c>
      <c r="B2198" s="90" t="s">
        <v>7803</v>
      </c>
    </row>
    <row r="2199" spans="1:2" x14ac:dyDescent="0.25">
      <c r="A2199" s="52" t="s">
        <v>95</v>
      </c>
      <c r="B2199" s="90" t="s">
        <v>7804</v>
      </c>
    </row>
    <row r="2200" spans="1:2" x14ac:dyDescent="0.25">
      <c r="A2200" s="52" t="s">
        <v>95</v>
      </c>
      <c r="B2200" s="90" t="s">
        <v>7805</v>
      </c>
    </row>
    <row r="2201" spans="1:2" x14ac:dyDescent="0.25">
      <c r="A2201" s="52" t="s">
        <v>95</v>
      </c>
      <c r="B2201" s="90" t="s">
        <v>7806</v>
      </c>
    </row>
    <row r="2202" spans="1:2" x14ac:dyDescent="0.25">
      <c r="A2202" s="52" t="s">
        <v>95</v>
      </c>
      <c r="B2202" s="90" t="s">
        <v>7807</v>
      </c>
    </row>
    <row r="2203" spans="1:2" x14ac:dyDescent="0.25">
      <c r="A2203" s="52" t="s">
        <v>95</v>
      </c>
      <c r="B2203" s="90" t="s">
        <v>7808</v>
      </c>
    </row>
    <row r="2204" spans="1:2" x14ac:dyDescent="0.25">
      <c r="A2204" s="52" t="s">
        <v>95</v>
      </c>
      <c r="B2204" s="90" t="s">
        <v>7809</v>
      </c>
    </row>
    <row r="2205" spans="1:2" x14ac:dyDescent="0.25">
      <c r="A2205" s="52" t="s">
        <v>95</v>
      </c>
      <c r="B2205" s="90" t="s">
        <v>7810</v>
      </c>
    </row>
    <row r="2206" spans="1:2" x14ac:dyDescent="0.25">
      <c r="A2206" s="52" t="s">
        <v>95</v>
      </c>
      <c r="B2206" s="90" t="s">
        <v>7811</v>
      </c>
    </row>
    <row r="2207" spans="1:2" x14ac:dyDescent="0.25">
      <c r="A2207" s="52" t="s">
        <v>95</v>
      </c>
      <c r="B2207" s="90" t="s">
        <v>7812</v>
      </c>
    </row>
    <row r="2208" spans="1:2" x14ac:dyDescent="0.25">
      <c r="A2208" s="52" t="s">
        <v>95</v>
      </c>
      <c r="B2208" s="90" t="s">
        <v>7813</v>
      </c>
    </row>
    <row r="2209" spans="1:2" x14ac:dyDescent="0.25">
      <c r="A2209" s="52" t="s">
        <v>95</v>
      </c>
      <c r="B2209" s="90" t="s">
        <v>7814</v>
      </c>
    </row>
    <row r="2210" spans="1:2" x14ac:dyDescent="0.25">
      <c r="A2210" s="52" t="s">
        <v>95</v>
      </c>
      <c r="B2210" s="90" t="s">
        <v>7815</v>
      </c>
    </row>
    <row r="2211" spans="1:2" x14ac:dyDescent="0.25">
      <c r="A2211" s="52" t="s">
        <v>95</v>
      </c>
      <c r="B2211" s="90" t="s">
        <v>7816</v>
      </c>
    </row>
    <row r="2212" spans="1:2" x14ac:dyDescent="0.25">
      <c r="A2212" s="52" t="s">
        <v>95</v>
      </c>
      <c r="B2212" s="90" t="s">
        <v>7817</v>
      </c>
    </row>
    <row r="2213" spans="1:2" x14ac:dyDescent="0.25">
      <c r="A2213" s="52" t="s">
        <v>95</v>
      </c>
      <c r="B2213" s="90" t="s">
        <v>7818</v>
      </c>
    </row>
    <row r="2214" spans="1:2" x14ac:dyDescent="0.25">
      <c r="A2214" s="52" t="s">
        <v>95</v>
      </c>
      <c r="B2214" s="90" t="s">
        <v>7819</v>
      </c>
    </row>
    <row r="2215" spans="1:2" x14ac:dyDescent="0.25">
      <c r="A2215" s="52" t="s">
        <v>95</v>
      </c>
      <c r="B2215" s="90" t="s">
        <v>7820</v>
      </c>
    </row>
    <row r="2216" spans="1:2" x14ac:dyDescent="0.25">
      <c r="A2216" s="52" t="s">
        <v>95</v>
      </c>
      <c r="B2216" s="90" t="s">
        <v>7821</v>
      </c>
    </row>
    <row r="2217" spans="1:2" x14ac:dyDescent="0.25">
      <c r="A2217" s="52" t="s">
        <v>95</v>
      </c>
      <c r="B2217" s="90" t="s">
        <v>7822</v>
      </c>
    </row>
    <row r="2218" spans="1:2" x14ac:dyDescent="0.25">
      <c r="A2218" s="52" t="s">
        <v>95</v>
      </c>
      <c r="B2218" s="90" t="s">
        <v>7823</v>
      </c>
    </row>
    <row r="2219" spans="1:2" x14ac:dyDescent="0.25">
      <c r="A2219" s="52" t="s">
        <v>95</v>
      </c>
      <c r="B2219" s="90" t="s">
        <v>7824</v>
      </c>
    </row>
    <row r="2220" spans="1:2" x14ac:dyDescent="0.25">
      <c r="A2220" s="52" t="s">
        <v>95</v>
      </c>
      <c r="B2220" s="90" t="s">
        <v>7825</v>
      </c>
    </row>
    <row r="2221" spans="1:2" x14ac:dyDescent="0.25">
      <c r="A2221" s="52" t="s">
        <v>95</v>
      </c>
      <c r="B2221" s="90" t="s">
        <v>7826</v>
      </c>
    </row>
    <row r="2222" spans="1:2" x14ac:dyDescent="0.25">
      <c r="A2222" s="52" t="s">
        <v>95</v>
      </c>
      <c r="B2222" s="90" t="s">
        <v>7827</v>
      </c>
    </row>
    <row r="2223" spans="1:2" x14ac:dyDescent="0.25">
      <c r="A2223" s="52" t="s">
        <v>95</v>
      </c>
      <c r="B2223" s="90" t="s">
        <v>7828</v>
      </c>
    </row>
    <row r="2224" spans="1:2" x14ac:dyDescent="0.25">
      <c r="A2224" s="52" t="s">
        <v>95</v>
      </c>
      <c r="B2224" s="90" t="s">
        <v>7829</v>
      </c>
    </row>
    <row r="2225" spans="1:2" x14ac:dyDescent="0.25">
      <c r="A2225" s="52" t="s">
        <v>95</v>
      </c>
      <c r="B2225" s="90" t="s">
        <v>7830</v>
      </c>
    </row>
    <row r="2226" spans="1:2" x14ac:dyDescent="0.25">
      <c r="A2226" s="52" t="s">
        <v>95</v>
      </c>
      <c r="B2226" s="90" t="s">
        <v>7831</v>
      </c>
    </row>
    <row r="2227" spans="1:2" x14ac:dyDescent="0.25">
      <c r="A2227" s="52" t="s">
        <v>95</v>
      </c>
      <c r="B2227" s="90" t="s">
        <v>7832</v>
      </c>
    </row>
    <row r="2228" spans="1:2" x14ac:dyDescent="0.25">
      <c r="A2228" s="52" t="s">
        <v>95</v>
      </c>
      <c r="B2228" s="90" t="s">
        <v>7833</v>
      </c>
    </row>
    <row r="2229" spans="1:2" x14ac:dyDescent="0.25">
      <c r="A2229" s="52" t="s">
        <v>95</v>
      </c>
      <c r="B2229" s="90" t="s">
        <v>7834</v>
      </c>
    </row>
    <row r="2230" spans="1:2" x14ac:dyDescent="0.25">
      <c r="A2230" s="52" t="s">
        <v>95</v>
      </c>
      <c r="B2230" s="90" t="s">
        <v>7835</v>
      </c>
    </row>
    <row r="2231" spans="1:2" x14ac:dyDescent="0.25">
      <c r="A2231" s="52" t="s">
        <v>95</v>
      </c>
      <c r="B2231" s="90" t="s">
        <v>7836</v>
      </c>
    </row>
    <row r="2232" spans="1:2" x14ac:dyDescent="0.25">
      <c r="A2232" s="52" t="s">
        <v>95</v>
      </c>
      <c r="B2232" s="90" t="s">
        <v>7837</v>
      </c>
    </row>
    <row r="2233" spans="1:2" x14ac:dyDescent="0.25">
      <c r="A2233" s="52" t="s">
        <v>95</v>
      </c>
      <c r="B2233" s="90" t="s">
        <v>7838</v>
      </c>
    </row>
    <row r="2234" spans="1:2" x14ac:dyDescent="0.25">
      <c r="A2234" s="52" t="s">
        <v>95</v>
      </c>
      <c r="B2234" s="90" t="s">
        <v>7839</v>
      </c>
    </row>
    <row r="2235" spans="1:2" x14ac:dyDescent="0.25">
      <c r="A2235" s="52" t="s">
        <v>95</v>
      </c>
      <c r="B2235" s="90" t="s">
        <v>7840</v>
      </c>
    </row>
    <row r="2236" spans="1:2" x14ac:dyDescent="0.25">
      <c r="A2236" s="52" t="s">
        <v>95</v>
      </c>
      <c r="B2236" s="90" t="s">
        <v>7841</v>
      </c>
    </row>
    <row r="2237" spans="1:2" x14ac:dyDescent="0.25">
      <c r="A2237" s="52" t="s">
        <v>95</v>
      </c>
      <c r="B2237" s="90" t="s">
        <v>7842</v>
      </c>
    </row>
    <row r="2238" spans="1:2" x14ac:dyDescent="0.25">
      <c r="A2238" s="52" t="s">
        <v>95</v>
      </c>
      <c r="B2238" s="90" t="s">
        <v>7842</v>
      </c>
    </row>
    <row r="2239" spans="1:2" x14ac:dyDescent="0.25">
      <c r="A2239" s="52" t="s">
        <v>95</v>
      </c>
      <c r="B2239" s="90" t="s">
        <v>7843</v>
      </c>
    </row>
    <row r="2240" spans="1:2" x14ac:dyDescent="0.25">
      <c r="A2240" s="52" t="s">
        <v>95</v>
      </c>
      <c r="B2240" s="90" t="s">
        <v>7844</v>
      </c>
    </row>
    <row r="2241" spans="1:2" x14ac:dyDescent="0.25">
      <c r="A2241" s="52" t="s">
        <v>95</v>
      </c>
      <c r="B2241" s="90" t="s">
        <v>7845</v>
      </c>
    </row>
    <row r="2242" spans="1:2" x14ac:dyDescent="0.25">
      <c r="A2242" s="52" t="s">
        <v>95</v>
      </c>
      <c r="B2242" s="90" t="s">
        <v>7846</v>
      </c>
    </row>
    <row r="2243" spans="1:2" x14ac:dyDescent="0.25">
      <c r="A2243" s="52" t="s">
        <v>95</v>
      </c>
      <c r="B2243" s="90" t="s">
        <v>7847</v>
      </c>
    </row>
    <row r="2244" spans="1:2" x14ac:dyDescent="0.25">
      <c r="A2244" s="52" t="s">
        <v>95</v>
      </c>
      <c r="B2244" s="90" t="s">
        <v>7848</v>
      </c>
    </row>
    <row r="2245" spans="1:2" x14ac:dyDescent="0.25">
      <c r="A2245" s="52" t="s">
        <v>95</v>
      </c>
      <c r="B2245" s="90" t="s">
        <v>7849</v>
      </c>
    </row>
    <row r="2246" spans="1:2" x14ac:dyDescent="0.25">
      <c r="A2246" s="52" t="s">
        <v>95</v>
      </c>
      <c r="B2246" s="90" t="s">
        <v>7850</v>
      </c>
    </row>
    <row r="2247" spans="1:2" x14ac:dyDescent="0.25">
      <c r="A2247" s="52" t="s">
        <v>95</v>
      </c>
      <c r="B2247" s="90" t="s">
        <v>7851</v>
      </c>
    </row>
    <row r="2248" spans="1:2" x14ac:dyDescent="0.25">
      <c r="A2248" s="52" t="s">
        <v>95</v>
      </c>
      <c r="B2248" s="90" t="s">
        <v>7852</v>
      </c>
    </row>
    <row r="2249" spans="1:2" x14ac:dyDescent="0.25">
      <c r="A2249" s="52" t="s">
        <v>95</v>
      </c>
      <c r="B2249" s="90" t="s">
        <v>7853</v>
      </c>
    </row>
    <row r="2250" spans="1:2" x14ac:dyDescent="0.25">
      <c r="A2250" s="52" t="s">
        <v>95</v>
      </c>
      <c r="B2250" s="90" t="s">
        <v>7854</v>
      </c>
    </row>
    <row r="2251" spans="1:2" x14ac:dyDescent="0.25">
      <c r="A2251" s="52" t="s">
        <v>95</v>
      </c>
      <c r="B2251" s="90" t="s">
        <v>7855</v>
      </c>
    </row>
    <row r="2252" spans="1:2" x14ac:dyDescent="0.25">
      <c r="A2252" s="52" t="s">
        <v>95</v>
      </c>
      <c r="B2252" s="90" t="s">
        <v>7856</v>
      </c>
    </row>
    <row r="2253" spans="1:2" x14ac:dyDescent="0.25">
      <c r="A2253" s="52" t="s">
        <v>95</v>
      </c>
      <c r="B2253" s="90" t="s">
        <v>7857</v>
      </c>
    </row>
    <row r="2254" spans="1:2" x14ac:dyDescent="0.25">
      <c r="A2254" s="52" t="s">
        <v>95</v>
      </c>
      <c r="B2254" s="90" t="s">
        <v>7858</v>
      </c>
    </row>
    <row r="2255" spans="1:2" x14ac:dyDescent="0.25">
      <c r="A2255" s="52" t="s">
        <v>95</v>
      </c>
      <c r="B2255" s="90" t="s">
        <v>7859</v>
      </c>
    </row>
    <row r="2256" spans="1:2" x14ac:dyDescent="0.25">
      <c r="A2256" s="52" t="s">
        <v>95</v>
      </c>
      <c r="B2256" s="90" t="s">
        <v>7860</v>
      </c>
    </row>
    <row r="2257" spans="1:2" x14ac:dyDescent="0.25">
      <c r="A2257" s="52" t="s">
        <v>95</v>
      </c>
      <c r="B2257" s="90" t="s">
        <v>7861</v>
      </c>
    </row>
    <row r="2258" spans="1:2" x14ac:dyDescent="0.25">
      <c r="A2258" s="52" t="s">
        <v>95</v>
      </c>
      <c r="B2258" s="90" t="s">
        <v>7862</v>
      </c>
    </row>
    <row r="2259" spans="1:2" x14ac:dyDescent="0.25">
      <c r="A2259" s="52" t="s">
        <v>95</v>
      </c>
      <c r="B2259" s="90" t="s">
        <v>7863</v>
      </c>
    </row>
    <row r="2260" spans="1:2" x14ac:dyDescent="0.25">
      <c r="A2260" s="52" t="s">
        <v>95</v>
      </c>
      <c r="B2260" s="90" t="s">
        <v>7864</v>
      </c>
    </row>
    <row r="2261" spans="1:2" x14ac:dyDescent="0.25">
      <c r="A2261" s="52" t="s">
        <v>95</v>
      </c>
      <c r="B2261" s="90" t="s">
        <v>7865</v>
      </c>
    </row>
    <row r="2262" spans="1:2" x14ac:dyDescent="0.25">
      <c r="A2262" s="52" t="s">
        <v>95</v>
      </c>
      <c r="B2262" s="90" t="s">
        <v>7866</v>
      </c>
    </row>
    <row r="2263" spans="1:2" x14ac:dyDescent="0.25">
      <c r="A2263" s="52" t="s">
        <v>95</v>
      </c>
      <c r="B2263" s="90" t="s">
        <v>7867</v>
      </c>
    </row>
    <row r="2264" spans="1:2" x14ac:dyDescent="0.25">
      <c r="A2264" s="52" t="s">
        <v>95</v>
      </c>
      <c r="B2264" s="90" t="s">
        <v>7868</v>
      </c>
    </row>
    <row r="2265" spans="1:2" x14ac:dyDescent="0.25">
      <c r="A2265" s="52" t="s">
        <v>95</v>
      </c>
      <c r="B2265" s="90" t="s">
        <v>7869</v>
      </c>
    </row>
    <row r="2266" spans="1:2" x14ac:dyDescent="0.25">
      <c r="A2266" s="52" t="s">
        <v>95</v>
      </c>
      <c r="B2266" s="90" t="s">
        <v>7870</v>
      </c>
    </row>
    <row r="2267" spans="1:2" x14ac:dyDescent="0.25">
      <c r="A2267" s="52" t="s">
        <v>95</v>
      </c>
      <c r="B2267" s="90" t="s">
        <v>7871</v>
      </c>
    </row>
    <row r="2268" spans="1:2" x14ac:dyDescent="0.25">
      <c r="A2268" s="52" t="s">
        <v>95</v>
      </c>
      <c r="B2268" s="90" t="s">
        <v>7872</v>
      </c>
    </row>
    <row r="2269" spans="1:2" x14ac:dyDescent="0.25">
      <c r="A2269" s="52" t="s">
        <v>95</v>
      </c>
      <c r="B2269" s="90" t="s">
        <v>7873</v>
      </c>
    </row>
    <row r="2270" spans="1:2" x14ac:dyDescent="0.25">
      <c r="A2270" s="52" t="s">
        <v>95</v>
      </c>
      <c r="B2270" s="90" t="s">
        <v>7874</v>
      </c>
    </row>
    <row r="2271" spans="1:2" x14ac:dyDescent="0.25">
      <c r="A2271" s="52" t="s">
        <v>95</v>
      </c>
      <c r="B2271" s="90" t="s">
        <v>7875</v>
      </c>
    </row>
    <row r="2272" spans="1:2" x14ac:dyDescent="0.25">
      <c r="A2272" s="52" t="s">
        <v>95</v>
      </c>
      <c r="B2272" s="90" t="s">
        <v>7876</v>
      </c>
    </row>
    <row r="2273" spans="1:2" x14ac:dyDescent="0.25">
      <c r="A2273" s="52" t="s">
        <v>95</v>
      </c>
      <c r="B2273" s="90" t="s">
        <v>7877</v>
      </c>
    </row>
    <row r="2274" spans="1:2" x14ac:dyDescent="0.25">
      <c r="A2274" s="52" t="s">
        <v>95</v>
      </c>
      <c r="B2274" s="90" t="s">
        <v>7878</v>
      </c>
    </row>
    <row r="2275" spans="1:2" x14ac:dyDescent="0.25">
      <c r="A2275" s="52" t="s">
        <v>95</v>
      </c>
      <c r="B2275" s="90" t="s">
        <v>7879</v>
      </c>
    </row>
    <row r="2276" spans="1:2" x14ac:dyDescent="0.25">
      <c r="A2276" s="52" t="s">
        <v>95</v>
      </c>
      <c r="B2276" s="90" t="s">
        <v>7880</v>
      </c>
    </row>
    <row r="2277" spans="1:2" x14ac:dyDescent="0.25">
      <c r="A2277" s="52" t="s">
        <v>95</v>
      </c>
      <c r="B2277" s="90" t="s">
        <v>7881</v>
      </c>
    </row>
    <row r="2278" spans="1:2" x14ac:dyDescent="0.25">
      <c r="A2278" s="52" t="s">
        <v>95</v>
      </c>
      <c r="B2278" s="90" t="s">
        <v>7882</v>
      </c>
    </row>
    <row r="2279" spans="1:2" x14ac:dyDescent="0.25">
      <c r="A2279" s="52" t="s">
        <v>95</v>
      </c>
      <c r="B2279" s="90" t="s">
        <v>7883</v>
      </c>
    </row>
    <row r="2280" spans="1:2" x14ac:dyDescent="0.25">
      <c r="A2280" s="52" t="s">
        <v>95</v>
      </c>
      <c r="B2280" s="90" t="s">
        <v>7884</v>
      </c>
    </row>
    <row r="2281" spans="1:2" x14ac:dyDescent="0.25">
      <c r="A2281" s="52" t="s">
        <v>95</v>
      </c>
      <c r="B2281" s="90" t="s">
        <v>7885</v>
      </c>
    </row>
    <row r="2282" spans="1:2" x14ac:dyDescent="0.25">
      <c r="A2282" s="52" t="s">
        <v>95</v>
      </c>
      <c r="B2282" s="90" t="s">
        <v>7886</v>
      </c>
    </row>
    <row r="2283" spans="1:2" x14ac:dyDescent="0.25">
      <c r="A2283" s="52" t="s">
        <v>95</v>
      </c>
      <c r="B2283" s="90" t="s">
        <v>7887</v>
      </c>
    </row>
    <row r="2284" spans="1:2" x14ac:dyDescent="0.25">
      <c r="A2284" s="52" t="s">
        <v>95</v>
      </c>
      <c r="B2284" s="90" t="s">
        <v>7888</v>
      </c>
    </row>
    <row r="2285" spans="1:2" x14ac:dyDescent="0.25">
      <c r="A2285" s="52" t="s">
        <v>95</v>
      </c>
      <c r="B2285" s="90" t="s">
        <v>7889</v>
      </c>
    </row>
    <row r="2286" spans="1:2" x14ac:dyDescent="0.25">
      <c r="A2286" s="52" t="s">
        <v>95</v>
      </c>
      <c r="B2286" s="90" t="s">
        <v>7890</v>
      </c>
    </row>
    <row r="2287" spans="1:2" x14ac:dyDescent="0.25">
      <c r="A2287" s="52" t="s">
        <v>95</v>
      </c>
      <c r="B2287" s="90" t="s">
        <v>7891</v>
      </c>
    </row>
    <row r="2288" spans="1:2" x14ac:dyDescent="0.25">
      <c r="A2288" s="52" t="s">
        <v>95</v>
      </c>
      <c r="B2288" s="90" t="s">
        <v>7892</v>
      </c>
    </row>
    <row r="2289" spans="1:2" x14ac:dyDescent="0.25">
      <c r="A2289" s="52" t="s">
        <v>95</v>
      </c>
      <c r="B2289" s="90" t="s">
        <v>7893</v>
      </c>
    </row>
    <row r="2290" spans="1:2" x14ac:dyDescent="0.25">
      <c r="A2290" s="52" t="s">
        <v>95</v>
      </c>
      <c r="B2290" s="90" t="s">
        <v>7894</v>
      </c>
    </row>
    <row r="2291" spans="1:2" x14ac:dyDescent="0.25">
      <c r="A2291" s="52" t="s">
        <v>95</v>
      </c>
      <c r="B2291" s="90" t="s">
        <v>7895</v>
      </c>
    </row>
    <row r="2292" spans="1:2" x14ac:dyDescent="0.25">
      <c r="A2292" s="52" t="s">
        <v>95</v>
      </c>
      <c r="B2292" s="90" t="s">
        <v>7896</v>
      </c>
    </row>
    <row r="2293" spans="1:2" x14ac:dyDescent="0.25">
      <c r="A2293" s="52" t="s">
        <v>95</v>
      </c>
      <c r="B2293" s="90" t="s">
        <v>7897</v>
      </c>
    </row>
    <row r="2294" spans="1:2" x14ac:dyDescent="0.25">
      <c r="A2294" s="52" t="s">
        <v>95</v>
      </c>
      <c r="B2294" s="90" t="s">
        <v>7898</v>
      </c>
    </row>
    <row r="2295" spans="1:2" x14ac:dyDescent="0.25">
      <c r="A2295" s="52" t="s">
        <v>95</v>
      </c>
      <c r="B2295" s="90" t="s">
        <v>7899</v>
      </c>
    </row>
    <row r="2296" spans="1:2" x14ac:dyDescent="0.25">
      <c r="A2296" s="52" t="s">
        <v>95</v>
      </c>
      <c r="B2296" s="90" t="s">
        <v>7900</v>
      </c>
    </row>
    <row r="2297" spans="1:2" x14ac:dyDescent="0.25">
      <c r="A2297" s="52" t="s">
        <v>95</v>
      </c>
      <c r="B2297" s="90" t="s">
        <v>7901</v>
      </c>
    </row>
    <row r="2298" spans="1:2" x14ac:dyDescent="0.25">
      <c r="A2298" s="52" t="s">
        <v>95</v>
      </c>
      <c r="B2298" s="90" t="s">
        <v>7902</v>
      </c>
    </row>
    <row r="2299" spans="1:2" x14ac:dyDescent="0.25">
      <c r="A2299" s="52" t="s">
        <v>95</v>
      </c>
      <c r="B2299" s="90" t="s">
        <v>2784</v>
      </c>
    </row>
    <row r="2300" spans="1:2" x14ac:dyDescent="0.25">
      <c r="A2300" s="52" t="s">
        <v>95</v>
      </c>
      <c r="B2300" s="90" t="s">
        <v>734</v>
      </c>
    </row>
    <row r="2301" spans="1:2" x14ac:dyDescent="0.25">
      <c r="A2301" s="52" t="s">
        <v>95</v>
      </c>
      <c r="B2301" s="90" t="s">
        <v>735</v>
      </c>
    </row>
    <row r="2302" spans="1:2" x14ac:dyDescent="0.25">
      <c r="A2302" s="52" t="s">
        <v>95</v>
      </c>
      <c r="B2302" s="90" t="s">
        <v>7903</v>
      </c>
    </row>
    <row r="2303" spans="1:2" x14ac:dyDescent="0.25">
      <c r="A2303" s="52" t="s">
        <v>95</v>
      </c>
      <c r="B2303" s="90" t="s">
        <v>7904</v>
      </c>
    </row>
    <row r="2304" spans="1:2" x14ac:dyDescent="0.25">
      <c r="A2304" s="52" t="s">
        <v>95</v>
      </c>
      <c r="B2304" s="90" t="s">
        <v>7905</v>
      </c>
    </row>
    <row r="2305" spans="1:2" x14ac:dyDescent="0.25">
      <c r="A2305" s="52" t="s">
        <v>95</v>
      </c>
      <c r="B2305" s="90" t="s">
        <v>7906</v>
      </c>
    </row>
    <row r="2306" spans="1:2" x14ac:dyDescent="0.25">
      <c r="A2306" s="52" t="s">
        <v>95</v>
      </c>
      <c r="B2306" s="90" t="s">
        <v>7907</v>
      </c>
    </row>
    <row r="2307" spans="1:2" x14ac:dyDescent="0.25">
      <c r="A2307" s="52" t="s">
        <v>95</v>
      </c>
      <c r="B2307" s="90" t="s">
        <v>7908</v>
      </c>
    </row>
    <row r="2308" spans="1:2" x14ac:dyDescent="0.25">
      <c r="A2308" s="52" t="s">
        <v>95</v>
      </c>
      <c r="B2308" s="90" t="s">
        <v>7909</v>
      </c>
    </row>
    <row r="2309" spans="1:2" x14ac:dyDescent="0.25">
      <c r="A2309" s="52" t="s">
        <v>95</v>
      </c>
      <c r="B2309" s="90" t="s">
        <v>7910</v>
      </c>
    </row>
    <row r="2310" spans="1:2" x14ac:dyDescent="0.25">
      <c r="A2310" s="52" t="s">
        <v>95</v>
      </c>
      <c r="B2310" s="90" t="s">
        <v>7911</v>
      </c>
    </row>
    <row r="2311" spans="1:2" x14ac:dyDescent="0.25">
      <c r="A2311" s="52" t="s">
        <v>95</v>
      </c>
      <c r="B2311" s="90" t="s">
        <v>7912</v>
      </c>
    </row>
    <row r="2312" spans="1:2" x14ac:dyDescent="0.25">
      <c r="A2312" s="52" t="s">
        <v>95</v>
      </c>
      <c r="B2312" s="90" t="s">
        <v>7913</v>
      </c>
    </row>
    <row r="2313" spans="1:2" x14ac:dyDescent="0.25">
      <c r="A2313" s="52" t="s">
        <v>95</v>
      </c>
      <c r="B2313" s="90" t="s">
        <v>7914</v>
      </c>
    </row>
    <row r="2314" spans="1:2" x14ac:dyDescent="0.25">
      <c r="A2314" s="52" t="s">
        <v>95</v>
      </c>
      <c r="B2314" s="90" t="s">
        <v>7915</v>
      </c>
    </row>
    <row r="2315" spans="1:2" x14ac:dyDescent="0.25">
      <c r="A2315" s="52" t="s">
        <v>95</v>
      </c>
      <c r="B2315" s="90" t="s">
        <v>7916</v>
      </c>
    </row>
    <row r="2316" spans="1:2" x14ac:dyDescent="0.25">
      <c r="A2316" s="52" t="s">
        <v>95</v>
      </c>
      <c r="B2316" s="90" t="s">
        <v>7916</v>
      </c>
    </row>
    <row r="2317" spans="1:2" x14ac:dyDescent="0.25">
      <c r="A2317" s="52" t="s">
        <v>95</v>
      </c>
      <c r="B2317" s="90" t="s">
        <v>7917</v>
      </c>
    </row>
    <row r="2318" spans="1:2" x14ac:dyDescent="0.25">
      <c r="A2318" s="52" t="s">
        <v>95</v>
      </c>
      <c r="B2318" s="90" t="s">
        <v>7918</v>
      </c>
    </row>
    <row r="2319" spans="1:2" x14ac:dyDescent="0.25">
      <c r="A2319" s="52" t="s">
        <v>95</v>
      </c>
      <c r="B2319" s="90" t="s">
        <v>7919</v>
      </c>
    </row>
    <row r="2320" spans="1:2" x14ac:dyDescent="0.25">
      <c r="A2320" s="52" t="s">
        <v>95</v>
      </c>
      <c r="B2320" s="90" t="s">
        <v>7919</v>
      </c>
    </row>
    <row r="2321" spans="1:2" x14ac:dyDescent="0.25">
      <c r="A2321" s="52" t="s">
        <v>95</v>
      </c>
      <c r="B2321" s="90" t="s">
        <v>7920</v>
      </c>
    </row>
    <row r="2322" spans="1:2" x14ac:dyDescent="0.25">
      <c r="A2322" s="52" t="s">
        <v>95</v>
      </c>
      <c r="B2322" s="90" t="s">
        <v>7921</v>
      </c>
    </row>
    <row r="2323" spans="1:2" x14ac:dyDescent="0.25">
      <c r="A2323" s="52" t="s">
        <v>95</v>
      </c>
      <c r="B2323" s="90" t="s">
        <v>7922</v>
      </c>
    </row>
    <row r="2324" spans="1:2" x14ac:dyDescent="0.25">
      <c r="A2324" s="52" t="s">
        <v>95</v>
      </c>
      <c r="B2324" s="90" t="s">
        <v>7923</v>
      </c>
    </row>
    <row r="2325" spans="1:2" x14ac:dyDescent="0.25">
      <c r="A2325" s="52" t="s">
        <v>95</v>
      </c>
      <c r="B2325" s="90" t="s">
        <v>7924</v>
      </c>
    </row>
    <row r="2326" spans="1:2" x14ac:dyDescent="0.25">
      <c r="A2326" s="52" t="s">
        <v>95</v>
      </c>
      <c r="B2326" s="90" t="s">
        <v>7925</v>
      </c>
    </row>
    <row r="2327" spans="1:2" x14ac:dyDescent="0.25">
      <c r="A2327" s="52" t="s">
        <v>95</v>
      </c>
      <c r="B2327" s="90" t="s">
        <v>7926</v>
      </c>
    </row>
    <row r="2328" spans="1:2" x14ac:dyDescent="0.25">
      <c r="A2328" s="52" t="s">
        <v>95</v>
      </c>
      <c r="B2328" s="90" t="s">
        <v>7927</v>
      </c>
    </row>
    <row r="2329" spans="1:2" x14ac:dyDescent="0.25">
      <c r="A2329" s="52" t="s">
        <v>95</v>
      </c>
      <c r="B2329" s="90" t="s">
        <v>7928</v>
      </c>
    </row>
    <row r="2330" spans="1:2" x14ac:dyDescent="0.25">
      <c r="A2330" s="52" t="s">
        <v>95</v>
      </c>
      <c r="B2330" s="90" t="s">
        <v>7929</v>
      </c>
    </row>
    <row r="2331" spans="1:2" x14ac:dyDescent="0.25">
      <c r="A2331" s="52" t="s">
        <v>95</v>
      </c>
      <c r="B2331" s="90" t="s">
        <v>7930</v>
      </c>
    </row>
    <row r="2332" spans="1:2" x14ac:dyDescent="0.25">
      <c r="A2332" s="52" t="s">
        <v>95</v>
      </c>
      <c r="B2332" s="90" t="s">
        <v>7931</v>
      </c>
    </row>
    <row r="2333" spans="1:2" x14ac:dyDescent="0.25">
      <c r="A2333" s="52" t="s">
        <v>95</v>
      </c>
      <c r="B2333" s="90" t="s">
        <v>7932</v>
      </c>
    </row>
    <row r="2334" spans="1:2" x14ac:dyDescent="0.25">
      <c r="A2334" s="52" t="s">
        <v>95</v>
      </c>
      <c r="B2334" s="90" t="s">
        <v>7933</v>
      </c>
    </row>
    <row r="2335" spans="1:2" x14ac:dyDescent="0.25">
      <c r="A2335" s="52" t="s">
        <v>95</v>
      </c>
      <c r="B2335" s="90" t="s">
        <v>7934</v>
      </c>
    </row>
    <row r="2336" spans="1:2" x14ac:dyDescent="0.25">
      <c r="A2336" s="52" t="s">
        <v>95</v>
      </c>
      <c r="B2336" s="90" t="s">
        <v>7935</v>
      </c>
    </row>
    <row r="2337" spans="1:2" x14ac:dyDescent="0.25">
      <c r="A2337" s="52" t="s">
        <v>95</v>
      </c>
      <c r="B2337" s="90" t="s">
        <v>7936</v>
      </c>
    </row>
    <row r="2338" spans="1:2" x14ac:dyDescent="0.25">
      <c r="A2338" s="52" t="s">
        <v>95</v>
      </c>
      <c r="B2338" s="90" t="s">
        <v>7937</v>
      </c>
    </row>
    <row r="2339" spans="1:2" x14ac:dyDescent="0.25">
      <c r="A2339" s="52" t="s">
        <v>95</v>
      </c>
      <c r="B2339" s="90" t="s">
        <v>7938</v>
      </c>
    </row>
    <row r="2340" spans="1:2" x14ac:dyDescent="0.25">
      <c r="A2340" s="52" t="s">
        <v>95</v>
      </c>
      <c r="B2340" s="90" t="s">
        <v>7939</v>
      </c>
    </row>
    <row r="2341" spans="1:2" x14ac:dyDescent="0.25">
      <c r="A2341" s="52" t="s">
        <v>95</v>
      </c>
      <c r="B2341" s="90" t="s">
        <v>7940</v>
      </c>
    </row>
    <row r="2342" spans="1:2" x14ac:dyDescent="0.25">
      <c r="A2342" s="52" t="s">
        <v>95</v>
      </c>
      <c r="B2342" s="90" t="s">
        <v>7941</v>
      </c>
    </row>
    <row r="2343" spans="1:2" x14ac:dyDescent="0.25">
      <c r="A2343" s="52" t="s">
        <v>95</v>
      </c>
      <c r="B2343" s="90" t="s">
        <v>7942</v>
      </c>
    </row>
    <row r="2344" spans="1:2" x14ac:dyDescent="0.25">
      <c r="A2344" s="52" t="s">
        <v>95</v>
      </c>
      <c r="B2344" s="90" t="s">
        <v>7943</v>
      </c>
    </row>
    <row r="2345" spans="1:2" x14ac:dyDescent="0.25">
      <c r="A2345" s="52" t="s">
        <v>95</v>
      </c>
      <c r="B2345" s="90" t="s">
        <v>7944</v>
      </c>
    </row>
    <row r="2346" spans="1:2" x14ac:dyDescent="0.25">
      <c r="A2346" s="52" t="s">
        <v>95</v>
      </c>
      <c r="B2346" s="90" t="s">
        <v>7945</v>
      </c>
    </row>
    <row r="2347" spans="1:2" x14ac:dyDescent="0.25">
      <c r="A2347" s="52" t="s">
        <v>95</v>
      </c>
      <c r="B2347" s="90" t="s">
        <v>7946</v>
      </c>
    </row>
    <row r="2348" spans="1:2" x14ac:dyDescent="0.25">
      <c r="A2348" s="52" t="s">
        <v>95</v>
      </c>
      <c r="B2348" s="90" t="s">
        <v>7947</v>
      </c>
    </row>
    <row r="2349" spans="1:2" x14ac:dyDescent="0.25">
      <c r="A2349" s="52" t="s">
        <v>95</v>
      </c>
      <c r="B2349" s="90" t="s">
        <v>7948</v>
      </c>
    </row>
    <row r="2350" spans="1:2" x14ac:dyDescent="0.25">
      <c r="A2350" s="52" t="s">
        <v>95</v>
      </c>
      <c r="B2350" s="90" t="s">
        <v>7949</v>
      </c>
    </row>
    <row r="2351" spans="1:2" x14ac:dyDescent="0.25">
      <c r="A2351" s="52" t="s">
        <v>95</v>
      </c>
      <c r="B2351" s="90" t="s">
        <v>7950</v>
      </c>
    </row>
    <row r="2352" spans="1:2" x14ac:dyDescent="0.25">
      <c r="A2352" s="52" t="s">
        <v>95</v>
      </c>
      <c r="B2352" s="90" t="s">
        <v>7951</v>
      </c>
    </row>
    <row r="2353" spans="1:2" x14ac:dyDescent="0.25">
      <c r="A2353" s="52" t="s">
        <v>95</v>
      </c>
      <c r="B2353" s="90" t="s">
        <v>7952</v>
      </c>
    </row>
    <row r="2354" spans="1:2" x14ac:dyDescent="0.25">
      <c r="A2354" s="52" t="s">
        <v>95</v>
      </c>
      <c r="B2354" s="90" t="s">
        <v>7953</v>
      </c>
    </row>
    <row r="2355" spans="1:2" x14ac:dyDescent="0.25">
      <c r="A2355" s="52" t="s">
        <v>95</v>
      </c>
      <c r="B2355" s="90" t="s">
        <v>7954</v>
      </c>
    </row>
    <row r="2356" spans="1:2" x14ac:dyDescent="0.25">
      <c r="A2356" s="52" t="s">
        <v>95</v>
      </c>
      <c r="B2356" s="90" t="s">
        <v>7955</v>
      </c>
    </row>
    <row r="2357" spans="1:2" x14ac:dyDescent="0.25">
      <c r="A2357" s="52" t="s">
        <v>95</v>
      </c>
      <c r="B2357" s="90" t="s">
        <v>7956</v>
      </c>
    </row>
    <row r="2358" spans="1:2" x14ac:dyDescent="0.25">
      <c r="A2358" s="52" t="s">
        <v>95</v>
      </c>
      <c r="B2358" s="90" t="s">
        <v>7957</v>
      </c>
    </row>
    <row r="2359" spans="1:2" x14ac:dyDescent="0.25">
      <c r="A2359" s="52" t="s">
        <v>95</v>
      </c>
      <c r="B2359" s="90" t="s">
        <v>7958</v>
      </c>
    </row>
    <row r="2360" spans="1:2" x14ac:dyDescent="0.25">
      <c r="A2360" s="52" t="s">
        <v>95</v>
      </c>
      <c r="B2360" s="90" t="s">
        <v>7959</v>
      </c>
    </row>
    <row r="2361" spans="1:2" x14ac:dyDescent="0.25">
      <c r="A2361" s="52" t="s">
        <v>95</v>
      </c>
      <c r="B2361" s="90" t="s">
        <v>7960</v>
      </c>
    </row>
    <row r="2362" spans="1:2" x14ac:dyDescent="0.25">
      <c r="A2362" s="52" t="s">
        <v>95</v>
      </c>
      <c r="B2362" s="90" t="s">
        <v>7961</v>
      </c>
    </row>
    <row r="2363" spans="1:2" x14ac:dyDescent="0.25">
      <c r="A2363" s="52" t="s">
        <v>95</v>
      </c>
      <c r="B2363" s="90" t="s">
        <v>7962</v>
      </c>
    </row>
    <row r="2364" spans="1:2" x14ac:dyDescent="0.25">
      <c r="A2364" s="52" t="s">
        <v>95</v>
      </c>
      <c r="B2364" s="90" t="s">
        <v>7963</v>
      </c>
    </row>
    <row r="2365" spans="1:2" x14ac:dyDescent="0.25">
      <c r="A2365" s="52" t="s">
        <v>95</v>
      </c>
      <c r="B2365" s="90" t="s">
        <v>7964</v>
      </c>
    </row>
    <row r="2366" spans="1:2" x14ac:dyDescent="0.25">
      <c r="A2366" s="52" t="s">
        <v>95</v>
      </c>
      <c r="B2366" s="90" t="s">
        <v>7965</v>
      </c>
    </row>
    <row r="2367" spans="1:2" x14ac:dyDescent="0.25">
      <c r="A2367" s="52" t="s">
        <v>95</v>
      </c>
      <c r="B2367" s="90" t="s">
        <v>7966</v>
      </c>
    </row>
    <row r="2368" spans="1:2" x14ac:dyDescent="0.25">
      <c r="A2368" s="52" t="s">
        <v>95</v>
      </c>
      <c r="B2368" s="90" t="s">
        <v>7966</v>
      </c>
    </row>
    <row r="2369" spans="1:2" x14ac:dyDescent="0.25">
      <c r="A2369" s="52" t="s">
        <v>95</v>
      </c>
      <c r="B2369" s="90" t="s">
        <v>7967</v>
      </c>
    </row>
    <row r="2370" spans="1:2" x14ac:dyDescent="0.25">
      <c r="A2370" s="52" t="s">
        <v>95</v>
      </c>
      <c r="B2370" s="90" t="s">
        <v>7968</v>
      </c>
    </row>
    <row r="2371" spans="1:2" x14ac:dyDescent="0.25">
      <c r="A2371" s="52" t="s">
        <v>95</v>
      </c>
      <c r="B2371" s="90" t="s">
        <v>7969</v>
      </c>
    </row>
    <row r="2372" spans="1:2" x14ac:dyDescent="0.25">
      <c r="A2372" s="52" t="s">
        <v>95</v>
      </c>
      <c r="B2372" s="90" t="s">
        <v>7969</v>
      </c>
    </row>
    <row r="2373" spans="1:2" x14ac:dyDescent="0.25">
      <c r="A2373" s="52" t="s">
        <v>95</v>
      </c>
      <c r="B2373" s="90" t="s">
        <v>7970</v>
      </c>
    </row>
    <row r="2374" spans="1:2" x14ac:dyDescent="0.25">
      <c r="A2374" s="52" t="s">
        <v>95</v>
      </c>
      <c r="B2374" s="90" t="s">
        <v>7971</v>
      </c>
    </row>
    <row r="2375" spans="1:2" x14ac:dyDescent="0.25">
      <c r="A2375" s="52" t="s">
        <v>95</v>
      </c>
      <c r="B2375" s="90" t="s">
        <v>7972</v>
      </c>
    </row>
    <row r="2376" spans="1:2" x14ac:dyDescent="0.25">
      <c r="A2376" s="52" t="s">
        <v>95</v>
      </c>
      <c r="B2376" s="90" t="s">
        <v>7973</v>
      </c>
    </row>
    <row r="2377" spans="1:2" x14ac:dyDescent="0.25">
      <c r="A2377" s="52" t="s">
        <v>95</v>
      </c>
      <c r="B2377" s="90" t="s">
        <v>7974</v>
      </c>
    </row>
    <row r="2378" spans="1:2" x14ac:dyDescent="0.25">
      <c r="A2378" s="52" t="s">
        <v>95</v>
      </c>
      <c r="B2378" s="90" t="s">
        <v>7975</v>
      </c>
    </row>
    <row r="2379" spans="1:2" x14ac:dyDescent="0.25">
      <c r="A2379" s="52" t="s">
        <v>95</v>
      </c>
      <c r="B2379" s="90" t="s">
        <v>7976</v>
      </c>
    </row>
    <row r="2380" spans="1:2" x14ac:dyDescent="0.25">
      <c r="A2380" s="52" t="s">
        <v>95</v>
      </c>
      <c r="B2380" s="90" t="s">
        <v>7977</v>
      </c>
    </row>
    <row r="2381" spans="1:2" x14ac:dyDescent="0.25">
      <c r="A2381" s="52" t="s">
        <v>95</v>
      </c>
      <c r="B2381" s="90" t="s">
        <v>7978</v>
      </c>
    </row>
    <row r="2382" spans="1:2" x14ac:dyDescent="0.25">
      <c r="A2382" s="52" t="s">
        <v>95</v>
      </c>
      <c r="B2382" s="90" t="s">
        <v>7979</v>
      </c>
    </row>
    <row r="2383" spans="1:2" x14ac:dyDescent="0.25">
      <c r="A2383" s="52" t="s">
        <v>95</v>
      </c>
      <c r="B2383" s="90" t="s">
        <v>7980</v>
      </c>
    </row>
    <row r="2384" spans="1:2" x14ac:dyDescent="0.25">
      <c r="A2384" s="52" t="s">
        <v>95</v>
      </c>
      <c r="B2384" s="90" t="s">
        <v>7981</v>
      </c>
    </row>
    <row r="2385" spans="1:2" x14ac:dyDescent="0.25">
      <c r="A2385" s="52" t="s">
        <v>95</v>
      </c>
      <c r="B2385" s="90" t="s">
        <v>7982</v>
      </c>
    </row>
    <row r="2386" spans="1:2" x14ac:dyDescent="0.25">
      <c r="A2386" s="52" t="s">
        <v>95</v>
      </c>
      <c r="B2386" s="90" t="s">
        <v>7983</v>
      </c>
    </row>
    <row r="2387" spans="1:2" x14ac:dyDescent="0.25">
      <c r="A2387" s="52" t="s">
        <v>95</v>
      </c>
      <c r="B2387" s="90" t="s">
        <v>7984</v>
      </c>
    </row>
    <row r="2388" spans="1:2" x14ac:dyDescent="0.25">
      <c r="A2388" s="52" t="s">
        <v>95</v>
      </c>
      <c r="B2388" s="90" t="s">
        <v>7985</v>
      </c>
    </row>
    <row r="2389" spans="1:2" x14ac:dyDescent="0.25">
      <c r="A2389" s="52" t="s">
        <v>95</v>
      </c>
      <c r="B2389" s="90" t="s">
        <v>7986</v>
      </c>
    </row>
    <row r="2390" spans="1:2" x14ac:dyDescent="0.25">
      <c r="A2390" s="52" t="s">
        <v>95</v>
      </c>
      <c r="B2390" s="90" t="s">
        <v>7987</v>
      </c>
    </row>
    <row r="2391" spans="1:2" x14ac:dyDescent="0.25">
      <c r="A2391" s="52" t="s">
        <v>95</v>
      </c>
      <c r="B2391" s="90" t="s">
        <v>7988</v>
      </c>
    </row>
    <row r="2392" spans="1:2" x14ac:dyDescent="0.25">
      <c r="A2392" s="52" t="s">
        <v>95</v>
      </c>
      <c r="B2392" s="90" t="s">
        <v>7989</v>
      </c>
    </row>
    <row r="2393" spans="1:2" x14ac:dyDescent="0.25">
      <c r="A2393" s="52" t="s">
        <v>95</v>
      </c>
      <c r="B2393" s="90" t="s">
        <v>7990</v>
      </c>
    </row>
    <row r="2394" spans="1:2" x14ac:dyDescent="0.25">
      <c r="A2394" s="52" t="s">
        <v>95</v>
      </c>
      <c r="B2394" s="90" t="s">
        <v>7991</v>
      </c>
    </row>
    <row r="2395" spans="1:2" x14ac:dyDescent="0.25">
      <c r="A2395" s="52" t="s">
        <v>95</v>
      </c>
      <c r="B2395" s="90" t="s">
        <v>7992</v>
      </c>
    </row>
    <row r="2396" spans="1:2" x14ac:dyDescent="0.25">
      <c r="A2396" s="52" t="s">
        <v>95</v>
      </c>
      <c r="B2396" s="90" t="s">
        <v>7993</v>
      </c>
    </row>
    <row r="2397" spans="1:2" x14ac:dyDescent="0.25">
      <c r="A2397" s="52" t="s">
        <v>95</v>
      </c>
      <c r="B2397" s="90" t="s">
        <v>7994</v>
      </c>
    </row>
    <row r="2398" spans="1:2" x14ac:dyDescent="0.25">
      <c r="A2398" s="52" t="s">
        <v>95</v>
      </c>
      <c r="B2398" s="90" t="s">
        <v>7995</v>
      </c>
    </row>
    <row r="2399" spans="1:2" x14ac:dyDescent="0.25">
      <c r="A2399" s="52" t="s">
        <v>95</v>
      </c>
      <c r="B2399" s="90" t="s">
        <v>7996</v>
      </c>
    </row>
    <row r="2400" spans="1:2" x14ac:dyDescent="0.25">
      <c r="A2400" s="52" t="s">
        <v>95</v>
      </c>
      <c r="B2400" s="90" t="s">
        <v>7996</v>
      </c>
    </row>
    <row r="2401" spans="1:2" x14ac:dyDescent="0.25">
      <c r="A2401" s="52" t="s">
        <v>95</v>
      </c>
      <c r="B2401" s="90" t="s">
        <v>7997</v>
      </c>
    </row>
    <row r="2402" spans="1:2" x14ac:dyDescent="0.25">
      <c r="A2402" s="52" t="s">
        <v>95</v>
      </c>
      <c r="B2402" s="90" t="s">
        <v>7998</v>
      </c>
    </row>
    <row r="2403" spans="1:2" x14ac:dyDescent="0.25">
      <c r="A2403" s="52" t="s">
        <v>95</v>
      </c>
      <c r="B2403" s="90" t="s">
        <v>7999</v>
      </c>
    </row>
    <row r="2404" spans="1:2" x14ac:dyDescent="0.25">
      <c r="A2404" s="52" t="s">
        <v>95</v>
      </c>
      <c r="B2404" s="90" t="s">
        <v>8000</v>
      </c>
    </row>
    <row r="2405" spans="1:2" x14ac:dyDescent="0.25">
      <c r="A2405" s="52" t="s">
        <v>95</v>
      </c>
      <c r="B2405" s="90" t="s">
        <v>8001</v>
      </c>
    </row>
    <row r="2406" spans="1:2" x14ac:dyDescent="0.25">
      <c r="A2406" s="52" t="s">
        <v>95</v>
      </c>
      <c r="B2406" s="90" t="s">
        <v>8002</v>
      </c>
    </row>
    <row r="2407" spans="1:2" x14ac:dyDescent="0.25">
      <c r="A2407" s="52" t="s">
        <v>95</v>
      </c>
      <c r="B2407" s="90" t="s">
        <v>8003</v>
      </c>
    </row>
    <row r="2408" spans="1:2" x14ac:dyDescent="0.25">
      <c r="A2408" s="52" t="s">
        <v>95</v>
      </c>
      <c r="B2408" s="90" t="s">
        <v>8004</v>
      </c>
    </row>
    <row r="2409" spans="1:2" x14ac:dyDescent="0.25">
      <c r="A2409" s="52" t="s">
        <v>95</v>
      </c>
      <c r="B2409" s="90" t="s">
        <v>8005</v>
      </c>
    </row>
    <row r="2410" spans="1:2" x14ac:dyDescent="0.25">
      <c r="A2410" s="52" t="s">
        <v>95</v>
      </c>
      <c r="B2410" s="90" t="s">
        <v>8006</v>
      </c>
    </row>
    <row r="2411" spans="1:2" x14ac:dyDescent="0.25">
      <c r="A2411" s="52" t="s">
        <v>95</v>
      </c>
      <c r="B2411" s="90" t="s">
        <v>8007</v>
      </c>
    </row>
    <row r="2412" spans="1:2" x14ac:dyDescent="0.25">
      <c r="A2412" s="52" t="s">
        <v>95</v>
      </c>
      <c r="B2412" s="90" t="s">
        <v>8008</v>
      </c>
    </row>
    <row r="2413" spans="1:2" x14ac:dyDescent="0.25">
      <c r="A2413" s="52" t="s">
        <v>95</v>
      </c>
      <c r="B2413" s="90" t="s">
        <v>8009</v>
      </c>
    </row>
    <row r="2414" spans="1:2" x14ac:dyDescent="0.25">
      <c r="A2414" s="52" t="s">
        <v>95</v>
      </c>
      <c r="B2414" s="90" t="s">
        <v>8010</v>
      </c>
    </row>
    <row r="2415" spans="1:2" x14ac:dyDescent="0.25">
      <c r="A2415" s="52" t="s">
        <v>95</v>
      </c>
      <c r="B2415" s="90" t="s">
        <v>8011</v>
      </c>
    </row>
    <row r="2416" spans="1:2" x14ac:dyDescent="0.25">
      <c r="A2416" s="52" t="s">
        <v>95</v>
      </c>
      <c r="B2416" s="90" t="s">
        <v>8012</v>
      </c>
    </row>
    <row r="2417" spans="1:2" x14ac:dyDescent="0.25">
      <c r="A2417" s="52" t="s">
        <v>95</v>
      </c>
      <c r="B2417" s="90" t="s">
        <v>8013</v>
      </c>
    </row>
    <row r="2418" spans="1:2" x14ac:dyDescent="0.25">
      <c r="A2418" s="52" t="s">
        <v>95</v>
      </c>
      <c r="B2418" s="90" t="s">
        <v>8014</v>
      </c>
    </row>
    <row r="2419" spans="1:2" x14ac:dyDescent="0.25">
      <c r="A2419" s="52" t="s">
        <v>95</v>
      </c>
      <c r="B2419" s="90" t="s">
        <v>8015</v>
      </c>
    </row>
    <row r="2420" spans="1:2" x14ac:dyDescent="0.25">
      <c r="A2420" s="52" t="s">
        <v>95</v>
      </c>
      <c r="B2420" s="90" t="s">
        <v>8016</v>
      </c>
    </row>
    <row r="2421" spans="1:2" x14ac:dyDescent="0.25">
      <c r="A2421" s="52" t="s">
        <v>95</v>
      </c>
      <c r="B2421" s="90" t="s">
        <v>8017</v>
      </c>
    </row>
    <row r="2422" spans="1:2" x14ac:dyDescent="0.25">
      <c r="A2422" s="52" t="s">
        <v>95</v>
      </c>
      <c r="B2422" s="90" t="s">
        <v>8018</v>
      </c>
    </row>
    <row r="2423" spans="1:2" x14ac:dyDescent="0.25">
      <c r="A2423" s="52" t="s">
        <v>95</v>
      </c>
      <c r="B2423" s="90" t="s">
        <v>8019</v>
      </c>
    </row>
    <row r="2424" spans="1:2" x14ac:dyDescent="0.25">
      <c r="A2424" s="52" t="s">
        <v>95</v>
      </c>
      <c r="B2424" s="90" t="s">
        <v>8020</v>
      </c>
    </row>
    <row r="2425" spans="1:2" x14ac:dyDescent="0.25">
      <c r="A2425" s="52" t="s">
        <v>95</v>
      </c>
      <c r="B2425" s="90" t="s">
        <v>8021</v>
      </c>
    </row>
    <row r="2426" spans="1:2" x14ac:dyDescent="0.25">
      <c r="A2426" s="52" t="s">
        <v>95</v>
      </c>
      <c r="B2426" s="90" t="s">
        <v>8022</v>
      </c>
    </row>
    <row r="2427" spans="1:2" x14ac:dyDescent="0.25">
      <c r="A2427" s="52" t="s">
        <v>95</v>
      </c>
      <c r="B2427" s="90" t="s">
        <v>8023</v>
      </c>
    </row>
    <row r="2428" spans="1:2" x14ac:dyDescent="0.25">
      <c r="A2428" s="52" t="s">
        <v>95</v>
      </c>
      <c r="B2428" s="90" t="s">
        <v>8024</v>
      </c>
    </row>
    <row r="2429" spans="1:2" x14ac:dyDescent="0.25">
      <c r="A2429" s="52" t="s">
        <v>95</v>
      </c>
      <c r="B2429" s="90" t="s">
        <v>8025</v>
      </c>
    </row>
    <row r="2430" spans="1:2" x14ac:dyDescent="0.25">
      <c r="A2430" s="52" t="s">
        <v>95</v>
      </c>
      <c r="B2430" s="90" t="s">
        <v>8026</v>
      </c>
    </row>
    <row r="2431" spans="1:2" x14ac:dyDescent="0.25">
      <c r="A2431" s="52" t="s">
        <v>95</v>
      </c>
      <c r="B2431" s="90" t="s">
        <v>5786</v>
      </c>
    </row>
    <row r="2432" spans="1:2" x14ac:dyDescent="0.25">
      <c r="A2432" s="52" t="s">
        <v>95</v>
      </c>
      <c r="B2432" s="90" t="s">
        <v>8027</v>
      </c>
    </row>
    <row r="2433" spans="1:2" x14ac:dyDescent="0.25">
      <c r="A2433" s="52" t="s">
        <v>95</v>
      </c>
      <c r="B2433" s="90" t="s">
        <v>8028</v>
      </c>
    </row>
    <row r="2434" spans="1:2" x14ac:dyDescent="0.25">
      <c r="A2434" s="52" t="s">
        <v>95</v>
      </c>
      <c r="B2434" s="90" t="s">
        <v>8029</v>
      </c>
    </row>
    <row r="2435" spans="1:2" x14ac:dyDescent="0.25">
      <c r="A2435" s="52" t="s">
        <v>95</v>
      </c>
      <c r="B2435" s="90" t="s">
        <v>221</v>
      </c>
    </row>
    <row r="2436" spans="1:2" x14ac:dyDescent="0.25">
      <c r="A2436" s="52" t="s">
        <v>95</v>
      </c>
      <c r="B2436" s="90" t="s">
        <v>8030</v>
      </c>
    </row>
    <row r="2437" spans="1:2" x14ac:dyDescent="0.25">
      <c r="A2437" s="52" t="s">
        <v>95</v>
      </c>
      <c r="B2437" s="90" t="s">
        <v>8031</v>
      </c>
    </row>
    <row r="2438" spans="1:2" x14ac:dyDescent="0.25">
      <c r="A2438" s="52" t="s">
        <v>95</v>
      </c>
      <c r="B2438" s="90" t="s">
        <v>8032</v>
      </c>
    </row>
    <row r="2439" spans="1:2" x14ac:dyDescent="0.25">
      <c r="A2439" s="52" t="s">
        <v>95</v>
      </c>
      <c r="B2439" s="90" t="s">
        <v>8033</v>
      </c>
    </row>
    <row r="2440" spans="1:2" x14ac:dyDescent="0.25">
      <c r="A2440" s="52" t="s">
        <v>95</v>
      </c>
      <c r="B2440" s="90" t="s">
        <v>8034</v>
      </c>
    </row>
    <row r="2441" spans="1:2" x14ac:dyDescent="0.25">
      <c r="A2441" s="52" t="s">
        <v>95</v>
      </c>
      <c r="B2441" s="90" t="s">
        <v>8035</v>
      </c>
    </row>
    <row r="2442" spans="1:2" x14ac:dyDescent="0.25">
      <c r="A2442" s="52" t="s">
        <v>95</v>
      </c>
      <c r="B2442" s="90" t="s">
        <v>8036</v>
      </c>
    </row>
    <row r="2443" spans="1:2" x14ac:dyDescent="0.25">
      <c r="A2443" s="52" t="s">
        <v>95</v>
      </c>
      <c r="B2443" s="90" t="s">
        <v>8037</v>
      </c>
    </row>
    <row r="2444" spans="1:2" x14ac:dyDescent="0.25">
      <c r="A2444" s="52" t="s">
        <v>95</v>
      </c>
      <c r="B2444" s="90" t="s">
        <v>8038</v>
      </c>
    </row>
    <row r="2445" spans="1:2" x14ac:dyDescent="0.25">
      <c r="A2445" s="52" t="s">
        <v>95</v>
      </c>
      <c r="B2445" s="90" t="s">
        <v>8039</v>
      </c>
    </row>
    <row r="2446" spans="1:2" x14ac:dyDescent="0.25">
      <c r="A2446" s="52" t="s">
        <v>95</v>
      </c>
      <c r="B2446" s="90" t="s">
        <v>8040</v>
      </c>
    </row>
    <row r="2447" spans="1:2" x14ac:dyDescent="0.25">
      <c r="A2447" s="52" t="s">
        <v>95</v>
      </c>
      <c r="B2447" s="90" t="s">
        <v>8041</v>
      </c>
    </row>
    <row r="2448" spans="1:2" x14ac:dyDescent="0.25">
      <c r="A2448" s="52" t="s">
        <v>95</v>
      </c>
      <c r="B2448" s="90" t="s">
        <v>8042</v>
      </c>
    </row>
    <row r="2449" spans="1:2" x14ac:dyDescent="0.25">
      <c r="A2449" s="52" t="s">
        <v>95</v>
      </c>
      <c r="B2449" s="90" t="s">
        <v>8043</v>
      </c>
    </row>
    <row r="2450" spans="1:2" x14ac:dyDescent="0.25">
      <c r="A2450" s="52" t="s">
        <v>95</v>
      </c>
      <c r="B2450" s="90" t="s">
        <v>8044</v>
      </c>
    </row>
    <row r="2451" spans="1:2" x14ac:dyDescent="0.25">
      <c r="A2451" s="52" t="s">
        <v>95</v>
      </c>
      <c r="B2451" s="90" t="s">
        <v>8045</v>
      </c>
    </row>
    <row r="2452" spans="1:2" x14ac:dyDescent="0.25">
      <c r="A2452" s="52" t="s">
        <v>95</v>
      </c>
      <c r="B2452" s="90" t="s">
        <v>8046</v>
      </c>
    </row>
    <row r="2453" spans="1:2" x14ac:dyDescent="0.25">
      <c r="A2453" s="52" t="s">
        <v>95</v>
      </c>
      <c r="B2453" s="90" t="s">
        <v>8047</v>
      </c>
    </row>
    <row r="2454" spans="1:2" x14ac:dyDescent="0.25">
      <c r="A2454" s="52" t="s">
        <v>95</v>
      </c>
      <c r="B2454" s="90" t="s">
        <v>8048</v>
      </c>
    </row>
    <row r="2455" spans="1:2" x14ac:dyDescent="0.25">
      <c r="A2455" s="52" t="s">
        <v>95</v>
      </c>
      <c r="B2455" s="90" t="s">
        <v>8049</v>
      </c>
    </row>
    <row r="2456" spans="1:2" x14ac:dyDescent="0.25">
      <c r="A2456" s="52" t="s">
        <v>95</v>
      </c>
      <c r="B2456" s="90" t="s">
        <v>8050</v>
      </c>
    </row>
    <row r="2457" spans="1:2" x14ac:dyDescent="0.25">
      <c r="A2457" s="52" t="s">
        <v>95</v>
      </c>
      <c r="B2457" s="90" t="s">
        <v>8051</v>
      </c>
    </row>
    <row r="2458" spans="1:2" x14ac:dyDescent="0.25">
      <c r="A2458" s="52" t="s">
        <v>95</v>
      </c>
      <c r="B2458" s="90" t="s">
        <v>8052</v>
      </c>
    </row>
    <row r="2459" spans="1:2" x14ac:dyDescent="0.25">
      <c r="A2459" s="52" t="s">
        <v>95</v>
      </c>
      <c r="B2459" s="90" t="s">
        <v>8053</v>
      </c>
    </row>
    <row r="2460" spans="1:2" x14ac:dyDescent="0.25">
      <c r="A2460" s="52" t="s">
        <v>95</v>
      </c>
      <c r="B2460" s="90" t="s">
        <v>8054</v>
      </c>
    </row>
    <row r="2461" spans="1:2" x14ac:dyDescent="0.25">
      <c r="A2461" s="52" t="s">
        <v>95</v>
      </c>
      <c r="B2461" s="90" t="s">
        <v>8055</v>
      </c>
    </row>
    <row r="2462" spans="1:2" x14ac:dyDescent="0.25">
      <c r="A2462" s="52" t="s">
        <v>95</v>
      </c>
      <c r="B2462" s="90" t="s">
        <v>8056</v>
      </c>
    </row>
    <row r="2463" spans="1:2" x14ac:dyDescent="0.25">
      <c r="A2463" s="52" t="s">
        <v>95</v>
      </c>
      <c r="B2463" s="90" t="s">
        <v>8057</v>
      </c>
    </row>
    <row r="2464" spans="1:2" x14ac:dyDescent="0.25">
      <c r="A2464" s="52" t="s">
        <v>95</v>
      </c>
      <c r="B2464" s="90" t="s">
        <v>8058</v>
      </c>
    </row>
    <row r="2465" spans="1:2" x14ac:dyDescent="0.25">
      <c r="A2465" s="52" t="s">
        <v>95</v>
      </c>
      <c r="B2465" s="90" t="s">
        <v>8059</v>
      </c>
    </row>
    <row r="2466" spans="1:2" x14ac:dyDescent="0.25">
      <c r="A2466" s="52" t="s">
        <v>95</v>
      </c>
      <c r="B2466" s="90" t="s">
        <v>8060</v>
      </c>
    </row>
    <row r="2467" spans="1:2" x14ac:dyDescent="0.25">
      <c r="A2467" s="52" t="s">
        <v>95</v>
      </c>
      <c r="B2467" s="90" t="s">
        <v>8061</v>
      </c>
    </row>
    <row r="2468" spans="1:2" x14ac:dyDescent="0.25">
      <c r="A2468" s="52" t="s">
        <v>95</v>
      </c>
      <c r="B2468" s="90" t="s">
        <v>8062</v>
      </c>
    </row>
    <row r="2469" spans="1:2" x14ac:dyDescent="0.25">
      <c r="A2469" s="52" t="s">
        <v>95</v>
      </c>
      <c r="B2469" s="90" t="s">
        <v>8063</v>
      </c>
    </row>
    <row r="2470" spans="1:2" x14ac:dyDescent="0.25">
      <c r="A2470" s="52" t="s">
        <v>95</v>
      </c>
      <c r="B2470" s="90" t="s">
        <v>8064</v>
      </c>
    </row>
    <row r="2471" spans="1:2" x14ac:dyDescent="0.25">
      <c r="A2471" s="52" t="s">
        <v>95</v>
      </c>
      <c r="B2471" s="90" t="s">
        <v>8065</v>
      </c>
    </row>
    <row r="2472" spans="1:2" x14ac:dyDescent="0.25">
      <c r="A2472" s="52" t="s">
        <v>95</v>
      </c>
      <c r="B2472" s="90" t="s">
        <v>8066</v>
      </c>
    </row>
    <row r="2473" spans="1:2" x14ac:dyDescent="0.25">
      <c r="A2473" s="52" t="s">
        <v>95</v>
      </c>
      <c r="B2473" s="90" t="s">
        <v>8067</v>
      </c>
    </row>
    <row r="2474" spans="1:2" x14ac:dyDescent="0.25">
      <c r="A2474" s="52" t="s">
        <v>95</v>
      </c>
      <c r="B2474" s="90" t="s">
        <v>8068</v>
      </c>
    </row>
    <row r="2475" spans="1:2" x14ac:dyDescent="0.25">
      <c r="A2475" s="52" t="s">
        <v>95</v>
      </c>
      <c r="B2475" s="90" t="s">
        <v>8069</v>
      </c>
    </row>
    <row r="2476" spans="1:2" x14ac:dyDescent="0.25">
      <c r="A2476" s="52" t="s">
        <v>95</v>
      </c>
      <c r="B2476" s="90" t="s">
        <v>8069</v>
      </c>
    </row>
    <row r="2477" spans="1:2" x14ac:dyDescent="0.25">
      <c r="A2477" s="52" t="s">
        <v>95</v>
      </c>
      <c r="B2477" s="90" t="s">
        <v>8070</v>
      </c>
    </row>
    <row r="2478" spans="1:2" x14ac:dyDescent="0.25">
      <c r="A2478" s="52" t="s">
        <v>95</v>
      </c>
      <c r="B2478" s="90" t="s">
        <v>8071</v>
      </c>
    </row>
    <row r="2479" spans="1:2" x14ac:dyDescent="0.25">
      <c r="A2479" s="52" t="s">
        <v>95</v>
      </c>
      <c r="B2479" s="90" t="s">
        <v>8072</v>
      </c>
    </row>
    <row r="2480" spans="1:2" x14ac:dyDescent="0.25">
      <c r="A2480" s="52" t="s">
        <v>95</v>
      </c>
      <c r="B2480" s="90" t="s">
        <v>8073</v>
      </c>
    </row>
    <row r="2481" spans="1:2" x14ac:dyDescent="0.25">
      <c r="A2481" s="52" t="s">
        <v>95</v>
      </c>
      <c r="B2481" s="90" t="s">
        <v>8074</v>
      </c>
    </row>
    <row r="2482" spans="1:2" x14ac:dyDescent="0.25">
      <c r="A2482" s="52" t="s">
        <v>95</v>
      </c>
      <c r="B2482" s="90" t="s">
        <v>8075</v>
      </c>
    </row>
    <row r="2483" spans="1:2" x14ac:dyDescent="0.25">
      <c r="A2483" s="52" t="s">
        <v>95</v>
      </c>
      <c r="B2483" s="90" t="s">
        <v>8076</v>
      </c>
    </row>
    <row r="2484" spans="1:2" x14ac:dyDescent="0.25">
      <c r="A2484" s="52" t="s">
        <v>95</v>
      </c>
      <c r="B2484" s="90" t="s">
        <v>8077</v>
      </c>
    </row>
    <row r="2485" spans="1:2" x14ac:dyDescent="0.25">
      <c r="A2485" s="52" t="s">
        <v>95</v>
      </c>
      <c r="B2485" s="90" t="s">
        <v>8078</v>
      </c>
    </row>
    <row r="2486" spans="1:2" x14ac:dyDescent="0.25">
      <c r="A2486" s="52" t="s">
        <v>95</v>
      </c>
      <c r="B2486" s="90" t="s">
        <v>8079</v>
      </c>
    </row>
    <row r="2487" spans="1:2" x14ac:dyDescent="0.25">
      <c r="A2487" s="52" t="s">
        <v>95</v>
      </c>
      <c r="B2487" s="90" t="s">
        <v>8080</v>
      </c>
    </row>
    <row r="2488" spans="1:2" x14ac:dyDescent="0.25">
      <c r="A2488" s="52" t="s">
        <v>95</v>
      </c>
      <c r="B2488" s="90" t="s">
        <v>8081</v>
      </c>
    </row>
    <row r="2489" spans="1:2" x14ac:dyDescent="0.25">
      <c r="A2489" s="52" t="s">
        <v>95</v>
      </c>
      <c r="B2489" s="90" t="s">
        <v>8082</v>
      </c>
    </row>
    <row r="2490" spans="1:2" x14ac:dyDescent="0.25">
      <c r="A2490" s="52" t="s">
        <v>95</v>
      </c>
      <c r="B2490" s="90" t="s">
        <v>8083</v>
      </c>
    </row>
    <row r="2491" spans="1:2" x14ac:dyDescent="0.25">
      <c r="A2491" s="52" t="s">
        <v>95</v>
      </c>
      <c r="B2491" s="90" t="s">
        <v>8084</v>
      </c>
    </row>
    <row r="2492" spans="1:2" x14ac:dyDescent="0.25">
      <c r="A2492" s="52" t="s">
        <v>95</v>
      </c>
      <c r="B2492" s="90" t="s">
        <v>8085</v>
      </c>
    </row>
    <row r="2493" spans="1:2" x14ac:dyDescent="0.25">
      <c r="A2493" s="52" t="s">
        <v>95</v>
      </c>
      <c r="B2493" s="90" t="s">
        <v>8086</v>
      </c>
    </row>
    <row r="2494" spans="1:2" x14ac:dyDescent="0.25">
      <c r="A2494" s="52" t="s">
        <v>95</v>
      </c>
      <c r="B2494" s="90" t="s">
        <v>8087</v>
      </c>
    </row>
    <row r="2495" spans="1:2" x14ac:dyDescent="0.25">
      <c r="A2495" s="52" t="s">
        <v>95</v>
      </c>
      <c r="B2495" s="90" t="s">
        <v>8088</v>
      </c>
    </row>
    <row r="2496" spans="1:2" x14ac:dyDescent="0.25">
      <c r="A2496" s="52" t="s">
        <v>95</v>
      </c>
      <c r="B2496" s="90" t="s">
        <v>8089</v>
      </c>
    </row>
    <row r="2497" spans="1:2" x14ac:dyDescent="0.25">
      <c r="A2497" s="52" t="s">
        <v>95</v>
      </c>
      <c r="B2497" s="90" t="s">
        <v>8090</v>
      </c>
    </row>
    <row r="2498" spans="1:2" x14ac:dyDescent="0.25">
      <c r="A2498" s="52" t="s">
        <v>95</v>
      </c>
      <c r="B2498" s="90" t="s">
        <v>8091</v>
      </c>
    </row>
    <row r="2499" spans="1:2" x14ac:dyDescent="0.25">
      <c r="A2499" s="52" t="s">
        <v>95</v>
      </c>
      <c r="B2499" s="90" t="s">
        <v>8092</v>
      </c>
    </row>
    <row r="2500" spans="1:2" x14ac:dyDescent="0.25">
      <c r="A2500" s="52" t="s">
        <v>95</v>
      </c>
      <c r="B2500" s="90" t="s">
        <v>8093</v>
      </c>
    </row>
    <row r="2501" spans="1:2" x14ac:dyDescent="0.25">
      <c r="A2501" s="52" t="s">
        <v>95</v>
      </c>
      <c r="B2501" s="90" t="s">
        <v>8094</v>
      </c>
    </row>
    <row r="2502" spans="1:2" x14ac:dyDescent="0.25">
      <c r="A2502" s="52" t="s">
        <v>95</v>
      </c>
      <c r="B2502" s="90" t="s">
        <v>8095</v>
      </c>
    </row>
    <row r="2503" spans="1:2" x14ac:dyDescent="0.25">
      <c r="A2503" s="52" t="s">
        <v>95</v>
      </c>
      <c r="B2503" s="90" t="s">
        <v>8096</v>
      </c>
    </row>
    <row r="2504" spans="1:2" x14ac:dyDescent="0.25">
      <c r="A2504" s="52" t="s">
        <v>95</v>
      </c>
      <c r="B2504" s="90" t="s">
        <v>8097</v>
      </c>
    </row>
    <row r="2505" spans="1:2" x14ac:dyDescent="0.25">
      <c r="A2505" s="52" t="s">
        <v>95</v>
      </c>
      <c r="B2505" s="90" t="s">
        <v>8098</v>
      </c>
    </row>
    <row r="2506" spans="1:2" x14ac:dyDescent="0.25">
      <c r="A2506" s="52" t="s">
        <v>95</v>
      </c>
      <c r="B2506" s="90" t="s">
        <v>8099</v>
      </c>
    </row>
    <row r="2507" spans="1:2" x14ac:dyDescent="0.25">
      <c r="A2507" s="52" t="s">
        <v>95</v>
      </c>
      <c r="B2507" s="90" t="s">
        <v>8100</v>
      </c>
    </row>
    <row r="2508" spans="1:2" x14ac:dyDescent="0.25">
      <c r="A2508" s="52" t="s">
        <v>95</v>
      </c>
      <c r="B2508" s="90" t="s">
        <v>8101</v>
      </c>
    </row>
    <row r="2509" spans="1:2" x14ac:dyDescent="0.25">
      <c r="A2509" s="52" t="s">
        <v>95</v>
      </c>
      <c r="B2509" s="90" t="s">
        <v>8102</v>
      </c>
    </row>
    <row r="2510" spans="1:2" x14ac:dyDescent="0.25">
      <c r="A2510" s="52" t="s">
        <v>95</v>
      </c>
      <c r="B2510" s="90" t="s">
        <v>8103</v>
      </c>
    </row>
    <row r="2511" spans="1:2" x14ac:dyDescent="0.25">
      <c r="A2511" s="52" t="s">
        <v>95</v>
      </c>
      <c r="B2511" s="90" t="s">
        <v>8104</v>
      </c>
    </row>
    <row r="2512" spans="1:2" x14ac:dyDescent="0.25">
      <c r="A2512" s="52" t="s">
        <v>95</v>
      </c>
      <c r="B2512" s="90" t="s">
        <v>8105</v>
      </c>
    </row>
    <row r="2513" spans="1:2" x14ac:dyDescent="0.25">
      <c r="A2513" s="52" t="s">
        <v>95</v>
      </c>
      <c r="B2513" s="90" t="s">
        <v>8106</v>
      </c>
    </row>
    <row r="2514" spans="1:2" x14ac:dyDescent="0.25">
      <c r="A2514" s="52" t="s">
        <v>95</v>
      </c>
      <c r="B2514" s="90" t="s">
        <v>8107</v>
      </c>
    </row>
    <row r="2515" spans="1:2" x14ac:dyDescent="0.25">
      <c r="A2515" s="52" t="s">
        <v>95</v>
      </c>
      <c r="B2515" s="90" t="s">
        <v>8108</v>
      </c>
    </row>
    <row r="2516" spans="1:2" x14ac:dyDescent="0.25">
      <c r="A2516" s="52" t="s">
        <v>95</v>
      </c>
      <c r="B2516" s="90" t="s">
        <v>8109</v>
      </c>
    </row>
    <row r="2517" spans="1:2" x14ac:dyDescent="0.25">
      <c r="A2517" s="52" t="s">
        <v>95</v>
      </c>
      <c r="B2517" s="90" t="s">
        <v>8110</v>
      </c>
    </row>
    <row r="2518" spans="1:2" x14ac:dyDescent="0.25">
      <c r="A2518" s="52" t="s">
        <v>95</v>
      </c>
      <c r="B2518" s="90" t="s">
        <v>8111</v>
      </c>
    </row>
    <row r="2519" spans="1:2" x14ac:dyDescent="0.25">
      <c r="A2519" s="52" t="s">
        <v>95</v>
      </c>
      <c r="B2519" s="90" t="s">
        <v>8112</v>
      </c>
    </row>
    <row r="2520" spans="1:2" x14ac:dyDescent="0.25">
      <c r="A2520" s="52" t="s">
        <v>95</v>
      </c>
      <c r="B2520" s="90" t="s">
        <v>8113</v>
      </c>
    </row>
    <row r="2521" spans="1:2" x14ac:dyDescent="0.25">
      <c r="A2521" s="52" t="s">
        <v>95</v>
      </c>
      <c r="B2521" s="90" t="s">
        <v>8114</v>
      </c>
    </row>
    <row r="2522" spans="1:2" x14ac:dyDescent="0.25">
      <c r="A2522" s="52" t="s">
        <v>95</v>
      </c>
      <c r="B2522" s="90" t="s">
        <v>8115</v>
      </c>
    </row>
    <row r="2523" spans="1:2" x14ac:dyDescent="0.25">
      <c r="A2523" s="52" t="s">
        <v>95</v>
      </c>
      <c r="B2523" s="90" t="s">
        <v>8116</v>
      </c>
    </row>
    <row r="2524" spans="1:2" x14ac:dyDescent="0.25">
      <c r="A2524" s="52" t="s">
        <v>95</v>
      </c>
      <c r="B2524" s="90" t="s">
        <v>8117</v>
      </c>
    </row>
    <row r="2525" spans="1:2" x14ac:dyDescent="0.25">
      <c r="A2525" s="52" t="s">
        <v>95</v>
      </c>
      <c r="B2525" s="90" t="s">
        <v>8118</v>
      </c>
    </row>
    <row r="2526" spans="1:2" x14ac:dyDescent="0.25">
      <c r="A2526" s="52" t="s">
        <v>95</v>
      </c>
      <c r="B2526" s="90" t="s">
        <v>8119</v>
      </c>
    </row>
    <row r="2527" spans="1:2" x14ac:dyDescent="0.25">
      <c r="A2527" s="52" t="s">
        <v>95</v>
      </c>
      <c r="B2527" s="90" t="s">
        <v>8120</v>
      </c>
    </row>
    <row r="2528" spans="1:2" x14ac:dyDescent="0.25">
      <c r="A2528" s="52" t="s">
        <v>95</v>
      </c>
      <c r="B2528" s="90" t="s">
        <v>8121</v>
      </c>
    </row>
    <row r="2529" spans="1:2" x14ac:dyDescent="0.25">
      <c r="A2529" s="52" t="s">
        <v>95</v>
      </c>
      <c r="B2529" s="90" t="s">
        <v>8122</v>
      </c>
    </row>
    <row r="2530" spans="1:2" x14ac:dyDescent="0.25">
      <c r="A2530" s="52" t="s">
        <v>95</v>
      </c>
      <c r="B2530" s="90" t="s">
        <v>8123</v>
      </c>
    </row>
    <row r="2531" spans="1:2" x14ac:dyDescent="0.25">
      <c r="A2531" s="52" t="s">
        <v>95</v>
      </c>
      <c r="B2531" s="90" t="s">
        <v>8124</v>
      </c>
    </row>
    <row r="2532" spans="1:2" x14ac:dyDescent="0.25">
      <c r="A2532" s="52" t="s">
        <v>95</v>
      </c>
      <c r="B2532" s="90" t="s">
        <v>8125</v>
      </c>
    </row>
    <row r="2533" spans="1:2" x14ac:dyDescent="0.25">
      <c r="A2533" s="52" t="s">
        <v>95</v>
      </c>
      <c r="B2533" s="90" t="s">
        <v>8126</v>
      </c>
    </row>
    <row r="2534" spans="1:2" x14ac:dyDescent="0.25">
      <c r="A2534" s="52" t="s">
        <v>95</v>
      </c>
      <c r="B2534" s="90" t="s">
        <v>8127</v>
      </c>
    </row>
    <row r="2535" spans="1:2" x14ac:dyDescent="0.25">
      <c r="A2535" s="52" t="s">
        <v>95</v>
      </c>
      <c r="B2535" s="90" t="s">
        <v>8128</v>
      </c>
    </row>
    <row r="2536" spans="1:2" x14ac:dyDescent="0.25">
      <c r="A2536" s="52" t="s">
        <v>95</v>
      </c>
      <c r="B2536" s="90" t="s">
        <v>8129</v>
      </c>
    </row>
    <row r="2537" spans="1:2" x14ac:dyDescent="0.25">
      <c r="A2537" s="52" t="s">
        <v>95</v>
      </c>
      <c r="B2537" s="90" t="s">
        <v>8130</v>
      </c>
    </row>
    <row r="2538" spans="1:2" x14ac:dyDescent="0.25">
      <c r="A2538" s="52" t="s">
        <v>95</v>
      </c>
      <c r="B2538" s="90" t="s">
        <v>8131</v>
      </c>
    </row>
    <row r="2539" spans="1:2" x14ac:dyDescent="0.25">
      <c r="A2539" s="52" t="s">
        <v>95</v>
      </c>
      <c r="B2539" s="90" t="s">
        <v>8132</v>
      </c>
    </row>
    <row r="2540" spans="1:2" x14ac:dyDescent="0.25">
      <c r="A2540" s="52" t="s">
        <v>95</v>
      </c>
      <c r="B2540" s="90" t="s">
        <v>8133</v>
      </c>
    </row>
    <row r="2541" spans="1:2" x14ac:dyDescent="0.25">
      <c r="A2541" s="52" t="s">
        <v>95</v>
      </c>
      <c r="B2541" s="90" t="s">
        <v>8134</v>
      </c>
    </row>
    <row r="2542" spans="1:2" x14ac:dyDescent="0.25">
      <c r="A2542" s="52" t="s">
        <v>95</v>
      </c>
      <c r="B2542" s="90" t="s">
        <v>8135</v>
      </c>
    </row>
    <row r="2543" spans="1:2" x14ac:dyDescent="0.25">
      <c r="A2543" s="52" t="s">
        <v>95</v>
      </c>
      <c r="B2543" s="90" t="s">
        <v>8136</v>
      </c>
    </row>
    <row r="2544" spans="1:2" x14ac:dyDescent="0.25">
      <c r="A2544" s="52" t="s">
        <v>95</v>
      </c>
      <c r="B2544" s="90" t="s">
        <v>8137</v>
      </c>
    </row>
    <row r="2545" spans="1:2" x14ac:dyDescent="0.25">
      <c r="A2545" s="52" t="s">
        <v>95</v>
      </c>
      <c r="B2545" s="90" t="s">
        <v>8138</v>
      </c>
    </row>
    <row r="2546" spans="1:2" x14ac:dyDescent="0.25">
      <c r="A2546" s="52" t="s">
        <v>95</v>
      </c>
      <c r="B2546" s="90" t="s">
        <v>8139</v>
      </c>
    </row>
    <row r="2547" spans="1:2" x14ac:dyDescent="0.25">
      <c r="A2547" s="52" t="s">
        <v>95</v>
      </c>
      <c r="B2547" s="90" t="s">
        <v>8140</v>
      </c>
    </row>
    <row r="2548" spans="1:2" x14ac:dyDescent="0.25">
      <c r="A2548" s="52" t="s">
        <v>95</v>
      </c>
      <c r="B2548" s="90" t="s">
        <v>8141</v>
      </c>
    </row>
    <row r="2549" spans="1:2" x14ac:dyDescent="0.25">
      <c r="A2549" s="52" t="s">
        <v>95</v>
      </c>
      <c r="B2549" s="90" t="s">
        <v>8142</v>
      </c>
    </row>
    <row r="2550" spans="1:2" x14ac:dyDescent="0.25">
      <c r="A2550" s="52" t="s">
        <v>95</v>
      </c>
      <c r="B2550" s="90" t="s">
        <v>8143</v>
      </c>
    </row>
    <row r="2551" spans="1:2" x14ac:dyDescent="0.25">
      <c r="A2551" s="52" t="s">
        <v>95</v>
      </c>
      <c r="B2551" s="90" t="s">
        <v>8144</v>
      </c>
    </row>
    <row r="2552" spans="1:2" x14ac:dyDescent="0.25">
      <c r="A2552" s="52" t="s">
        <v>95</v>
      </c>
      <c r="B2552" s="90" t="s">
        <v>8145</v>
      </c>
    </row>
    <row r="2553" spans="1:2" x14ac:dyDescent="0.25">
      <c r="A2553" s="52" t="s">
        <v>95</v>
      </c>
      <c r="B2553" s="90" t="s">
        <v>8146</v>
      </c>
    </row>
    <row r="2554" spans="1:2" x14ac:dyDescent="0.25">
      <c r="A2554" s="52" t="s">
        <v>95</v>
      </c>
      <c r="B2554" s="90" t="s">
        <v>8147</v>
      </c>
    </row>
    <row r="2555" spans="1:2" x14ac:dyDescent="0.25">
      <c r="A2555" s="52" t="s">
        <v>95</v>
      </c>
      <c r="B2555" s="90" t="s">
        <v>8148</v>
      </c>
    </row>
    <row r="2556" spans="1:2" x14ac:dyDescent="0.25">
      <c r="A2556" s="52" t="s">
        <v>95</v>
      </c>
      <c r="B2556" s="90" t="s">
        <v>8149</v>
      </c>
    </row>
    <row r="2557" spans="1:2" x14ac:dyDescent="0.25">
      <c r="A2557" s="52" t="s">
        <v>95</v>
      </c>
      <c r="B2557" s="90" t="s">
        <v>8150</v>
      </c>
    </row>
    <row r="2558" spans="1:2" x14ac:dyDescent="0.25">
      <c r="A2558" s="52" t="s">
        <v>95</v>
      </c>
      <c r="B2558" s="90" t="s">
        <v>8151</v>
      </c>
    </row>
    <row r="2559" spans="1:2" x14ac:dyDescent="0.25">
      <c r="A2559" s="52" t="s">
        <v>95</v>
      </c>
      <c r="B2559" s="90" t="s">
        <v>8152</v>
      </c>
    </row>
    <row r="2560" spans="1:2" x14ac:dyDescent="0.25">
      <c r="A2560" s="52" t="s">
        <v>95</v>
      </c>
      <c r="B2560" s="90" t="s">
        <v>8153</v>
      </c>
    </row>
    <row r="2561" spans="1:2" x14ac:dyDescent="0.25">
      <c r="A2561" s="52" t="s">
        <v>95</v>
      </c>
      <c r="B2561" s="90" t="s">
        <v>8154</v>
      </c>
    </row>
    <row r="2562" spans="1:2" x14ac:dyDescent="0.25">
      <c r="A2562" s="52" t="s">
        <v>95</v>
      </c>
      <c r="B2562" s="90" t="s">
        <v>8155</v>
      </c>
    </row>
    <row r="2563" spans="1:2" x14ac:dyDescent="0.25">
      <c r="A2563" s="52" t="s">
        <v>95</v>
      </c>
      <c r="B2563" s="90" t="s">
        <v>8156</v>
      </c>
    </row>
    <row r="2564" spans="1:2" x14ac:dyDescent="0.25">
      <c r="A2564" s="52" t="s">
        <v>95</v>
      </c>
      <c r="B2564" s="90" t="s">
        <v>8157</v>
      </c>
    </row>
    <row r="2565" spans="1:2" x14ac:dyDescent="0.25">
      <c r="A2565" s="52" t="s">
        <v>95</v>
      </c>
      <c r="B2565" s="90" t="s">
        <v>8158</v>
      </c>
    </row>
    <row r="2566" spans="1:2" x14ac:dyDescent="0.25">
      <c r="A2566" s="52" t="s">
        <v>95</v>
      </c>
      <c r="B2566" s="90" t="s">
        <v>8159</v>
      </c>
    </row>
    <row r="2567" spans="1:2" x14ac:dyDescent="0.25">
      <c r="A2567" s="52" t="s">
        <v>95</v>
      </c>
      <c r="B2567" s="90" t="s">
        <v>8160</v>
      </c>
    </row>
    <row r="2568" spans="1:2" x14ac:dyDescent="0.25">
      <c r="A2568" s="52" t="s">
        <v>95</v>
      </c>
      <c r="B2568" s="90" t="s">
        <v>8161</v>
      </c>
    </row>
    <row r="2569" spans="1:2" x14ac:dyDescent="0.25">
      <c r="A2569" s="52" t="s">
        <v>95</v>
      </c>
      <c r="B2569" s="90" t="s">
        <v>8162</v>
      </c>
    </row>
    <row r="2570" spans="1:2" x14ac:dyDescent="0.25">
      <c r="A2570" s="52" t="s">
        <v>95</v>
      </c>
      <c r="B2570" s="90" t="s">
        <v>8163</v>
      </c>
    </row>
    <row r="2571" spans="1:2" x14ac:dyDescent="0.25">
      <c r="A2571" s="52" t="s">
        <v>95</v>
      </c>
      <c r="B2571" s="90" t="s">
        <v>8164</v>
      </c>
    </row>
    <row r="2572" spans="1:2" x14ac:dyDescent="0.25">
      <c r="A2572" s="52" t="s">
        <v>95</v>
      </c>
      <c r="B2572" s="90" t="s">
        <v>8165</v>
      </c>
    </row>
    <row r="2573" spans="1:2" x14ac:dyDescent="0.25">
      <c r="A2573" s="52" t="s">
        <v>95</v>
      </c>
      <c r="B2573" s="90" t="s">
        <v>8166</v>
      </c>
    </row>
    <row r="2574" spans="1:2" x14ac:dyDescent="0.25">
      <c r="A2574" s="52" t="s">
        <v>95</v>
      </c>
      <c r="B2574" s="90" t="s">
        <v>8167</v>
      </c>
    </row>
    <row r="2575" spans="1:2" x14ac:dyDescent="0.25">
      <c r="A2575" s="52" t="s">
        <v>95</v>
      </c>
      <c r="B2575" s="90" t="s">
        <v>8168</v>
      </c>
    </row>
    <row r="2576" spans="1:2" x14ac:dyDescent="0.25">
      <c r="A2576" s="52" t="s">
        <v>95</v>
      </c>
      <c r="B2576" s="90" t="s">
        <v>8169</v>
      </c>
    </row>
    <row r="2577" spans="1:2" x14ac:dyDescent="0.25">
      <c r="A2577" s="52" t="s">
        <v>95</v>
      </c>
      <c r="B2577" s="90" t="s">
        <v>8170</v>
      </c>
    </row>
    <row r="2578" spans="1:2" x14ac:dyDescent="0.25">
      <c r="A2578" s="52" t="s">
        <v>95</v>
      </c>
      <c r="B2578" s="90" t="s">
        <v>8171</v>
      </c>
    </row>
    <row r="2579" spans="1:2" x14ac:dyDescent="0.25">
      <c r="A2579" s="52" t="s">
        <v>95</v>
      </c>
      <c r="B2579" s="90" t="s">
        <v>8172</v>
      </c>
    </row>
    <row r="2580" spans="1:2" x14ac:dyDescent="0.25">
      <c r="A2580" s="52" t="s">
        <v>95</v>
      </c>
      <c r="B2580" s="90" t="s">
        <v>8173</v>
      </c>
    </row>
    <row r="2581" spans="1:2" x14ac:dyDescent="0.25">
      <c r="A2581" s="52" t="s">
        <v>95</v>
      </c>
      <c r="B2581" s="90" t="s">
        <v>8174</v>
      </c>
    </row>
    <row r="2582" spans="1:2" x14ac:dyDescent="0.25">
      <c r="A2582" s="52" t="s">
        <v>95</v>
      </c>
      <c r="B2582" s="90" t="s">
        <v>8175</v>
      </c>
    </row>
    <row r="2583" spans="1:2" x14ac:dyDescent="0.25">
      <c r="A2583" s="52" t="s">
        <v>95</v>
      </c>
      <c r="B2583" s="90" t="s">
        <v>8176</v>
      </c>
    </row>
    <row r="2584" spans="1:2" x14ac:dyDescent="0.25">
      <c r="A2584" s="52" t="s">
        <v>95</v>
      </c>
      <c r="B2584" s="90" t="s">
        <v>223</v>
      </c>
    </row>
    <row r="2585" spans="1:2" x14ac:dyDescent="0.25">
      <c r="A2585" s="52" t="s">
        <v>95</v>
      </c>
      <c r="B2585" s="90" t="s">
        <v>8177</v>
      </c>
    </row>
    <row r="2586" spans="1:2" x14ac:dyDescent="0.25">
      <c r="A2586" s="52" t="s">
        <v>95</v>
      </c>
      <c r="B2586" s="90" t="s">
        <v>8178</v>
      </c>
    </row>
    <row r="2587" spans="1:2" x14ac:dyDescent="0.25">
      <c r="A2587" s="52" t="s">
        <v>95</v>
      </c>
      <c r="B2587" s="90" t="s">
        <v>8179</v>
      </c>
    </row>
    <row r="2588" spans="1:2" x14ac:dyDescent="0.25">
      <c r="A2588" s="52" t="s">
        <v>95</v>
      </c>
      <c r="B2588" s="90" t="s">
        <v>8180</v>
      </c>
    </row>
    <row r="2589" spans="1:2" x14ac:dyDescent="0.25">
      <c r="A2589" s="52" t="s">
        <v>95</v>
      </c>
      <c r="B2589" s="90" t="s">
        <v>8181</v>
      </c>
    </row>
    <row r="2590" spans="1:2" x14ac:dyDescent="0.25">
      <c r="A2590" s="52" t="s">
        <v>95</v>
      </c>
      <c r="B2590" s="90" t="s">
        <v>8182</v>
      </c>
    </row>
    <row r="2591" spans="1:2" x14ac:dyDescent="0.25">
      <c r="A2591" s="52" t="s">
        <v>95</v>
      </c>
      <c r="B2591" s="90" t="s">
        <v>8183</v>
      </c>
    </row>
    <row r="2592" spans="1:2" x14ac:dyDescent="0.25">
      <c r="A2592" s="52" t="s">
        <v>95</v>
      </c>
      <c r="B2592" s="90" t="s">
        <v>8184</v>
      </c>
    </row>
    <row r="2593" spans="1:2" x14ac:dyDescent="0.25">
      <c r="A2593" s="52" t="s">
        <v>95</v>
      </c>
      <c r="B2593" s="90" t="s">
        <v>8185</v>
      </c>
    </row>
    <row r="2594" spans="1:2" x14ac:dyDescent="0.25">
      <c r="A2594" s="52" t="s">
        <v>95</v>
      </c>
      <c r="B2594" s="90" t="s">
        <v>8186</v>
      </c>
    </row>
    <row r="2595" spans="1:2" x14ac:dyDescent="0.25">
      <c r="A2595" s="52" t="s">
        <v>95</v>
      </c>
      <c r="B2595" s="90" t="s">
        <v>8187</v>
      </c>
    </row>
    <row r="2596" spans="1:2" x14ac:dyDescent="0.25">
      <c r="A2596" s="52" t="s">
        <v>95</v>
      </c>
      <c r="B2596" s="90" t="s">
        <v>8188</v>
      </c>
    </row>
    <row r="2597" spans="1:2" x14ac:dyDescent="0.25">
      <c r="A2597" s="52" t="s">
        <v>95</v>
      </c>
      <c r="B2597" s="90" t="s">
        <v>8189</v>
      </c>
    </row>
    <row r="2598" spans="1:2" x14ac:dyDescent="0.25">
      <c r="A2598" s="52" t="s">
        <v>95</v>
      </c>
      <c r="B2598" s="90" t="s">
        <v>8190</v>
      </c>
    </row>
    <row r="2599" spans="1:2" x14ac:dyDescent="0.25">
      <c r="A2599" s="52" t="s">
        <v>95</v>
      </c>
      <c r="B2599" s="90" t="s">
        <v>8191</v>
      </c>
    </row>
    <row r="2600" spans="1:2" x14ac:dyDescent="0.25">
      <c r="A2600" s="52" t="s">
        <v>95</v>
      </c>
      <c r="B2600" s="90" t="s">
        <v>8192</v>
      </c>
    </row>
    <row r="2601" spans="1:2" x14ac:dyDescent="0.25">
      <c r="A2601" s="52" t="s">
        <v>95</v>
      </c>
      <c r="B2601" s="90" t="s">
        <v>8193</v>
      </c>
    </row>
    <row r="2602" spans="1:2" x14ac:dyDescent="0.25">
      <c r="A2602" s="52" t="s">
        <v>95</v>
      </c>
      <c r="B2602" s="90" t="s">
        <v>8194</v>
      </c>
    </row>
    <row r="2603" spans="1:2" x14ac:dyDescent="0.25">
      <c r="A2603" s="52" t="s">
        <v>95</v>
      </c>
      <c r="B2603" s="90" t="s">
        <v>8195</v>
      </c>
    </row>
    <row r="2604" spans="1:2" x14ac:dyDescent="0.25">
      <c r="A2604" s="52" t="s">
        <v>95</v>
      </c>
      <c r="B2604" s="90" t="s">
        <v>8196</v>
      </c>
    </row>
    <row r="2605" spans="1:2" x14ac:dyDescent="0.25">
      <c r="A2605" s="52" t="s">
        <v>95</v>
      </c>
      <c r="B2605" s="90" t="s">
        <v>8197</v>
      </c>
    </row>
    <row r="2606" spans="1:2" x14ac:dyDescent="0.25">
      <c r="A2606" s="52" t="s">
        <v>95</v>
      </c>
      <c r="B2606" s="90" t="s">
        <v>8198</v>
      </c>
    </row>
    <row r="2607" spans="1:2" x14ac:dyDescent="0.25">
      <c r="A2607" s="52" t="s">
        <v>95</v>
      </c>
      <c r="B2607" s="90" t="s">
        <v>8199</v>
      </c>
    </row>
    <row r="2608" spans="1:2" x14ac:dyDescent="0.25">
      <c r="A2608" s="52" t="s">
        <v>95</v>
      </c>
      <c r="B2608" s="90" t="s">
        <v>8200</v>
      </c>
    </row>
    <row r="2609" spans="1:2" x14ac:dyDescent="0.25">
      <c r="A2609" s="52" t="s">
        <v>95</v>
      </c>
      <c r="B2609" s="90" t="s">
        <v>8201</v>
      </c>
    </row>
    <row r="2610" spans="1:2" x14ac:dyDescent="0.25">
      <c r="A2610" s="52" t="s">
        <v>95</v>
      </c>
      <c r="B2610" s="90" t="s">
        <v>8202</v>
      </c>
    </row>
    <row r="2611" spans="1:2" x14ac:dyDescent="0.25">
      <c r="A2611" s="52" t="s">
        <v>95</v>
      </c>
      <c r="B2611" s="90" t="s">
        <v>8203</v>
      </c>
    </row>
    <row r="2612" spans="1:2" x14ac:dyDescent="0.25">
      <c r="A2612" s="52" t="s">
        <v>95</v>
      </c>
      <c r="B2612" s="90" t="s">
        <v>8204</v>
      </c>
    </row>
    <row r="2613" spans="1:2" x14ac:dyDescent="0.25">
      <c r="A2613" s="52" t="s">
        <v>95</v>
      </c>
      <c r="B2613" s="90" t="s">
        <v>8205</v>
      </c>
    </row>
    <row r="2614" spans="1:2" x14ac:dyDescent="0.25">
      <c r="A2614" s="52" t="s">
        <v>95</v>
      </c>
      <c r="B2614" s="90" t="s">
        <v>8206</v>
      </c>
    </row>
    <row r="2615" spans="1:2" x14ac:dyDescent="0.25">
      <c r="A2615" s="52" t="s">
        <v>95</v>
      </c>
      <c r="B2615" s="90" t="s">
        <v>8207</v>
      </c>
    </row>
    <row r="2616" spans="1:2" x14ac:dyDescent="0.25">
      <c r="A2616" s="52" t="s">
        <v>95</v>
      </c>
      <c r="B2616" s="90" t="s">
        <v>8208</v>
      </c>
    </row>
    <row r="2617" spans="1:2" x14ac:dyDescent="0.25">
      <c r="A2617" s="52" t="s">
        <v>95</v>
      </c>
      <c r="B2617" s="90" t="s">
        <v>8209</v>
      </c>
    </row>
    <row r="2618" spans="1:2" x14ac:dyDescent="0.25">
      <c r="A2618" s="52" t="s">
        <v>95</v>
      </c>
      <c r="B2618" s="90" t="s">
        <v>8210</v>
      </c>
    </row>
    <row r="2619" spans="1:2" x14ac:dyDescent="0.25">
      <c r="A2619" s="52" t="s">
        <v>95</v>
      </c>
      <c r="B2619" s="90" t="s">
        <v>8211</v>
      </c>
    </row>
    <row r="2620" spans="1:2" x14ac:dyDescent="0.25">
      <c r="A2620" s="52" t="s">
        <v>95</v>
      </c>
      <c r="B2620" s="90" t="s">
        <v>8212</v>
      </c>
    </row>
    <row r="2621" spans="1:2" x14ac:dyDescent="0.25">
      <c r="A2621" s="52" t="s">
        <v>95</v>
      </c>
      <c r="B2621" s="90" t="s">
        <v>8213</v>
      </c>
    </row>
    <row r="2622" spans="1:2" x14ac:dyDescent="0.25">
      <c r="A2622" s="52" t="s">
        <v>95</v>
      </c>
      <c r="B2622" s="90" t="s">
        <v>8214</v>
      </c>
    </row>
    <row r="2623" spans="1:2" x14ac:dyDescent="0.25">
      <c r="A2623" s="52" t="s">
        <v>95</v>
      </c>
      <c r="B2623" s="90" t="s">
        <v>8215</v>
      </c>
    </row>
    <row r="2624" spans="1:2" x14ac:dyDescent="0.25">
      <c r="A2624" s="52" t="s">
        <v>95</v>
      </c>
      <c r="B2624" s="90" t="s">
        <v>8216</v>
      </c>
    </row>
    <row r="2625" spans="1:2" x14ac:dyDescent="0.25">
      <c r="A2625" s="52" t="s">
        <v>95</v>
      </c>
      <c r="B2625" s="90" t="s">
        <v>8217</v>
      </c>
    </row>
    <row r="2626" spans="1:2" x14ac:dyDescent="0.25">
      <c r="A2626" s="52" t="s">
        <v>95</v>
      </c>
      <c r="B2626" s="90" t="s">
        <v>8218</v>
      </c>
    </row>
    <row r="2627" spans="1:2" x14ac:dyDescent="0.25">
      <c r="A2627" s="52" t="s">
        <v>95</v>
      </c>
      <c r="B2627" s="90" t="s">
        <v>8219</v>
      </c>
    </row>
    <row r="2628" spans="1:2" x14ac:dyDescent="0.25">
      <c r="A2628" s="52" t="s">
        <v>95</v>
      </c>
      <c r="B2628" s="90" t="s">
        <v>8220</v>
      </c>
    </row>
    <row r="2629" spans="1:2" x14ac:dyDescent="0.25">
      <c r="A2629" s="52" t="s">
        <v>95</v>
      </c>
      <c r="B2629" s="90" t="s">
        <v>8221</v>
      </c>
    </row>
    <row r="2630" spans="1:2" x14ac:dyDescent="0.25">
      <c r="A2630" s="52" t="s">
        <v>95</v>
      </c>
      <c r="B2630" s="90" t="s">
        <v>8222</v>
      </c>
    </row>
    <row r="2631" spans="1:2" x14ac:dyDescent="0.25">
      <c r="A2631" s="52" t="s">
        <v>95</v>
      </c>
      <c r="B2631" s="90" t="s">
        <v>8223</v>
      </c>
    </row>
    <row r="2632" spans="1:2" x14ac:dyDescent="0.25">
      <c r="A2632" s="52" t="s">
        <v>95</v>
      </c>
      <c r="B2632" s="90" t="s">
        <v>8224</v>
      </c>
    </row>
    <row r="2633" spans="1:2" x14ac:dyDescent="0.25">
      <c r="A2633" s="52" t="s">
        <v>95</v>
      </c>
      <c r="B2633" s="90" t="s">
        <v>8225</v>
      </c>
    </row>
    <row r="2634" spans="1:2" x14ac:dyDescent="0.25">
      <c r="A2634" s="52" t="s">
        <v>95</v>
      </c>
      <c r="B2634" s="90" t="s">
        <v>8226</v>
      </c>
    </row>
    <row r="2635" spans="1:2" x14ac:dyDescent="0.25">
      <c r="A2635" s="52" t="s">
        <v>95</v>
      </c>
      <c r="B2635" s="90" t="s">
        <v>8227</v>
      </c>
    </row>
    <row r="2636" spans="1:2" x14ac:dyDescent="0.25">
      <c r="A2636" s="52" t="s">
        <v>95</v>
      </c>
      <c r="B2636" s="90" t="s">
        <v>8228</v>
      </c>
    </row>
    <row r="2637" spans="1:2" x14ac:dyDescent="0.25">
      <c r="A2637" s="52" t="s">
        <v>95</v>
      </c>
      <c r="B2637" s="90" t="s">
        <v>8229</v>
      </c>
    </row>
    <row r="2638" spans="1:2" x14ac:dyDescent="0.25">
      <c r="A2638" s="52" t="s">
        <v>95</v>
      </c>
      <c r="B2638" s="90" t="s">
        <v>8230</v>
      </c>
    </row>
    <row r="2639" spans="1:2" x14ac:dyDescent="0.25">
      <c r="A2639" s="52" t="s">
        <v>95</v>
      </c>
      <c r="B2639" s="90" t="s">
        <v>8231</v>
      </c>
    </row>
    <row r="2640" spans="1:2" x14ac:dyDescent="0.25">
      <c r="A2640" s="52" t="s">
        <v>95</v>
      </c>
      <c r="B2640" s="90" t="s">
        <v>8232</v>
      </c>
    </row>
    <row r="2641" spans="1:2" x14ac:dyDescent="0.25">
      <c r="A2641" s="52" t="s">
        <v>95</v>
      </c>
      <c r="B2641" s="90" t="s">
        <v>8233</v>
      </c>
    </row>
    <row r="2642" spans="1:2" x14ac:dyDescent="0.25">
      <c r="A2642" s="52" t="s">
        <v>95</v>
      </c>
      <c r="B2642" s="90" t="s">
        <v>8234</v>
      </c>
    </row>
    <row r="2643" spans="1:2" x14ac:dyDescent="0.25">
      <c r="A2643" s="52" t="s">
        <v>95</v>
      </c>
      <c r="B2643" s="90" t="s">
        <v>8235</v>
      </c>
    </row>
    <row r="2644" spans="1:2" x14ac:dyDescent="0.25">
      <c r="A2644" s="52" t="s">
        <v>95</v>
      </c>
      <c r="B2644" s="90" t="s">
        <v>8236</v>
      </c>
    </row>
    <row r="2645" spans="1:2" x14ac:dyDescent="0.25">
      <c r="A2645" s="52" t="s">
        <v>95</v>
      </c>
      <c r="B2645" s="90" t="s">
        <v>8237</v>
      </c>
    </row>
    <row r="2646" spans="1:2" x14ac:dyDescent="0.25">
      <c r="A2646" s="52" t="s">
        <v>95</v>
      </c>
      <c r="B2646" s="90" t="s">
        <v>8238</v>
      </c>
    </row>
    <row r="2647" spans="1:2" x14ac:dyDescent="0.25">
      <c r="A2647" s="52" t="s">
        <v>95</v>
      </c>
      <c r="B2647" s="90" t="s">
        <v>2351</v>
      </c>
    </row>
    <row r="2648" spans="1:2" x14ac:dyDescent="0.25">
      <c r="A2648" s="52" t="s">
        <v>95</v>
      </c>
      <c r="B2648" s="90" t="s">
        <v>8239</v>
      </c>
    </row>
    <row r="2649" spans="1:2" x14ac:dyDescent="0.25">
      <c r="A2649" s="52" t="s">
        <v>95</v>
      </c>
      <c r="B2649" s="90" t="s">
        <v>8240</v>
      </c>
    </row>
    <row r="2650" spans="1:2" x14ac:dyDescent="0.25">
      <c r="A2650" s="52" t="s">
        <v>95</v>
      </c>
      <c r="B2650" s="90" t="s">
        <v>8241</v>
      </c>
    </row>
    <row r="2651" spans="1:2" x14ac:dyDescent="0.25">
      <c r="A2651" s="52" t="s">
        <v>95</v>
      </c>
      <c r="B2651" s="90" t="s">
        <v>8242</v>
      </c>
    </row>
    <row r="2652" spans="1:2" x14ac:dyDescent="0.25">
      <c r="A2652" s="52" t="s">
        <v>95</v>
      </c>
      <c r="B2652" s="90" t="s">
        <v>8243</v>
      </c>
    </row>
    <row r="2653" spans="1:2" x14ac:dyDescent="0.25">
      <c r="A2653" s="52" t="s">
        <v>95</v>
      </c>
      <c r="B2653" s="90" t="s">
        <v>8244</v>
      </c>
    </row>
    <row r="2654" spans="1:2" x14ac:dyDescent="0.25">
      <c r="A2654" s="52" t="s">
        <v>95</v>
      </c>
      <c r="B2654" s="90" t="s">
        <v>8245</v>
      </c>
    </row>
    <row r="2655" spans="1:2" x14ac:dyDescent="0.25">
      <c r="A2655" s="52" t="s">
        <v>95</v>
      </c>
      <c r="B2655" s="90" t="s">
        <v>8246</v>
      </c>
    </row>
    <row r="2656" spans="1:2" x14ac:dyDescent="0.25">
      <c r="A2656" s="52" t="s">
        <v>95</v>
      </c>
      <c r="B2656" s="90" t="s">
        <v>8247</v>
      </c>
    </row>
    <row r="2657" spans="1:2" x14ac:dyDescent="0.25">
      <c r="A2657" s="52" t="s">
        <v>95</v>
      </c>
      <c r="B2657" s="90" t="s">
        <v>8248</v>
      </c>
    </row>
    <row r="2658" spans="1:2" x14ac:dyDescent="0.25">
      <c r="A2658" s="52" t="s">
        <v>95</v>
      </c>
      <c r="B2658" s="90" t="s">
        <v>8249</v>
      </c>
    </row>
    <row r="2659" spans="1:2" x14ac:dyDescent="0.25">
      <c r="A2659" s="52" t="s">
        <v>95</v>
      </c>
      <c r="B2659" s="90" t="s">
        <v>8250</v>
      </c>
    </row>
    <row r="2660" spans="1:2" x14ac:dyDescent="0.25">
      <c r="A2660" s="52" t="s">
        <v>95</v>
      </c>
      <c r="B2660" s="90" t="s">
        <v>8251</v>
      </c>
    </row>
    <row r="2661" spans="1:2" x14ac:dyDescent="0.25">
      <c r="A2661" s="52" t="s">
        <v>95</v>
      </c>
      <c r="B2661" s="90" t="s">
        <v>8252</v>
      </c>
    </row>
    <row r="2662" spans="1:2" x14ac:dyDescent="0.25">
      <c r="A2662" s="52" t="s">
        <v>95</v>
      </c>
      <c r="B2662" s="90" t="s">
        <v>8253</v>
      </c>
    </row>
    <row r="2663" spans="1:2" x14ac:dyDescent="0.25">
      <c r="A2663" s="52" t="s">
        <v>95</v>
      </c>
      <c r="B2663" s="90" t="s">
        <v>8254</v>
      </c>
    </row>
    <row r="2664" spans="1:2" x14ac:dyDescent="0.25">
      <c r="A2664" s="52" t="s">
        <v>95</v>
      </c>
      <c r="B2664" s="90" t="s">
        <v>8255</v>
      </c>
    </row>
    <row r="2665" spans="1:2" x14ac:dyDescent="0.25">
      <c r="A2665" s="52" t="s">
        <v>95</v>
      </c>
      <c r="B2665" s="90" t="s">
        <v>8256</v>
      </c>
    </row>
    <row r="2666" spans="1:2" x14ac:dyDescent="0.25">
      <c r="A2666" s="52" t="s">
        <v>95</v>
      </c>
      <c r="B2666" s="90" t="s">
        <v>8257</v>
      </c>
    </row>
    <row r="2667" spans="1:2" x14ac:dyDescent="0.25">
      <c r="A2667" s="52" t="s">
        <v>95</v>
      </c>
      <c r="B2667" s="90" t="s">
        <v>8258</v>
      </c>
    </row>
    <row r="2668" spans="1:2" x14ac:dyDescent="0.25">
      <c r="A2668" s="52" t="s">
        <v>95</v>
      </c>
      <c r="B2668" s="90" t="s">
        <v>8259</v>
      </c>
    </row>
    <row r="2669" spans="1:2" x14ac:dyDescent="0.25">
      <c r="A2669" s="52" t="s">
        <v>95</v>
      </c>
      <c r="B2669" s="90" t="s">
        <v>5787</v>
      </c>
    </row>
    <row r="2670" spans="1:2" x14ac:dyDescent="0.25">
      <c r="A2670" s="52" t="s">
        <v>95</v>
      </c>
      <c r="B2670" s="90" t="s">
        <v>8260</v>
      </c>
    </row>
    <row r="2671" spans="1:2" x14ac:dyDescent="0.25">
      <c r="A2671" s="52" t="s">
        <v>95</v>
      </c>
      <c r="B2671" s="90" t="s">
        <v>8260</v>
      </c>
    </row>
    <row r="2672" spans="1:2" x14ac:dyDescent="0.25">
      <c r="A2672" s="52" t="s">
        <v>95</v>
      </c>
      <c r="B2672" s="90" t="s">
        <v>8261</v>
      </c>
    </row>
    <row r="2673" spans="1:2" x14ac:dyDescent="0.25">
      <c r="A2673" s="52" t="s">
        <v>95</v>
      </c>
      <c r="B2673" s="90" t="s">
        <v>8262</v>
      </c>
    </row>
    <row r="2674" spans="1:2" x14ac:dyDescent="0.25">
      <c r="A2674" s="52" t="s">
        <v>95</v>
      </c>
      <c r="B2674" s="90" t="s">
        <v>8263</v>
      </c>
    </row>
    <row r="2675" spans="1:2" x14ac:dyDescent="0.25">
      <c r="A2675" s="52" t="s">
        <v>95</v>
      </c>
      <c r="B2675" s="90" t="s">
        <v>8264</v>
      </c>
    </row>
    <row r="2676" spans="1:2" x14ac:dyDescent="0.25">
      <c r="A2676" s="52" t="s">
        <v>95</v>
      </c>
      <c r="B2676" s="90" t="s">
        <v>8265</v>
      </c>
    </row>
    <row r="2677" spans="1:2" x14ac:dyDescent="0.25">
      <c r="A2677" s="52" t="s">
        <v>95</v>
      </c>
      <c r="B2677" s="90" t="s">
        <v>8266</v>
      </c>
    </row>
    <row r="2678" spans="1:2" x14ac:dyDescent="0.25">
      <c r="A2678" s="52" t="s">
        <v>95</v>
      </c>
      <c r="B2678" s="90" t="s">
        <v>8267</v>
      </c>
    </row>
    <row r="2679" spans="1:2" x14ac:dyDescent="0.25">
      <c r="A2679" s="52" t="s">
        <v>95</v>
      </c>
      <c r="B2679" s="90" t="s">
        <v>8267</v>
      </c>
    </row>
    <row r="2680" spans="1:2" x14ac:dyDescent="0.25">
      <c r="A2680" s="52" t="s">
        <v>95</v>
      </c>
      <c r="B2680" s="90" t="s">
        <v>8268</v>
      </c>
    </row>
    <row r="2681" spans="1:2" x14ac:dyDescent="0.25">
      <c r="A2681" s="52" t="s">
        <v>95</v>
      </c>
      <c r="B2681" s="90" t="s">
        <v>8269</v>
      </c>
    </row>
    <row r="2682" spans="1:2" x14ac:dyDescent="0.25">
      <c r="A2682" s="52" t="s">
        <v>95</v>
      </c>
      <c r="B2682" s="90" t="s">
        <v>8270</v>
      </c>
    </row>
    <row r="2683" spans="1:2" x14ac:dyDescent="0.25">
      <c r="A2683" s="52" t="s">
        <v>95</v>
      </c>
      <c r="B2683" s="90" t="s">
        <v>8271</v>
      </c>
    </row>
    <row r="2684" spans="1:2" x14ac:dyDescent="0.25">
      <c r="A2684" s="52" t="s">
        <v>95</v>
      </c>
      <c r="B2684" s="90" t="s">
        <v>8272</v>
      </c>
    </row>
    <row r="2685" spans="1:2" x14ac:dyDescent="0.25">
      <c r="A2685" s="52" t="s">
        <v>95</v>
      </c>
      <c r="B2685" s="90" t="s">
        <v>8273</v>
      </c>
    </row>
    <row r="2686" spans="1:2" x14ac:dyDescent="0.25">
      <c r="A2686" s="52" t="s">
        <v>95</v>
      </c>
      <c r="B2686" s="90" t="s">
        <v>8274</v>
      </c>
    </row>
    <row r="2687" spans="1:2" x14ac:dyDescent="0.25">
      <c r="A2687" s="52" t="s">
        <v>95</v>
      </c>
      <c r="B2687" s="90" t="s">
        <v>8275</v>
      </c>
    </row>
    <row r="2688" spans="1:2" x14ac:dyDescent="0.25">
      <c r="A2688" s="52" t="s">
        <v>95</v>
      </c>
      <c r="B2688" s="90" t="s">
        <v>8276</v>
      </c>
    </row>
    <row r="2689" spans="1:2" x14ac:dyDescent="0.25">
      <c r="A2689" s="52" t="s">
        <v>95</v>
      </c>
      <c r="B2689" s="90" t="s">
        <v>8277</v>
      </c>
    </row>
    <row r="2690" spans="1:2" x14ac:dyDescent="0.25">
      <c r="A2690" s="52" t="s">
        <v>95</v>
      </c>
      <c r="B2690" s="90" t="s">
        <v>8278</v>
      </c>
    </row>
    <row r="2691" spans="1:2" x14ac:dyDescent="0.25">
      <c r="A2691" s="52" t="s">
        <v>95</v>
      </c>
      <c r="B2691" s="90" t="s">
        <v>8279</v>
      </c>
    </row>
    <row r="2692" spans="1:2" x14ac:dyDescent="0.25">
      <c r="A2692" s="52" t="s">
        <v>95</v>
      </c>
      <c r="B2692" s="90" t="s">
        <v>8280</v>
      </c>
    </row>
    <row r="2693" spans="1:2" x14ac:dyDescent="0.25">
      <c r="A2693" s="52" t="s">
        <v>95</v>
      </c>
      <c r="B2693" s="90" t="s">
        <v>8281</v>
      </c>
    </row>
    <row r="2694" spans="1:2" x14ac:dyDescent="0.25">
      <c r="A2694" s="52" t="s">
        <v>95</v>
      </c>
      <c r="B2694" s="90" t="s">
        <v>8282</v>
      </c>
    </row>
    <row r="2695" spans="1:2" x14ac:dyDescent="0.25">
      <c r="A2695" s="52" t="s">
        <v>95</v>
      </c>
      <c r="B2695" s="90" t="s">
        <v>8283</v>
      </c>
    </row>
    <row r="2696" spans="1:2" x14ac:dyDescent="0.25">
      <c r="A2696" s="52" t="s">
        <v>95</v>
      </c>
      <c r="B2696" s="90" t="s">
        <v>8284</v>
      </c>
    </row>
    <row r="2697" spans="1:2" x14ac:dyDescent="0.25">
      <c r="A2697" s="52" t="s">
        <v>95</v>
      </c>
      <c r="B2697" s="90" t="s">
        <v>8285</v>
      </c>
    </row>
    <row r="2698" spans="1:2" x14ac:dyDescent="0.25">
      <c r="A2698" s="52" t="s">
        <v>95</v>
      </c>
      <c r="B2698" s="90" t="s">
        <v>8286</v>
      </c>
    </row>
    <row r="2699" spans="1:2" x14ac:dyDescent="0.25">
      <c r="A2699" s="52" t="s">
        <v>95</v>
      </c>
      <c r="B2699" s="90" t="s">
        <v>8287</v>
      </c>
    </row>
    <row r="2700" spans="1:2" x14ac:dyDescent="0.25">
      <c r="A2700" s="52" t="s">
        <v>95</v>
      </c>
      <c r="B2700" s="90" t="s">
        <v>8288</v>
      </c>
    </row>
    <row r="2701" spans="1:2" x14ac:dyDescent="0.25">
      <c r="A2701" s="52" t="s">
        <v>95</v>
      </c>
      <c r="B2701" s="90" t="s">
        <v>8289</v>
      </c>
    </row>
    <row r="2702" spans="1:2" x14ac:dyDescent="0.25">
      <c r="A2702" s="52" t="s">
        <v>95</v>
      </c>
      <c r="B2702" s="90" t="s">
        <v>8290</v>
      </c>
    </row>
    <row r="2703" spans="1:2" x14ac:dyDescent="0.25">
      <c r="A2703" s="52" t="s">
        <v>95</v>
      </c>
      <c r="B2703" s="90" t="s">
        <v>8291</v>
      </c>
    </row>
    <row r="2704" spans="1:2" x14ac:dyDescent="0.25">
      <c r="A2704" s="52" t="s">
        <v>95</v>
      </c>
      <c r="B2704" s="90" t="s">
        <v>8292</v>
      </c>
    </row>
    <row r="2705" spans="1:2" x14ac:dyDescent="0.25">
      <c r="A2705" s="52" t="s">
        <v>95</v>
      </c>
      <c r="B2705" s="90" t="s">
        <v>8293</v>
      </c>
    </row>
    <row r="2706" spans="1:2" x14ac:dyDescent="0.25">
      <c r="A2706" s="52" t="s">
        <v>95</v>
      </c>
      <c r="B2706" s="90" t="s">
        <v>8294</v>
      </c>
    </row>
    <row r="2707" spans="1:2" x14ac:dyDescent="0.25">
      <c r="A2707" s="52" t="s">
        <v>95</v>
      </c>
      <c r="B2707" s="90" t="s">
        <v>8295</v>
      </c>
    </row>
    <row r="2708" spans="1:2" x14ac:dyDescent="0.25">
      <c r="A2708" s="52" t="s">
        <v>95</v>
      </c>
      <c r="B2708" s="90" t="s">
        <v>8296</v>
      </c>
    </row>
    <row r="2709" spans="1:2" x14ac:dyDescent="0.25">
      <c r="A2709" s="52" t="s">
        <v>95</v>
      </c>
      <c r="B2709" s="90" t="s">
        <v>8297</v>
      </c>
    </row>
    <row r="2710" spans="1:2" x14ac:dyDescent="0.25">
      <c r="A2710" s="52" t="s">
        <v>95</v>
      </c>
      <c r="B2710" s="90" t="s">
        <v>8298</v>
      </c>
    </row>
    <row r="2711" spans="1:2" x14ac:dyDescent="0.25">
      <c r="A2711" s="52" t="s">
        <v>95</v>
      </c>
      <c r="B2711" s="90" t="s">
        <v>8299</v>
      </c>
    </row>
    <row r="2712" spans="1:2" x14ac:dyDescent="0.25">
      <c r="A2712" s="52" t="s">
        <v>95</v>
      </c>
      <c r="B2712" s="90" t="s">
        <v>8300</v>
      </c>
    </row>
    <row r="2713" spans="1:2" x14ac:dyDescent="0.25">
      <c r="A2713" s="52" t="s">
        <v>95</v>
      </c>
      <c r="B2713" s="90" t="s">
        <v>8301</v>
      </c>
    </row>
    <row r="2714" spans="1:2" x14ac:dyDescent="0.25">
      <c r="A2714" s="52" t="s">
        <v>95</v>
      </c>
      <c r="B2714" s="90" t="s">
        <v>8302</v>
      </c>
    </row>
    <row r="2715" spans="1:2" x14ac:dyDescent="0.25">
      <c r="A2715" s="52" t="s">
        <v>95</v>
      </c>
      <c r="B2715" s="90" t="s">
        <v>8303</v>
      </c>
    </row>
    <row r="2716" spans="1:2" x14ac:dyDescent="0.25">
      <c r="A2716" s="52" t="s">
        <v>95</v>
      </c>
      <c r="B2716" s="90" t="s">
        <v>8304</v>
      </c>
    </row>
    <row r="2717" spans="1:2" x14ac:dyDescent="0.25">
      <c r="A2717" s="52" t="s">
        <v>95</v>
      </c>
      <c r="B2717" s="90" t="s">
        <v>8305</v>
      </c>
    </row>
    <row r="2718" spans="1:2" x14ac:dyDescent="0.25">
      <c r="A2718" s="52" t="s">
        <v>95</v>
      </c>
      <c r="B2718" s="90" t="s">
        <v>8306</v>
      </c>
    </row>
    <row r="2719" spans="1:2" x14ac:dyDescent="0.25">
      <c r="A2719" s="52" t="s">
        <v>95</v>
      </c>
      <c r="B2719" s="90" t="s">
        <v>8306</v>
      </c>
    </row>
    <row r="2720" spans="1:2" x14ac:dyDescent="0.25">
      <c r="A2720" s="52" t="s">
        <v>95</v>
      </c>
      <c r="B2720" s="90" t="s">
        <v>8307</v>
      </c>
    </row>
    <row r="2721" spans="1:2" x14ac:dyDescent="0.25">
      <c r="A2721" s="52" t="s">
        <v>95</v>
      </c>
      <c r="B2721" s="90" t="s">
        <v>8308</v>
      </c>
    </row>
    <row r="2722" spans="1:2" x14ac:dyDescent="0.25">
      <c r="A2722" s="52" t="s">
        <v>95</v>
      </c>
      <c r="B2722" s="90" t="s">
        <v>8309</v>
      </c>
    </row>
    <row r="2723" spans="1:2" x14ac:dyDescent="0.25">
      <c r="A2723" s="52" t="s">
        <v>95</v>
      </c>
      <c r="B2723" s="90" t="s">
        <v>8309</v>
      </c>
    </row>
    <row r="2724" spans="1:2" x14ac:dyDescent="0.25">
      <c r="A2724" s="52" t="s">
        <v>95</v>
      </c>
      <c r="B2724" s="90" t="s">
        <v>8310</v>
      </c>
    </row>
    <row r="2725" spans="1:2" x14ac:dyDescent="0.25">
      <c r="A2725" s="52" t="s">
        <v>95</v>
      </c>
      <c r="B2725" s="90" t="s">
        <v>8311</v>
      </c>
    </row>
    <row r="2726" spans="1:2" x14ac:dyDescent="0.25">
      <c r="A2726" s="52" t="s">
        <v>95</v>
      </c>
      <c r="B2726" s="90" t="s">
        <v>8312</v>
      </c>
    </row>
    <row r="2727" spans="1:2" x14ac:dyDescent="0.25">
      <c r="A2727" s="52" t="s">
        <v>95</v>
      </c>
      <c r="B2727" s="90" t="s">
        <v>8313</v>
      </c>
    </row>
    <row r="2728" spans="1:2" x14ac:dyDescent="0.25">
      <c r="A2728" s="52" t="s">
        <v>95</v>
      </c>
      <c r="B2728" s="90" t="s">
        <v>8314</v>
      </c>
    </row>
    <row r="2729" spans="1:2" x14ac:dyDescent="0.25">
      <c r="A2729" s="52" t="s">
        <v>95</v>
      </c>
      <c r="B2729" s="90" t="s">
        <v>8314</v>
      </c>
    </row>
    <row r="2730" spans="1:2" x14ac:dyDescent="0.25">
      <c r="A2730" s="52" t="s">
        <v>95</v>
      </c>
      <c r="B2730" s="90" t="s">
        <v>8314</v>
      </c>
    </row>
    <row r="2731" spans="1:2" x14ac:dyDescent="0.25">
      <c r="A2731" s="52" t="s">
        <v>95</v>
      </c>
      <c r="B2731" s="90" t="s">
        <v>8315</v>
      </c>
    </row>
    <row r="2732" spans="1:2" x14ac:dyDescent="0.25">
      <c r="A2732" s="52" t="s">
        <v>95</v>
      </c>
      <c r="B2732" s="90" t="s">
        <v>8316</v>
      </c>
    </row>
    <row r="2733" spans="1:2" x14ac:dyDescent="0.25">
      <c r="A2733" s="52" t="s">
        <v>95</v>
      </c>
      <c r="B2733" s="90" t="s">
        <v>8317</v>
      </c>
    </row>
    <row r="2734" spans="1:2" x14ac:dyDescent="0.25">
      <c r="A2734" s="52" t="s">
        <v>95</v>
      </c>
      <c r="B2734" s="90" t="s">
        <v>8318</v>
      </c>
    </row>
    <row r="2735" spans="1:2" x14ac:dyDescent="0.25">
      <c r="A2735" s="52" t="s">
        <v>95</v>
      </c>
      <c r="B2735" s="90" t="s">
        <v>8319</v>
      </c>
    </row>
    <row r="2736" spans="1:2" x14ac:dyDescent="0.25">
      <c r="A2736" s="52" t="s">
        <v>95</v>
      </c>
      <c r="B2736" s="90" t="s">
        <v>8320</v>
      </c>
    </row>
    <row r="2737" spans="1:2" x14ac:dyDescent="0.25">
      <c r="A2737" s="52" t="s">
        <v>95</v>
      </c>
      <c r="B2737" s="90" t="s">
        <v>8321</v>
      </c>
    </row>
    <row r="2738" spans="1:2" x14ac:dyDescent="0.25">
      <c r="A2738" s="52" t="s">
        <v>95</v>
      </c>
      <c r="B2738" s="90" t="s">
        <v>8322</v>
      </c>
    </row>
    <row r="2739" spans="1:2" x14ac:dyDescent="0.25">
      <c r="A2739" s="52" t="s">
        <v>95</v>
      </c>
      <c r="B2739" s="90" t="s">
        <v>8323</v>
      </c>
    </row>
    <row r="2740" spans="1:2" x14ac:dyDescent="0.25">
      <c r="A2740" s="52" t="s">
        <v>95</v>
      </c>
      <c r="B2740" s="90" t="s">
        <v>8324</v>
      </c>
    </row>
    <row r="2741" spans="1:2" x14ac:dyDescent="0.25">
      <c r="A2741" s="52" t="s">
        <v>95</v>
      </c>
      <c r="B2741" s="90" t="s">
        <v>8325</v>
      </c>
    </row>
    <row r="2742" spans="1:2" x14ac:dyDescent="0.25">
      <c r="A2742" s="52" t="s">
        <v>95</v>
      </c>
      <c r="B2742" s="90" t="s">
        <v>8326</v>
      </c>
    </row>
    <row r="2743" spans="1:2" x14ac:dyDescent="0.25">
      <c r="A2743" s="52" t="s">
        <v>95</v>
      </c>
      <c r="B2743" s="90" t="s">
        <v>451</v>
      </c>
    </row>
    <row r="2744" spans="1:2" x14ac:dyDescent="0.25">
      <c r="A2744" s="52" t="s">
        <v>95</v>
      </c>
      <c r="B2744" s="90" t="s">
        <v>8327</v>
      </c>
    </row>
    <row r="2745" spans="1:2" x14ac:dyDescent="0.25">
      <c r="A2745" s="52" t="s">
        <v>95</v>
      </c>
      <c r="B2745" s="90" t="s">
        <v>8328</v>
      </c>
    </row>
    <row r="2746" spans="1:2" x14ac:dyDescent="0.25">
      <c r="A2746" s="52" t="s">
        <v>95</v>
      </c>
      <c r="B2746" s="90" t="s">
        <v>8329</v>
      </c>
    </row>
    <row r="2747" spans="1:2" x14ac:dyDescent="0.25">
      <c r="A2747" s="52" t="s">
        <v>95</v>
      </c>
      <c r="B2747" s="90" t="s">
        <v>8330</v>
      </c>
    </row>
    <row r="2748" spans="1:2" x14ac:dyDescent="0.25">
      <c r="A2748" s="52" t="s">
        <v>95</v>
      </c>
      <c r="B2748" s="90" t="s">
        <v>8331</v>
      </c>
    </row>
    <row r="2749" spans="1:2" x14ac:dyDescent="0.25">
      <c r="A2749" s="52" t="s">
        <v>95</v>
      </c>
      <c r="B2749" s="90" t="s">
        <v>8332</v>
      </c>
    </row>
    <row r="2750" spans="1:2" x14ac:dyDescent="0.25">
      <c r="A2750" s="52" t="s">
        <v>95</v>
      </c>
      <c r="B2750" s="90" t="s">
        <v>8333</v>
      </c>
    </row>
    <row r="2751" spans="1:2" x14ac:dyDescent="0.25">
      <c r="A2751" s="52" t="s">
        <v>95</v>
      </c>
      <c r="B2751" s="90" t="s">
        <v>8334</v>
      </c>
    </row>
    <row r="2752" spans="1:2" x14ac:dyDescent="0.25">
      <c r="A2752" s="52" t="s">
        <v>95</v>
      </c>
      <c r="B2752" s="90" t="s">
        <v>8335</v>
      </c>
    </row>
    <row r="2753" spans="1:2" x14ac:dyDescent="0.25">
      <c r="A2753" s="52" t="s">
        <v>95</v>
      </c>
      <c r="B2753" s="90" t="s">
        <v>8336</v>
      </c>
    </row>
    <row r="2754" spans="1:2" x14ac:dyDescent="0.25">
      <c r="A2754" s="52" t="s">
        <v>95</v>
      </c>
      <c r="B2754" s="90" t="s">
        <v>8337</v>
      </c>
    </row>
    <row r="2755" spans="1:2" x14ac:dyDescent="0.25">
      <c r="A2755" s="52" t="s">
        <v>95</v>
      </c>
      <c r="B2755" s="90" t="s">
        <v>8338</v>
      </c>
    </row>
    <row r="2756" spans="1:2" x14ac:dyDescent="0.25">
      <c r="A2756" s="52" t="s">
        <v>95</v>
      </c>
      <c r="B2756" s="90" t="s">
        <v>8339</v>
      </c>
    </row>
    <row r="2757" spans="1:2" x14ac:dyDescent="0.25">
      <c r="A2757" s="52" t="s">
        <v>95</v>
      </c>
      <c r="B2757" s="90" t="s">
        <v>8340</v>
      </c>
    </row>
    <row r="2758" spans="1:2" x14ac:dyDescent="0.25">
      <c r="A2758" s="52" t="s">
        <v>95</v>
      </c>
      <c r="B2758" s="90" t="s">
        <v>8341</v>
      </c>
    </row>
    <row r="2759" spans="1:2" x14ac:dyDescent="0.25">
      <c r="A2759" s="52" t="s">
        <v>95</v>
      </c>
      <c r="B2759" s="90" t="s">
        <v>8342</v>
      </c>
    </row>
    <row r="2760" spans="1:2" x14ac:dyDescent="0.25">
      <c r="A2760" s="52" t="s">
        <v>95</v>
      </c>
      <c r="B2760" s="90" t="s">
        <v>8343</v>
      </c>
    </row>
    <row r="2761" spans="1:2" x14ac:dyDescent="0.25">
      <c r="A2761" s="52" t="s">
        <v>95</v>
      </c>
      <c r="B2761" s="90" t="s">
        <v>8344</v>
      </c>
    </row>
    <row r="2762" spans="1:2" x14ac:dyDescent="0.25">
      <c r="A2762" s="52" t="s">
        <v>95</v>
      </c>
      <c r="B2762" s="90" t="s">
        <v>8345</v>
      </c>
    </row>
    <row r="2763" spans="1:2" x14ac:dyDescent="0.25">
      <c r="A2763" s="52" t="s">
        <v>95</v>
      </c>
      <c r="B2763" s="90" t="s">
        <v>8346</v>
      </c>
    </row>
    <row r="2764" spans="1:2" x14ac:dyDescent="0.25">
      <c r="A2764" s="52" t="s">
        <v>95</v>
      </c>
      <c r="B2764" s="90" t="s">
        <v>8347</v>
      </c>
    </row>
    <row r="2765" spans="1:2" x14ac:dyDescent="0.25">
      <c r="A2765" s="52" t="s">
        <v>95</v>
      </c>
      <c r="B2765" s="90" t="s">
        <v>8348</v>
      </c>
    </row>
    <row r="2766" spans="1:2" x14ac:dyDescent="0.25">
      <c r="A2766" s="52" t="s">
        <v>95</v>
      </c>
      <c r="B2766" s="90" t="s">
        <v>8349</v>
      </c>
    </row>
    <row r="2767" spans="1:2" x14ac:dyDescent="0.25">
      <c r="A2767" s="52" t="s">
        <v>95</v>
      </c>
      <c r="B2767" s="90" t="s">
        <v>8350</v>
      </c>
    </row>
    <row r="2768" spans="1:2" x14ac:dyDescent="0.25">
      <c r="A2768" s="52" t="s">
        <v>95</v>
      </c>
      <c r="B2768" s="90" t="s">
        <v>8351</v>
      </c>
    </row>
    <row r="2769" spans="1:2" x14ac:dyDescent="0.25">
      <c r="A2769" s="52" t="s">
        <v>95</v>
      </c>
      <c r="B2769" s="90" t="s">
        <v>8352</v>
      </c>
    </row>
    <row r="2770" spans="1:2" x14ac:dyDescent="0.25">
      <c r="A2770" s="52" t="s">
        <v>95</v>
      </c>
      <c r="B2770" s="90" t="s">
        <v>8353</v>
      </c>
    </row>
    <row r="2771" spans="1:2" x14ac:dyDescent="0.25">
      <c r="A2771" s="52" t="s">
        <v>95</v>
      </c>
      <c r="B2771" s="90" t="s">
        <v>8354</v>
      </c>
    </row>
    <row r="2772" spans="1:2" x14ac:dyDescent="0.25">
      <c r="A2772" s="52" t="s">
        <v>95</v>
      </c>
      <c r="B2772" s="90" t="s">
        <v>8355</v>
      </c>
    </row>
    <row r="2773" spans="1:2" x14ac:dyDescent="0.25">
      <c r="A2773" s="52" t="s">
        <v>95</v>
      </c>
      <c r="B2773" s="90" t="s">
        <v>8356</v>
      </c>
    </row>
    <row r="2774" spans="1:2" x14ac:dyDescent="0.25">
      <c r="A2774" s="52" t="s">
        <v>95</v>
      </c>
      <c r="B2774" s="90" t="s">
        <v>8357</v>
      </c>
    </row>
    <row r="2775" spans="1:2" x14ac:dyDescent="0.25">
      <c r="A2775" s="52" t="s">
        <v>95</v>
      </c>
      <c r="B2775" s="90" t="s">
        <v>8358</v>
      </c>
    </row>
    <row r="2776" spans="1:2" x14ac:dyDescent="0.25">
      <c r="A2776" s="52" t="s">
        <v>95</v>
      </c>
      <c r="B2776" s="90" t="s">
        <v>8359</v>
      </c>
    </row>
    <row r="2777" spans="1:2" x14ac:dyDescent="0.25">
      <c r="A2777" s="52" t="s">
        <v>95</v>
      </c>
      <c r="B2777" s="90" t="s">
        <v>8360</v>
      </c>
    </row>
    <row r="2778" spans="1:2" x14ac:dyDescent="0.25">
      <c r="A2778" s="52" t="s">
        <v>95</v>
      </c>
      <c r="B2778" s="90" t="s">
        <v>8361</v>
      </c>
    </row>
    <row r="2779" spans="1:2" x14ac:dyDescent="0.25">
      <c r="A2779" s="52" t="s">
        <v>95</v>
      </c>
      <c r="B2779" s="90" t="s">
        <v>8362</v>
      </c>
    </row>
    <row r="2780" spans="1:2" x14ac:dyDescent="0.25">
      <c r="A2780" s="52" t="s">
        <v>95</v>
      </c>
      <c r="B2780" s="90" t="s">
        <v>8363</v>
      </c>
    </row>
    <row r="2781" spans="1:2" x14ac:dyDescent="0.25">
      <c r="A2781" s="52" t="s">
        <v>95</v>
      </c>
      <c r="B2781" s="90" t="s">
        <v>8364</v>
      </c>
    </row>
    <row r="2782" spans="1:2" x14ac:dyDescent="0.25">
      <c r="A2782" s="52" t="s">
        <v>95</v>
      </c>
      <c r="B2782" s="90" t="s">
        <v>8365</v>
      </c>
    </row>
    <row r="2783" spans="1:2" x14ac:dyDescent="0.25">
      <c r="A2783" s="52" t="s">
        <v>95</v>
      </c>
      <c r="B2783" s="90" t="s">
        <v>8366</v>
      </c>
    </row>
    <row r="2784" spans="1:2" x14ac:dyDescent="0.25">
      <c r="A2784" s="52" t="s">
        <v>95</v>
      </c>
      <c r="B2784" s="90" t="s">
        <v>8367</v>
      </c>
    </row>
    <row r="2785" spans="1:2" x14ac:dyDescent="0.25">
      <c r="A2785" s="52" t="s">
        <v>95</v>
      </c>
      <c r="B2785" s="90" t="s">
        <v>8368</v>
      </c>
    </row>
    <row r="2786" spans="1:2" x14ac:dyDescent="0.25">
      <c r="A2786" s="52" t="s">
        <v>95</v>
      </c>
      <c r="B2786" s="90" t="s">
        <v>8369</v>
      </c>
    </row>
    <row r="2787" spans="1:2" x14ac:dyDescent="0.25">
      <c r="A2787" s="52" t="s">
        <v>95</v>
      </c>
      <c r="B2787" s="90" t="s">
        <v>8370</v>
      </c>
    </row>
    <row r="2788" spans="1:2" x14ac:dyDescent="0.25">
      <c r="A2788" s="52" t="s">
        <v>95</v>
      </c>
      <c r="B2788" s="90" t="s">
        <v>8371</v>
      </c>
    </row>
    <row r="2789" spans="1:2" x14ac:dyDescent="0.25">
      <c r="A2789" s="52" t="s">
        <v>95</v>
      </c>
      <c r="B2789" s="90" t="s">
        <v>8372</v>
      </c>
    </row>
    <row r="2790" spans="1:2" x14ac:dyDescent="0.25">
      <c r="A2790" s="52" t="s">
        <v>95</v>
      </c>
      <c r="B2790" s="90" t="s">
        <v>8373</v>
      </c>
    </row>
    <row r="2791" spans="1:2" x14ac:dyDescent="0.25">
      <c r="A2791" s="52" t="s">
        <v>95</v>
      </c>
      <c r="B2791" s="90" t="s">
        <v>8374</v>
      </c>
    </row>
    <row r="2792" spans="1:2" x14ac:dyDescent="0.25">
      <c r="A2792" s="52" t="s">
        <v>95</v>
      </c>
      <c r="B2792" s="90" t="s">
        <v>8375</v>
      </c>
    </row>
    <row r="2793" spans="1:2" x14ac:dyDescent="0.25">
      <c r="A2793" s="52" t="s">
        <v>95</v>
      </c>
      <c r="B2793" s="90" t="s">
        <v>8376</v>
      </c>
    </row>
    <row r="2794" spans="1:2" x14ac:dyDescent="0.25">
      <c r="A2794" s="52" t="s">
        <v>95</v>
      </c>
      <c r="B2794" s="90" t="s">
        <v>8377</v>
      </c>
    </row>
    <row r="2795" spans="1:2" x14ac:dyDescent="0.25">
      <c r="A2795" s="52" t="s">
        <v>95</v>
      </c>
      <c r="B2795" s="90" t="s">
        <v>8378</v>
      </c>
    </row>
    <row r="2796" spans="1:2" x14ac:dyDescent="0.25">
      <c r="A2796" s="52" t="s">
        <v>95</v>
      </c>
      <c r="B2796" s="90" t="s">
        <v>8379</v>
      </c>
    </row>
    <row r="2797" spans="1:2" x14ac:dyDescent="0.25">
      <c r="A2797" s="52" t="s">
        <v>95</v>
      </c>
      <c r="B2797" s="90" t="s">
        <v>8380</v>
      </c>
    </row>
    <row r="2798" spans="1:2" x14ac:dyDescent="0.25">
      <c r="A2798" s="52" t="s">
        <v>95</v>
      </c>
      <c r="B2798" s="90" t="s">
        <v>8381</v>
      </c>
    </row>
    <row r="2799" spans="1:2" x14ac:dyDescent="0.25">
      <c r="A2799" s="52" t="s">
        <v>95</v>
      </c>
      <c r="B2799" s="90" t="s">
        <v>8382</v>
      </c>
    </row>
    <row r="2800" spans="1:2" x14ac:dyDescent="0.25">
      <c r="A2800" s="52" t="s">
        <v>95</v>
      </c>
      <c r="B2800" s="90" t="s">
        <v>8383</v>
      </c>
    </row>
    <row r="2801" spans="1:2" x14ac:dyDescent="0.25">
      <c r="A2801" s="52" t="s">
        <v>95</v>
      </c>
      <c r="B2801" s="90" t="s">
        <v>8384</v>
      </c>
    </row>
    <row r="2802" spans="1:2" x14ac:dyDescent="0.25">
      <c r="A2802" s="52" t="s">
        <v>95</v>
      </c>
      <c r="B2802" s="90" t="s">
        <v>8385</v>
      </c>
    </row>
    <row r="2803" spans="1:2" x14ac:dyDescent="0.25">
      <c r="A2803" s="52" t="s">
        <v>95</v>
      </c>
      <c r="B2803" s="90" t="s">
        <v>8386</v>
      </c>
    </row>
    <row r="2804" spans="1:2" x14ac:dyDescent="0.25">
      <c r="A2804" s="52" t="s">
        <v>95</v>
      </c>
      <c r="B2804" s="90" t="s">
        <v>8387</v>
      </c>
    </row>
    <row r="2805" spans="1:2" x14ac:dyDescent="0.25">
      <c r="A2805" s="52" t="s">
        <v>95</v>
      </c>
      <c r="B2805" s="90" t="s">
        <v>8388</v>
      </c>
    </row>
    <row r="2806" spans="1:2" x14ac:dyDescent="0.25">
      <c r="A2806" s="52" t="s">
        <v>95</v>
      </c>
      <c r="B2806" s="90" t="s">
        <v>8389</v>
      </c>
    </row>
    <row r="2807" spans="1:2" x14ac:dyDescent="0.25">
      <c r="A2807" s="52" t="s">
        <v>95</v>
      </c>
      <c r="B2807" s="90" t="s">
        <v>8390</v>
      </c>
    </row>
    <row r="2808" spans="1:2" x14ac:dyDescent="0.25">
      <c r="A2808" s="52" t="s">
        <v>95</v>
      </c>
      <c r="B2808" s="90" t="s">
        <v>8391</v>
      </c>
    </row>
    <row r="2809" spans="1:2" x14ac:dyDescent="0.25">
      <c r="A2809" s="52" t="s">
        <v>95</v>
      </c>
      <c r="B2809" s="90" t="s">
        <v>8392</v>
      </c>
    </row>
    <row r="2810" spans="1:2" x14ac:dyDescent="0.25">
      <c r="A2810" s="52" t="s">
        <v>95</v>
      </c>
      <c r="B2810" s="90" t="s">
        <v>8393</v>
      </c>
    </row>
    <row r="2811" spans="1:2" x14ac:dyDescent="0.25">
      <c r="A2811" s="52" t="s">
        <v>95</v>
      </c>
      <c r="B2811" s="90" t="s">
        <v>8394</v>
      </c>
    </row>
    <row r="2812" spans="1:2" x14ac:dyDescent="0.25">
      <c r="A2812" s="52" t="s">
        <v>95</v>
      </c>
      <c r="B2812" s="90" t="s">
        <v>8395</v>
      </c>
    </row>
    <row r="2813" spans="1:2" x14ac:dyDescent="0.25">
      <c r="A2813" s="52" t="s">
        <v>95</v>
      </c>
      <c r="B2813" s="90" t="s">
        <v>8396</v>
      </c>
    </row>
    <row r="2814" spans="1:2" x14ac:dyDescent="0.25">
      <c r="A2814" s="52" t="s">
        <v>95</v>
      </c>
      <c r="B2814" s="90" t="s">
        <v>8397</v>
      </c>
    </row>
    <row r="2815" spans="1:2" x14ac:dyDescent="0.25">
      <c r="A2815" s="52" t="s">
        <v>95</v>
      </c>
      <c r="B2815" s="90" t="s">
        <v>8398</v>
      </c>
    </row>
    <row r="2816" spans="1:2" x14ac:dyDescent="0.25">
      <c r="A2816" s="52" t="s">
        <v>95</v>
      </c>
      <c r="B2816" s="90" t="s">
        <v>8399</v>
      </c>
    </row>
    <row r="2817" spans="1:2" x14ac:dyDescent="0.25">
      <c r="A2817" s="52" t="s">
        <v>95</v>
      </c>
      <c r="B2817" s="90" t="s">
        <v>8400</v>
      </c>
    </row>
    <row r="2818" spans="1:2" x14ac:dyDescent="0.25">
      <c r="A2818" s="52" t="s">
        <v>95</v>
      </c>
      <c r="B2818" s="90" t="s">
        <v>8401</v>
      </c>
    </row>
    <row r="2819" spans="1:2" x14ac:dyDescent="0.25">
      <c r="A2819" s="52" t="s">
        <v>95</v>
      </c>
      <c r="B2819" s="90" t="s">
        <v>8402</v>
      </c>
    </row>
    <row r="2820" spans="1:2" x14ac:dyDescent="0.25">
      <c r="A2820" s="52" t="s">
        <v>95</v>
      </c>
      <c r="B2820" s="90" t="s">
        <v>8403</v>
      </c>
    </row>
    <row r="2821" spans="1:2" x14ac:dyDescent="0.25">
      <c r="A2821" s="52" t="s">
        <v>95</v>
      </c>
      <c r="B2821" s="90" t="s">
        <v>8404</v>
      </c>
    </row>
    <row r="2822" spans="1:2" x14ac:dyDescent="0.25">
      <c r="A2822" s="52" t="s">
        <v>95</v>
      </c>
      <c r="B2822" s="90" t="s">
        <v>8405</v>
      </c>
    </row>
    <row r="2823" spans="1:2" x14ac:dyDescent="0.25">
      <c r="A2823" s="52" t="s">
        <v>95</v>
      </c>
      <c r="B2823" s="90" t="s">
        <v>8406</v>
      </c>
    </row>
    <row r="2824" spans="1:2" x14ac:dyDescent="0.25">
      <c r="A2824" s="52" t="s">
        <v>95</v>
      </c>
      <c r="B2824" s="90" t="s">
        <v>8407</v>
      </c>
    </row>
    <row r="2825" spans="1:2" x14ac:dyDescent="0.25">
      <c r="A2825" s="52" t="s">
        <v>95</v>
      </c>
      <c r="B2825" s="90" t="s">
        <v>8408</v>
      </c>
    </row>
    <row r="2826" spans="1:2" x14ac:dyDescent="0.25">
      <c r="A2826" s="52" t="s">
        <v>95</v>
      </c>
      <c r="B2826" s="90" t="s">
        <v>8409</v>
      </c>
    </row>
    <row r="2827" spans="1:2" x14ac:dyDescent="0.25">
      <c r="A2827" s="52" t="s">
        <v>95</v>
      </c>
      <c r="B2827" s="90" t="s">
        <v>8410</v>
      </c>
    </row>
    <row r="2828" spans="1:2" x14ac:dyDescent="0.25">
      <c r="A2828" s="52" t="s">
        <v>95</v>
      </c>
      <c r="B2828" s="90" t="s">
        <v>8411</v>
      </c>
    </row>
    <row r="2829" spans="1:2" x14ac:dyDescent="0.25">
      <c r="A2829" s="52" t="s">
        <v>95</v>
      </c>
      <c r="B2829" s="90" t="s">
        <v>8412</v>
      </c>
    </row>
    <row r="2830" spans="1:2" x14ac:dyDescent="0.25">
      <c r="A2830" s="52" t="s">
        <v>95</v>
      </c>
      <c r="B2830" s="90" t="s">
        <v>8413</v>
      </c>
    </row>
    <row r="2831" spans="1:2" x14ac:dyDescent="0.25">
      <c r="A2831" s="52" t="s">
        <v>95</v>
      </c>
      <c r="B2831" s="90" t="s">
        <v>8414</v>
      </c>
    </row>
    <row r="2832" spans="1:2" x14ac:dyDescent="0.25">
      <c r="A2832" s="52" t="s">
        <v>95</v>
      </c>
      <c r="B2832" s="90" t="s">
        <v>8415</v>
      </c>
    </row>
    <row r="2833" spans="1:2" x14ac:dyDescent="0.25">
      <c r="A2833" s="52" t="s">
        <v>95</v>
      </c>
      <c r="B2833" s="90" t="s">
        <v>8416</v>
      </c>
    </row>
    <row r="2834" spans="1:2" x14ac:dyDescent="0.25">
      <c r="A2834" s="52" t="s">
        <v>95</v>
      </c>
      <c r="B2834" s="90" t="s">
        <v>8417</v>
      </c>
    </row>
    <row r="2835" spans="1:2" x14ac:dyDescent="0.25">
      <c r="A2835" s="52" t="s">
        <v>95</v>
      </c>
      <c r="B2835" s="90" t="s">
        <v>8418</v>
      </c>
    </row>
    <row r="2836" spans="1:2" x14ac:dyDescent="0.25">
      <c r="A2836" s="52" t="s">
        <v>95</v>
      </c>
      <c r="B2836" s="90" t="s">
        <v>8419</v>
      </c>
    </row>
    <row r="2837" spans="1:2" x14ac:dyDescent="0.25">
      <c r="A2837" s="52" t="s">
        <v>95</v>
      </c>
      <c r="B2837" s="90" t="s">
        <v>8420</v>
      </c>
    </row>
    <row r="2838" spans="1:2" x14ac:dyDescent="0.25">
      <c r="A2838" s="52" t="s">
        <v>95</v>
      </c>
      <c r="B2838" s="90" t="s">
        <v>8421</v>
      </c>
    </row>
    <row r="2839" spans="1:2" x14ac:dyDescent="0.25">
      <c r="A2839" s="52" t="s">
        <v>95</v>
      </c>
      <c r="B2839" s="90" t="s">
        <v>8422</v>
      </c>
    </row>
    <row r="2840" spans="1:2" x14ac:dyDescent="0.25">
      <c r="A2840" s="52" t="s">
        <v>95</v>
      </c>
      <c r="B2840" s="90" t="s">
        <v>8423</v>
      </c>
    </row>
    <row r="2841" spans="1:2" x14ac:dyDescent="0.25">
      <c r="A2841" s="52" t="s">
        <v>95</v>
      </c>
      <c r="B2841" s="90" t="s">
        <v>8424</v>
      </c>
    </row>
    <row r="2842" spans="1:2" x14ac:dyDescent="0.25">
      <c r="A2842" s="52" t="s">
        <v>95</v>
      </c>
      <c r="B2842" s="90" t="s">
        <v>8425</v>
      </c>
    </row>
    <row r="2843" spans="1:2" x14ac:dyDescent="0.25">
      <c r="A2843" s="52" t="s">
        <v>95</v>
      </c>
      <c r="B2843" s="90" t="s">
        <v>8426</v>
      </c>
    </row>
    <row r="2844" spans="1:2" x14ac:dyDescent="0.25">
      <c r="A2844" s="52" t="s">
        <v>95</v>
      </c>
      <c r="B2844" s="90" t="s">
        <v>8427</v>
      </c>
    </row>
    <row r="2845" spans="1:2" x14ac:dyDescent="0.25">
      <c r="A2845" s="52" t="s">
        <v>95</v>
      </c>
      <c r="B2845" s="90" t="s">
        <v>8428</v>
      </c>
    </row>
    <row r="2846" spans="1:2" x14ac:dyDescent="0.25">
      <c r="A2846" s="52" t="s">
        <v>95</v>
      </c>
      <c r="B2846" s="90" t="s">
        <v>8429</v>
      </c>
    </row>
    <row r="2847" spans="1:2" x14ac:dyDescent="0.25">
      <c r="A2847" s="52" t="s">
        <v>95</v>
      </c>
      <c r="B2847" s="90" t="s">
        <v>8430</v>
      </c>
    </row>
    <row r="2848" spans="1:2" x14ac:dyDescent="0.25">
      <c r="A2848" s="52" t="s">
        <v>95</v>
      </c>
      <c r="B2848" s="90" t="s">
        <v>8431</v>
      </c>
    </row>
    <row r="2849" spans="1:2" x14ac:dyDescent="0.25">
      <c r="A2849" s="52" t="s">
        <v>95</v>
      </c>
      <c r="B2849" s="90" t="s">
        <v>8432</v>
      </c>
    </row>
    <row r="2850" spans="1:2" x14ac:dyDescent="0.25">
      <c r="A2850" s="52" t="s">
        <v>95</v>
      </c>
      <c r="B2850" s="90" t="s">
        <v>8433</v>
      </c>
    </row>
    <row r="2851" spans="1:2" x14ac:dyDescent="0.25">
      <c r="A2851" s="52" t="s">
        <v>95</v>
      </c>
      <c r="B2851" s="90" t="s">
        <v>8434</v>
      </c>
    </row>
    <row r="2852" spans="1:2" x14ac:dyDescent="0.25">
      <c r="A2852" s="52" t="s">
        <v>95</v>
      </c>
      <c r="B2852" s="90" t="s">
        <v>8435</v>
      </c>
    </row>
    <row r="2853" spans="1:2" x14ac:dyDescent="0.25">
      <c r="A2853" s="52" t="s">
        <v>95</v>
      </c>
      <c r="B2853" s="90" t="s">
        <v>8436</v>
      </c>
    </row>
    <row r="2854" spans="1:2" x14ac:dyDescent="0.25">
      <c r="A2854" s="52" t="s">
        <v>95</v>
      </c>
      <c r="B2854" s="90" t="s">
        <v>8437</v>
      </c>
    </row>
    <row r="2855" spans="1:2" x14ac:dyDescent="0.25">
      <c r="A2855" s="52" t="s">
        <v>95</v>
      </c>
      <c r="B2855" s="90" t="s">
        <v>8438</v>
      </c>
    </row>
    <row r="2856" spans="1:2" x14ac:dyDescent="0.25">
      <c r="A2856" s="52" t="s">
        <v>95</v>
      </c>
      <c r="B2856" s="90" t="s">
        <v>8439</v>
      </c>
    </row>
    <row r="2857" spans="1:2" x14ac:dyDescent="0.25">
      <c r="A2857" s="52" t="s">
        <v>95</v>
      </c>
      <c r="B2857" s="90" t="s">
        <v>8440</v>
      </c>
    </row>
    <row r="2858" spans="1:2" x14ac:dyDescent="0.25">
      <c r="A2858" s="52" t="s">
        <v>95</v>
      </c>
      <c r="B2858" s="90" t="s">
        <v>8441</v>
      </c>
    </row>
    <row r="2859" spans="1:2" x14ac:dyDescent="0.25">
      <c r="A2859" s="52" t="s">
        <v>95</v>
      </c>
      <c r="B2859" s="90" t="s">
        <v>8441</v>
      </c>
    </row>
    <row r="2860" spans="1:2" x14ac:dyDescent="0.25">
      <c r="A2860" s="52" t="s">
        <v>95</v>
      </c>
      <c r="B2860" s="90" t="s">
        <v>8442</v>
      </c>
    </row>
    <row r="2861" spans="1:2" x14ac:dyDescent="0.25">
      <c r="A2861" s="52" t="s">
        <v>95</v>
      </c>
      <c r="B2861" s="90" t="s">
        <v>8443</v>
      </c>
    </row>
    <row r="2862" spans="1:2" x14ac:dyDescent="0.25">
      <c r="A2862" s="52" t="s">
        <v>95</v>
      </c>
      <c r="B2862" s="90" t="s">
        <v>8444</v>
      </c>
    </row>
    <row r="2863" spans="1:2" x14ac:dyDescent="0.25">
      <c r="A2863" s="52" t="s">
        <v>95</v>
      </c>
      <c r="B2863" s="90" t="s">
        <v>8445</v>
      </c>
    </row>
    <row r="2864" spans="1:2" x14ac:dyDescent="0.25">
      <c r="A2864" s="52" t="s">
        <v>95</v>
      </c>
      <c r="B2864" s="90" t="s">
        <v>8446</v>
      </c>
    </row>
    <row r="2865" spans="1:2" x14ac:dyDescent="0.25">
      <c r="A2865" s="52" t="s">
        <v>95</v>
      </c>
      <c r="B2865" s="90" t="s">
        <v>8447</v>
      </c>
    </row>
    <row r="2866" spans="1:2" x14ac:dyDescent="0.25">
      <c r="A2866" s="52" t="s">
        <v>95</v>
      </c>
      <c r="B2866" s="90" t="s">
        <v>8448</v>
      </c>
    </row>
    <row r="2867" spans="1:2" x14ac:dyDescent="0.25">
      <c r="A2867" s="52" t="s">
        <v>95</v>
      </c>
      <c r="B2867" s="90" t="s">
        <v>8449</v>
      </c>
    </row>
    <row r="2868" spans="1:2" x14ac:dyDescent="0.25">
      <c r="A2868" s="52" t="s">
        <v>95</v>
      </c>
      <c r="B2868" s="90" t="s">
        <v>8450</v>
      </c>
    </row>
    <row r="2869" spans="1:2" x14ac:dyDescent="0.25">
      <c r="A2869" s="52" t="s">
        <v>95</v>
      </c>
      <c r="B2869" s="90" t="s">
        <v>8451</v>
      </c>
    </row>
    <row r="2870" spans="1:2" x14ac:dyDescent="0.25">
      <c r="A2870" s="52" t="s">
        <v>95</v>
      </c>
      <c r="B2870" s="90" t="s">
        <v>8452</v>
      </c>
    </row>
    <row r="2871" spans="1:2" x14ac:dyDescent="0.25">
      <c r="A2871" s="52" t="s">
        <v>95</v>
      </c>
      <c r="B2871" s="90" t="s">
        <v>8453</v>
      </c>
    </row>
    <row r="2872" spans="1:2" x14ac:dyDescent="0.25">
      <c r="A2872" s="52" t="s">
        <v>95</v>
      </c>
      <c r="B2872" s="90" t="s">
        <v>8454</v>
      </c>
    </row>
    <row r="2873" spans="1:2" x14ac:dyDescent="0.25">
      <c r="A2873" s="52" t="s">
        <v>95</v>
      </c>
      <c r="B2873" s="90" t="s">
        <v>8455</v>
      </c>
    </row>
    <row r="2874" spans="1:2" x14ac:dyDescent="0.25">
      <c r="A2874" s="52" t="s">
        <v>95</v>
      </c>
      <c r="B2874" s="90" t="s">
        <v>8456</v>
      </c>
    </row>
    <row r="2875" spans="1:2" x14ac:dyDescent="0.25">
      <c r="A2875" s="52" t="s">
        <v>95</v>
      </c>
      <c r="B2875" s="90" t="s">
        <v>8457</v>
      </c>
    </row>
    <row r="2876" spans="1:2" x14ac:dyDescent="0.25">
      <c r="A2876" s="52" t="s">
        <v>95</v>
      </c>
      <c r="B2876" s="90" t="s">
        <v>8458</v>
      </c>
    </row>
    <row r="2877" spans="1:2" x14ac:dyDescent="0.25">
      <c r="A2877" s="52" t="s">
        <v>95</v>
      </c>
      <c r="B2877" s="90" t="s">
        <v>8459</v>
      </c>
    </row>
    <row r="2878" spans="1:2" x14ac:dyDescent="0.25">
      <c r="A2878" s="52" t="s">
        <v>95</v>
      </c>
      <c r="B2878" s="90" t="s">
        <v>8460</v>
      </c>
    </row>
    <row r="2879" spans="1:2" x14ac:dyDescent="0.25">
      <c r="A2879" s="52" t="s">
        <v>95</v>
      </c>
      <c r="B2879" s="90" t="s">
        <v>8461</v>
      </c>
    </row>
    <row r="2880" spans="1:2" x14ac:dyDescent="0.25">
      <c r="A2880" s="52" t="s">
        <v>95</v>
      </c>
      <c r="B2880" s="90" t="s">
        <v>8462</v>
      </c>
    </row>
    <row r="2881" spans="1:2" x14ac:dyDescent="0.25">
      <c r="A2881" s="52" t="s">
        <v>95</v>
      </c>
      <c r="B2881" s="90" t="s">
        <v>8463</v>
      </c>
    </row>
    <row r="2882" spans="1:2" x14ac:dyDescent="0.25">
      <c r="A2882" s="52" t="s">
        <v>95</v>
      </c>
      <c r="B2882" s="90" t="s">
        <v>8464</v>
      </c>
    </row>
    <row r="2883" spans="1:2" x14ac:dyDescent="0.25">
      <c r="A2883" s="52" t="s">
        <v>95</v>
      </c>
      <c r="B2883" s="90" t="s">
        <v>8465</v>
      </c>
    </row>
    <row r="2884" spans="1:2" x14ac:dyDescent="0.25">
      <c r="A2884" s="52" t="s">
        <v>95</v>
      </c>
      <c r="B2884" s="90" t="s">
        <v>8466</v>
      </c>
    </row>
    <row r="2885" spans="1:2" x14ac:dyDescent="0.25">
      <c r="A2885" s="52" t="s">
        <v>95</v>
      </c>
      <c r="B2885" s="90" t="s">
        <v>8467</v>
      </c>
    </row>
    <row r="2886" spans="1:2" x14ac:dyDescent="0.25">
      <c r="A2886" s="52" t="s">
        <v>95</v>
      </c>
      <c r="B2886" s="90" t="s">
        <v>8468</v>
      </c>
    </row>
    <row r="2887" spans="1:2" x14ac:dyDescent="0.25">
      <c r="A2887" s="52" t="s">
        <v>95</v>
      </c>
      <c r="B2887" s="90" t="s">
        <v>8469</v>
      </c>
    </row>
    <row r="2888" spans="1:2" x14ac:dyDescent="0.25">
      <c r="A2888" s="52" t="s">
        <v>95</v>
      </c>
      <c r="B2888" s="90" t="s">
        <v>8470</v>
      </c>
    </row>
    <row r="2889" spans="1:2" x14ac:dyDescent="0.25">
      <c r="A2889" s="52" t="s">
        <v>95</v>
      </c>
      <c r="B2889" s="90" t="s">
        <v>5788</v>
      </c>
    </row>
    <row r="2890" spans="1:2" x14ac:dyDescent="0.25">
      <c r="A2890" s="52" t="s">
        <v>95</v>
      </c>
      <c r="B2890" s="90" t="s">
        <v>8471</v>
      </c>
    </row>
    <row r="2891" spans="1:2" x14ac:dyDescent="0.25">
      <c r="A2891" s="52" t="s">
        <v>95</v>
      </c>
      <c r="B2891" s="90" t="s">
        <v>8472</v>
      </c>
    </row>
    <row r="2892" spans="1:2" x14ac:dyDescent="0.25">
      <c r="A2892" s="52" t="s">
        <v>95</v>
      </c>
      <c r="B2892" s="90" t="s">
        <v>8473</v>
      </c>
    </row>
    <row r="2893" spans="1:2" x14ac:dyDescent="0.25">
      <c r="A2893" s="52" t="s">
        <v>95</v>
      </c>
      <c r="B2893" s="90" t="s">
        <v>8474</v>
      </c>
    </row>
    <row r="2894" spans="1:2" x14ac:dyDescent="0.25">
      <c r="A2894" s="52" t="s">
        <v>95</v>
      </c>
      <c r="B2894" s="90" t="s">
        <v>8475</v>
      </c>
    </row>
    <row r="2895" spans="1:2" x14ac:dyDescent="0.25">
      <c r="A2895" s="52" t="s">
        <v>95</v>
      </c>
      <c r="B2895" s="90" t="s">
        <v>8476</v>
      </c>
    </row>
    <row r="2896" spans="1:2" x14ac:dyDescent="0.25">
      <c r="A2896" s="52" t="s">
        <v>95</v>
      </c>
      <c r="B2896" s="90" t="s">
        <v>8477</v>
      </c>
    </row>
    <row r="2897" spans="1:2" x14ac:dyDescent="0.25">
      <c r="A2897" s="52" t="s">
        <v>95</v>
      </c>
      <c r="B2897" s="90" t="s">
        <v>8478</v>
      </c>
    </row>
    <row r="2898" spans="1:2" x14ac:dyDescent="0.25">
      <c r="A2898" s="52" t="s">
        <v>95</v>
      </c>
      <c r="B2898" s="90" t="s">
        <v>8479</v>
      </c>
    </row>
    <row r="2899" spans="1:2" x14ac:dyDescent="0.25">
      <c r="A2899" s="52" t="s">
        <v>95</v>
      </c>
      <c r="B2899" s="90" t="s">
        <v>8480</v>
      </c>
    </row>
    <row r="2900" spans="1:2" x14ac:dyDescent="0.25">
      <c r="A2900" s="52" t="s">
        <v>95</v>
      </c>
      <c r="B2900" s="90" t="s">
        <v>8481</v>
      </c>
    </row>
    <row r="2901" spans="1:2" x14ac:dyDescent="0.25">
      <c r="A2901" s="52" t="s">
        <v>95</v>
      </c>
      <c r="B2901" s="90" t="s">
        <v>8482</v>
      </c>
    </row>
    <row r="2902" spans="1:2" x14ac:dyDescent="0.25">
      <c r="A2902" s="52" t="s">
        <v>95</v>
      </c>
      <c r="B2902" s="90" t="s">
        <v>8483</v>
      </c>
    </row>
    <row r="2903" spans="1:2" x14ac:dyDescent="0.25">
      <c r="A2903" s="52" t="s">
        <v>95</v>
      </c>
      <c r="B2903" s="90" t="s">
        <v>8484</v>
      </c>
    </row>
    <row r="2904" spans="1:2" x14ac:dyDescent="0.25">
      <c r="A2904" s="52" t="s">
        <v>95</v>
      </c>
      <c r="B2904" s="90" t="s">
        <v>8485</v>
      </c>
    </row>
    <row r="2905" spans="1:2" x14ac:dyDescent="0.25">
      <c r="A2905" s="52" t="s">
        <v>95</v>
      </c>
      <c r="B2905" s="90" t="s">
        <v>8486</v>
      </c>
    </row>
    <row r="2906" spans="1:2" x14ac:dyDescent="0.25">
      <c r="A2906" s="52" t="s">
        <v>95</v>
      </c>
      <c r="B2906" s="90" t="s">
        <v>8487</v>
      </c>
    </row>
    <row r="2907" spans="1:2" x14ac:dyDescent="0.25">
      <c r="A2907" s="52" t="s">
        <v>95</v>
      </c>
      <c r="B2907" s="90" t="s">
        <v>8488</v>
      </c>
    </row>
    <row r="2908" spans="1:2" x14ac:dyDescent="0.25">
      <c r="A2908" s="52" t="s">
        <v>95</v>
      </c>
      <c r="B2908" s="90" t="s">
        <v>8489</v>
      </c>
    </row>
    <row r="2909" spans="1:2" x14ac:dyDescent="0.25">
      <c r="A2909" s="52" t="s">
        <v>95</v>
      </c>
      <c r="B2909" s="90" t="s">
        <v>8490</v>
      </c>
    </row>
    <row r="2910" spans="1:2" x14ac:dyDescent="0.25">
      <c r="A2910" s="52" t="s">
        <v>95</v>
      </c>
      <c r="B2910" s="90" t="s">
        <v>8491</v>
      </c>
    </row>
    <row r="2911" spans="1:2" x14ac:dyDescent="0.25">
      <c r="A2911" s="52" t="s">
        <v>95</v>
      </c>
      <c r="B2911" s="90" t="s">
        <v>8492</v>
      </c>
    </row>
    <row r="2912" spans="1:2" x14ac:dyDescent="0.25">
      <c r="A2912" s="52" t="s">
        <v>95</v>
      </c>
      <c r="B2912" s="90" t="s">
        <v>8493</v>
      </c>
    </row>
    <row r="2913" spans="1:2" x14ac:dyDescent="0.25">
      <c r="A2913" s="52" t="s">
        <v>95</v>
      </c>
      <c r="B2913" s="90" t="s">
        <v>8494</v>
      </c>
    </row>
    <row r="2914" spans="1:2" x14ac:dyDescent="0.25">
      <c r="A2914" s="52" t="s">
        <v>95</v>
      </c>
      <c r="B2914" s="90" t="s">
        <v>8495</v>
      </c>
    </row>
    <row r="2915" spans="1:2" x14ac:dyDescent="0.25">
      <c r="A2915" s="52" t="s">
        <v>95</v>
      </c>
      <c r="B2915" s="90" t="s">
        <v>8496</v>
      </c>
    </row>
    <row r="2916" spans="1:2" x14ac:dyDescent="0.25">
      <c r="A2916" s="52" t="s">
        <v>95</v>
      </c>
      <c r="B2916" s="90" t="s">
        <v>8497</v>
      </c>
    </row>
    <row r="2917" spans="1:2" x14ac:dyDescent="0.25">
      <c r="A2917" s="52" t="s">
        <v>95</v>
      </c>
      <c r="B2917" s="90" t="s">
        <v>8498</v>
      </c>
    </row>
    <row r="2918" spans="1:2" x14ac:dyDescent="0.25">
      <c r="A2918" s="52" t="s">
        <v>95</v>
      </c>
      <c r="B2918" s="90" t="s">
        <v>8499</v>
      </c>
    </row>
    <row r="2919" spans="1:2" x14ac:dyDescent="0.25">
      <c r="A2919" s="52" t="s">
        <v>95</v>
      </c>
      <c r="B2919" s="90" t="s">
        <v>8500</v>
      </c>
    </row>
    <row r="2920" spans="1:2" x14ac:dyDescent="0.25">
      <c r="A2920" s="52" t="s">
        <v>95</v>
      </c>
      <c r="B2920" s="90" t="s">
        <v>8501</v>
      </c>
    </row>
    <row r="2921" spans="1:2" x14ac:dyDescent="0.25">
      <c r="A2921" s="52" t="s">
        <v>95</v>
      </c>
      <c r="B2921" s="90" t="s">
        <v>8502</v>
      </c>
    </row>
    <row r="2922" spans="1:2" x14ac:dyDescent="0.25">
      <c r="A2922" s="52" t="s">
        <v>95</v>
      </c>
      <c r="B2922" s="90" t="s">
        <v>8503</v>
      </c>
    </row>
    <row r="2923" spans="1:2" x14ac:dyDescent="0.25">
      <c r="A2923" s="52" t="s">
        <v>95</v>
      </c>
      <c r="B2923" s="90" t="s">
        <v>8504</v>
      </c>
    </row>
    <row r="2924" spans="1:2" x14ac:dyDescent="0.25">
      <c r="A2924" s="52" t="s">
        <v>95</v>
      </c>
      <c r="B2924" s="90" t="s">
        <v>8505</v>
      </c>
    </row>
    <row r="2925" spans="1:2" x14ac:dyDescent="0.25">
      <c r="A2925" s="52" t="s">
        <v>95</v>
      </c>
      <c r="B2925" s="90" t="s">
        <v>8506</v>
      </c>
    </row>
    <row r="2926" spans="1:2" x14ac:dyDescent="0.25">
      <c r="A2926" s="52" t="s">
        <v>95</v>
      </c>
      <c r="B2926" s="90" t="s">
        <v>8507</v>
      </c>
    </row>
    <row r="2927" spans="1:2" x14ac:dyDescent="0.25">
      <c r="A2927" s="52" t="s">
        <v>95</v>
      </c>
      <c r="B2927" s="90" t="s">
        <v>8508</v>
      </c>
    </row>
    <row r="2928" spans="1:2" x14ac:dyDescent="0.25">
      <c r="A2928" s="52" t="s">
        <v>95</v>
      </c>
      <c r="B2928" s="90" t="s">
        <v>8509</v>
      </c>
    </row>
    <row r="2929" spans="1:2" x14ac:dyDescent="0.25">
      <c r="A2929" s="52" t="s">
        <v>95</v>
      </c>
      <c r="B2929" s="90" t="s">
        <v>8510</v>
      </c>
    </row>
    <row r="2930" spans="1:2" x14ac:dyDescent="0.25">
      <c r="A2930" s="52" t="s">
        <v>95</v>
      </c>
      <c r="B2930" s="90" t="s">
        <v>8511</v>
      </c>
    </row>
    <row r="2931" spans="1:2" x14ac:dyDescent="0.25">
      <c r="A2931" s="52" t="s">
        <v>95</v>
      </c>
      <c r="B2931" s="90" t="s">
        <v>8512</v>
      </c>
    </row>
    <row r="2932" spans="1:2" x14ac:dyDescent="0.25">
      <c r="A2932" s="52" t="s">
        <v>95</v>
      </c>
      <c r="B2932" s="90" t="s">
        <v>8513</v>
      </c>
    </row>
    <row r="2933" spans="1:2" x14ac:dyDescent="0.25">
      <c r="A2933" s="52" t="s">
        <v>95</v>
      </c>
      <c r="B2933" s="90" t="s">
        <v>8514</v>
      </c>
    </row>
    <row r="2934" spans="1:2" x14ac:dyDescent="0.25">
      <c r="A2934" s="52" t="s">
        <v>95</v>
      </c>
      <c r="B2934" s="90" t="s">
        <v>8515</v>
      </c>
    </row>
    <row r="2935" spans="1:2" x14ac:dyDescent="0.25">
      <c r="A2935" s="52" t="s">
        <v>95</v>
      </c>
      <c r="B2935" s="90" t="s">
        <v>8516</v>
      </c>
    </row>
    <row r="2936" spans="1:2" x14ac:dyDescent="0.25">
      <c r="A2936" s="52" t="s">
        <v>95</v>
      </c>
      <c r="B2936" s="90" t="s">
        <v>8517</v>
      </c>
    </row>
    <row r="2937" spans="1:2" x14ac:dyDescent="0.25">
      <c r="A2937" s="52" t="s">
        <v>95</v>
      </c>
      <c r="B2937" s="90" t="s">
        <v>8518</v>
      </c>
    </row>
    <row r="2938" spans="1:2" x14ac:dyDescent="0.25">
      <c r="A2938" s="52" t="s">
        <v>95</v>
      </c>
      <c r="B2938" s="90" t="s">
        <v>8519</v>
      </c>
    </row>
    <row r="2939" spans="1:2" x14ac:dyDescent="0.25">
      <c r="A2939" s="52" t="s">
        <v>95</v>
      </c>
      <c r="B2939" s="90" t="s">
        <v>8520</v>
      </c>
    </row>
    <row r="2940" spans="1:2" x14ac:dyDescent="0.25">
      <c r="A2940" s="52" t="s">
        <v>95</v>
      </c>
      <c r="B2940" s="90" t="s">
        <v>8521</v>
      </c>
    </row>
    <row r="2941" spans="1:2" x14ac:dyDescent="0.25">
      <c r="A2941" s="52" t="s">
        <v>95</v>
      </c>
      <c r="B2941" s="90" t="s">
        <v>8522</v>
      </c>
    </row>
    <row r="2942" spans="1:2" x14ac:dyDescent="0.25">
      <c r="A2942" s="52" t="s">
        <v>95</v>
      </c>
      <c r="B2942" s="90" t="s">
        <v>8523</v>
      </c>
    </row>
    <row r="2943" spans="1:2" x14ac:dyDescent="0.25">
      <c r="A2943" s="52" t="s">
        <v>95</v>
      </c>
      <c r="B2943" s="90" t="s">
        <v>8524</v>
      </c>
    </row>
    <row r="2944" spans="1:2" x14ac:dyDescent="0.25">
      <c r="A2944" s="52" t="s">
        <v>95</v>
      </c>
      <c r="B2944" s="90" t="s">
        <v>8525</v>
      </c>
    </row>
    <row r="2945" spans="1:2" x14ac:dyDescent="0.25">
      <c r="A2945" s="52" t="s">
        <v>95</v>
      </c>
      <c r="B2945" s="90" t="s">
        <v>8526</v>
      </c>
    </row>
    <row r="2946" spans="1:2" x14ac:dyDescent="0.25">
      <c r="A2946" s="52" t="s">
        <v>95</v>
      </c>
      <c r="B2946" s="90" t="s">
        <v>8527</v>
      </c>
    </row>
    <row r="2947" spans="1:2" x14ac:dyDescent="0.25">
      <c r="A2947" s="52" t="s">
        <v>95</v>
      </c>
      <c r="B2947" s="90" t="s">
        <v>8528</v>
      </c>
    </row>
    <row r="2948" spans="1:2" x14ac:dyDescent="0.25">
      <c r="A2948" s="52" t="s">
        <v>95</v>
      </c>
      <c r="B2948" s="90" t="s">
        <v>8529</v>
      </c>
    </row>
    <row r="2949" spans="1:2" x14ac:dyDescent="0.25">
      <c r="A2949" s="52" t="s">
        <v>95</v>
      </c>
      <c r="B2949" s="90" t="s">
        <v>8530</v>
      </c>
    </row>
    <row r="2950" spans="1:2" x14ac:dyDescent="0.25">
      <c r="A2950" s="52" t="s">
        <v>95</v>
      </c>
      <c r="B2950" s="90" t="s">
        <v>8531</v>
      </c>
    </row>
    <row r="2951" spans="1:2" x14ac:dyDescent="0.25">
      <c r="A2951" s="52" t="s">
        <v>95</v>
      </c>
      <c r="B2951" s="90" t="s">
        <v>8532</v>
      </c>
    </row>
    <row r="2952" spans="1:2" x14ac:dyDescent="0.25">
      <c r="A2952" s="52" t="s">
        <v>95</v>
      </c>
      <c r="B2952" s="90" t="s">
        <v>8533</v>
      </c>
    </row>
    <row r="2953" spans="1:2" x14ac:dyDescent="0.25">
      <c r="A2953" s="52" t="s">
        <v>95</v>
      </c>
      <c r="B2953" s="90" t="s">
        <v>8534</v>
      </c>
    </row>
    <row r="2954" spans="1:2" x14ac:dyDescent="0.25">
      <c r="A2954" s="52" t="s">
        <v>95</v>
      </c>
      <c r="B2954" s="90" t="s">
        <v>8535</v>
      </c>
    </row>
    <row r="2955" spans="1:2" x14ac:dyDescent="0.25">
      <c r="A2955" s="52" t="s">
        <v>95</v>
      </c>
      <c r="B2955" s="90" t="s">
        <v>8536</v>
      </c>
    </row>
    <row r="2956" spans="1:2" x14ac:dyDescent="0.25">
      <c r="A2956" s="52" t="s">
        <v>95</v>
      </c>
      <c r="B2956" s="90" t="s">
        <v>8537</v>
      </c>
    </row>
    <row r="2957" spans="1:2" x14ac:dyDescent="0.25">
      <c r="A2957" s="52" t="s">
        <v>95</v>
      </c>
      <c r="B2957" s="90" t="s">
        <v>8538</v>
      </c>
    </row>
    <row r="2958" spans="1:2" x14ac:dyDescent="0.25">
      <c r="A2958" s="52" t="s">
        <v>95</v>
      </c>
      <c r="B2958" s="90" t="s">
        <v>8539</v>
      </c>
    </row>
    <row r="2959" spans="1:2" x14ac:dyDescent="0.25">
      <c r="A2959" s="52" t="s">
        <v>95</v>
      </c>
      <c r="B2959" s="90" t="s">
        <v>8540</v>
      </c>
    </row>
    <row r="2960" spans="1:2" x14ac:dyDescent="0.25">
      <c r="A2960" s="52" t="s">
        <v>95</v>
      </c>
      <c r="B2960" s="90" t="s">
        <v>8541</v>
      </c>
    </row>
    <row r="2961" spans="1:2" x14ac:dyDescent="0.25">
      <c r="A2961" s="52" t="s">
        <v>95</v>
      </c>
      <c r="B2961" s="90" t="s">
        <v>8542</v>
      </c>
    </row>
    <row r="2962" spans="1:2" x14ac:dyDescent="0.25">
      <c r="A2962" s="52" t="s">
        <v>95</v>
      </c>
      <c r="B2962" s="90" t="s">
        <v>8543</v>
      </c>
    </row>
    <row r="2963" spans="1:2" x14ac:dyDescent="0.25">
      <c r="A2963" s="52" t="s">
        <v>95</v>
      </c>
      <c r="B2963" s="90" t="s">
        <v>8544</v>
      </c>
    </row>
    <row r="2964" spans="1:2" x14ac:dyDescent="0.25">
      <c r="A2964" s="52" t="s">
        <v>95</v>
      </c>
      <c r="B2964" s="90" t="s">
        <v>8545</v>
      </c>
    </row>
    <row r="2965" spans="1:2" x14ac:dyDescent="0.25">
      <c r="A2965" s="52" t="s">
        <v>95</v>
      </c>
      <c r="B2965" s="90" t="s">
        <v>8546</v>
      </c>
    </row>
    <row r="2966" spans="1:2" x14ac:dyDescent="0.25">
      <c r="A2966" s="52" t="s">
        <v>95</v>
      </c>
      <c r="B2966" s="90" t="s">
        <v>8547</v>
      </c>
    </row>
    <row r="2967" spans="1:2" x14ac:dyDescent="0.25">
      <c r="A2967" s="52" t="s">
        <v>95</v>
      </c>
      <c r="B2967" s="90" t="s">
        <v>8548</v>
      </c>
    </row>
    <row r="2968" spans="1:2" x14ac:dyDescent="0.25">
      <c r="A2968" s="52" t="s">
        <v>95</v>
      </c>
      <c r="B2968" s="90" t="s">
        <v>8549</v>
      </c>
    </row>
    <row r="2969" spans="1:2" x14ac:dyDescent="0.25">
      <c r="A2969" s="52" t="s">
        <v>95</v>
      </c>
      <c r="B2969" s="90" t="s">
        <v>8550</v>
      </c>
    </row>
    <row r="2970" spans="1:2" x14ac:dyDescent="0.25">
      <c r="A2970" s="52" t="s">
        <v>95</v>
      </c>
      <c r="B2970" s="90" t="s">
        <v>8551</v>
      </c>
    </row>
    <row r="2971" spans="1:2" x14ac:dyDescent="0.25">
      <c r="A2971" s="52" t="s">
        <v>95</v>
      </c>
      <c r="B2971" s="90" t="s">
        <v>8552</v>
      </c>
    </row>
    <row r="2972" spans="1:2" x14ac:dyDescent="0.25">
      <c r="A2972" s="52" t="s">
        <v>95</v>
      </c>
      <c r="B2972" s="90" t="s">
        <v>8553</v>
      </c>
    </row>
    <row r="2973" spans="1:2" x14ac:dyDescent="0.25">
      <c r="A2973" s="52" t="s">
        <v>95</v>
      </c>
      <c r="B2973" s="90" t="s">
        <v>8554</v>
      </c>
    </row>
    <row r="2974" spans="1:2" x14ac:dyDescent="0.25">
      <c r="A2974" s="52" t="s">
        <v>95</v>
      </c>
      <c r="B2974" s="90" t="s">
        <v>8555</v>
      </c>
    </row>
    <row r="2975" spans="1:2" x14ac:dyDescent="0.25">
      <c r="A2975" s="52" t="s">
        <v>95</v>
      </c>
      <c r="B2975" s="90" t="s">
        <v>8556</v>
      </c>
    </row>
    <row r="2976" spans="1:2" x14ac:dyDescent="0.25">
      <c r="A2976" s="52" t="s">
        <v>95</v>
      </c>
      <c r="B2976" s="90" t="s">
        <v>8557</v>
      </c>
    </row>
    <row r="2977" spans="1:2" x14ac:dyDescent="0.25">
      <c r="A2977" s="52" t="s">
        <v>95</v>
      </c>
      <c r="B2977" s="90" t="s">
        <v>8558</v>
      </c>
    </row>
    <row r="2978" spans="1:2" x14ac:dyDescent="0.25">
      <c r="A2978" s="52" t="s">
        <v>95</v>
      </c>
      <c r="B2978" s="90" t="s">
        <v>8559</v>
      </c>
    </row>
    <row r="2979" spans="1:2" x14ac:dyDescent="0.25">
      <c r="A2979" s="52" t="s">
        <v>95</v>
      </c>
      <c r="B2979" s="90" t="s">
        <v>8560</v>
      </c>
    </row>
    <row r="2980" spans="1:2" x14ac:dyDescent="0.25">
      <c r="A2980" s="52" t="s">
        <v>95</v>
      </c>
      <c r="B2980" s="90" t="s">
        <v>8561</v>
      </c>
    </row>
    <row r="2981" spans="1:2" x14ac:dyDescent="0.25">
      <c r="A2981" s="52" t="s">
        <v>95</v>
      </c>
      <c r="B2981" s="90" t="s">
        <v>8562</v>
      </c>
    </row>
    <row r="2982" spans="1:2" x14ac:dyDescent="0.25">
      <c r="A2982" s="52" t="s">
        <v>95</v>
      </c>
      <c r="B2982" s="90" t="s">
        <v>8563</v>
      </c>
    </row>
    <row r="2983" spans="1:2" x14ac:dyDescent="0.25">
      <c r="A2983" s="52" t="s">
        <v>95</v>
      </c>
      <c r="B2983" s="90" t="s">
        <v>8564</v>
      </c>
    </row>
    <row r="2984" spans="1:2" x14ac:dyDescent="0.25">
      <c r="A2984" s="52" t="s">
        <v>95</v>
      </c>
      <c r="B2984" s="90" t="s">
        <v>8565</v>
      </c>
    </row>
    <row r="2985" spans="1:2" x14ac:dyDescent="0.25">
      <c r="A2985" s="52" t="s">
        <v>95</v>
      </c>
      <c r="B2985" s="90" t="s">
        <v>8566</v>
      </c>
    </row>
    <row r="2986" spans="1:2" x14ac:dyDescent="0.25">
      <c r="A2986" s="52" t="s">
        <v>95</v>
      </c>
      <c r="B2986" s="90" t="s">
        <v>8567</v>
      </c>
    </row>
    <row r="2987" spans="1:2" x14ac:dyDescent="0.25">
      <c r="A2987" s="52" t="s">
        <v>95</v>
      </c>
      <c r="B2987" s="90" t="s">
        <v>8568</v>
      </c>
    </row>
    <row r="2988" spans="1:2" x14ac:dyDescent="0.25">
      <c r="A2988" s="52" t="s">
        <v>95</v>
      </c>
      <c r="B2988" s="90" t="s">
        <v>8569</v>
      </c>
    </row>
    <row r="2989" spans="1:2" x14ac:dyDescent="0.25">
      <c r="A2989" s="52" t="s">
        <v>95</v>
      </c>
      <c r="B2989" s="90" t="s">
        <v>8570</v>
      </c>
    </row>
    <row r="2990" spans="1:2" x14ac:dyDescent="0.25">
      <c r="A2990" s="52" t="s">
        <v>95</v>
      </c>
      <c r="B2990" s="90" t="s">
        <v>8571</v>
      </c>
    </row>
    <row r="2991" spans="1:2" x14ac:dyDescent="0.25">
      <c r="A2991" s="52" t="s">
        <v>95</v>
      </c>
      <c r="B2991" s="90" t="s">
        <v>8572</v>
      </c>
    </row>
    <row r="2992" spans="1:2" x14ac:dyDescent="0.25">
      <c r="A2992" s="52" t="s">
        <v>95</v>
      </c>
      <c r="B2992" s="90" t="s">
        <v>8573</v>
      </c>
    </row>
    <row r="2993" spans="1:2" x14ac:dyDescent="0.25">
      <c r="A2993" s="52" t="s">
        <v>95</v>
      </c>
      <c r="B2993" s="90" t="s">
        <v>8574</v>
      </c>
    </row>
    <row r="2994" spans="1:2" x14ac:dyDescent="0.25">
      <c r="A2994" s="52" t="s">
        <v>95</v>
      </c>
      <c r="B2994" s="90" t="s">
        <v>8575</v>
      </c>
    </row>
    <row r="2995" spans="1:2" x14ac:dyDescent="0.25">
      <c r="A2995" s="52" t="s">
        <v>95</v>
      </c>
      <c r="B2995" s="90" t="s">
        <v>8576</v>
      </c>
    </row>
    <row r="2996" spans="1:2" x14ac:dyDescent="0.25">
      <c r="A2996" s="52" t="s">
        <v>95</v>
      </c>
      <c r="B2996" s="90" t="s">
        <v>2229</v>
      </c>
    </row>
    <row r="2997" spans="1:2" x14ac:dyDescent="0.25">
      <c r="A2997" s="52" t="s">
        <v>95</v>
      </c>
      <c r="B2997" s="90" t="s">
        <v>8577</v>
      </c>
    </row>
    <row r="2998" spans="1:2" x14ac:dyDescent="0.25">
      <c r="A2998" s="52" t="s">
        <v>95</v>
      </c>
      <c r="B2998" s="90" t="s">
        <v>8578</v>
      </c>
    </row>
    <row r="2999" spans="1:2" x14ac:dyDescent="0.25">
      <c r="A2999" s="52" t="s">
        <v>95</v>
      </c>
      <c r="B2999" s="90" t="s">
        <v>8579</v>
      </c>
    </row>
    <row r="3000" spans="1:2" x14ac:dyDescent="0.25">
      <c r="A3000" s="52" t="s">
        <v>95</v>
      </c>
      <c r="B3000" s="90" t="s">
        <v>8580</v>
      </c>
    </row>
    <row r="3001" spans="1:2" x14ac:dyDescent="0.25">
      <c r="A3001" s="52" t="s">
        <v>95</v>
      </c>
      <c r="B3001" s="90" t="s">
        <v>8581</v>
      </c>
    </row>
    <row r="3002" spans="1:2" x14ac:dyDescent="0.25">
      <c r="A3002" s="52" t="s">
        <v>95</v>
      </c>
      <c r="B3002" s="90" t="s">
        <v>8582</v>
      </c>
    </row>
    <row r="3003" spans="1:2" x14ac:dyDescent="0.25">
      <c r="A3003" s="52" t="s">
        <v>95</v>
      </c>
      <c r="B3003" s="90" t="s">
        <v>8583</v>
      </c>
    </row>
    <row r="3004" spans="1:2" x14ac:dyDescent="0.25">
      <c r="A3004" s="52" t="s">
        <v>95</v>
      </c>
      <c r="B3004" s="90" t="s">
        <v>8584</v>
      </c>
    </row>
    <row r="3005" spans="1:2" x14ac:dyDescent="0.25">
      <c r="A3005" s="52" t="s">
        <v>95</v>
      </c>
      <c r="B3005" s="90" t="s">
        <v>8585</v>
      </c>
    </row>
    <row r="3006" spans="1:2" x14ac:dyDescent="0.25">
      <c r="A3006" s="52" t="s">
        <v>95</v>
      </c>
      <c r="B3006" s="90" t="s">
        <v>8586</v>
      </c>
    </row>
    <row r="3007" spans="1:2" x14ac:dyDescent="0.25">
      <c r="A3007" s="52" t="s">
        <v>95</v>
      </c>
      <c r="B3007" s="90" t="s">
        <v>8587</v>
      </c>
    </row>
    <row r="3008" spans="1:2" x14ac:dyDescent="0.25">
      <c r="A3008" s="52" t="s">
        <v>95</v>
      </c>
      <c r="B3008" s="90" t="s">
        <v>8588</v>
      </c>
    </row>
    <row r="3009" spans="1:2" x14ac:dyDescent="0.25">
      <c r="A3009" s="52" t="s">
        <v>95</v>
      </c>
      <c r="B3009" s="90" t="s">
        <v>8589</v>
      </c>
    </row>
    <row r="3010" spans="1:2" x14ac:dyDescent="0.25">
      <c r="A3010" s="52" t="s">
        <v>95</v>
      </c>
      <c r="B3010" s="90" t="s">
        <v>8590</v>
      </c>
    </row>
    <row r="3011" spans="1:2" x14ac:dyDescent="0.25">
      <c r="A3011" s="52" t="s">
        <v>95</v>
      </c>
      <c r="B3011" s="90" t="s">
        <v>8591</v>
      </c>
    </row>
    <row r="3012" spans="1:2" x14ac:dyDescent="0.25">
      <c r="A3012" s="52" t="s">
        <v>95</v>
      </c>
      <c r="B3012" s="90" t="s">
        <v>8592</v>
      </c>
    </row>
    <row r="3013" spans="1:2" x14ac:dyDescent="0.25">
      <c r="A3013" s="52" t="s">
        <v>95</v>
      </c>
      <c r="B3013" s="90" t="s">
        <v>8593</v>
      </c>
    </row>
    <row r="3014" spans="1:2" x14ac:dyDescent="0.25">
      <c r="A3014" s="52" t="s">
        <v>95</v>
      </c>
      <c r="B3014" s="90" t="s">
        <v>8594</v>
      </c>
    </row>
    <row r="3015" spans="1:2" x14ac:dyDescent="0.25">
      <c r="A3015" s="52" t="s">
        <v>95</v>
      </c>
      <c r="B3015" s="90" t="s">
        <v>8595</v>
      </c>
    </row>
    <row r="3016" spans="1:2" x14ac:dyDescent="0.25">
      <c r="A3016" s="52" t="s">
        <v>95</v>
      </c>
      <c r="B3016" s="90" t="s">
        <v>8596</v>
      </c>
    </row>
    <row r="3017" spans="1:2" x14ac:dyDescent="0.25">
      <c r="A3017" s="52" t="s">
        <v>95</v>
      </c>
      <c r="B3017" s="90" t="s">
        <v>8597</v>
      </c>
    </row>
    <row r="3018" spans="1:2" x14ac:dyDescent="0.25">
      <c r="A3018" s="52" t="s">
        <v>95</v>
      </c>
      <c r="B3018" s="90" t="s">
        <v>8598</v>
      </c>
    </row>
    <row r="3019" spans="1:2" x14ac:dyDescent="0.25">
      <c r="A3019" s="52" t="s">
        <v>95</v>
      </c>
      <c r="B3019" s="90" t="s">
        <v>8599</v>
      </c>
    </row>
    <row r="3020" spans="1:2" x14ac:dyDescent="0.25">
      <c r="A3020" s="52" t="s">
        <v>95</v>
      </c>
      <c r="B3020" s="90" t="s">
        <v>8600</v>
      </c>
    </row>
    <row r="3021" spans="1:2" x14ac:dyDescent="0.25">
      <c r="A3021" s="52" t="s">
        <v>95</v>
      </c>
      <c r="B3021" s="90" t="s">
        <v>8601</v>
      </c>
    </row>
    <row r="3022" spans="1:2" x14ac:dyDescent="0.25">
      <c r="A3022" s="52" t="s">
        <v>95</v>
      </c>
      <c r="B3022" s="90" t="s">
        <v>8602</v>
      </c>
    </row>
    <row r="3023" spans="1:2" x14ac:dyDescent="0.25">
      <c r="A3023" s="52" t="s">
        <v>95</v>
      </c>
      <c r="B3023" s="90" t="s">
        <v>8603</v>
      </c>
    </row>
    <row r="3024" spans="1:2" x14ac:dyDescent="0.25">
      <c r="A3024" s="52" t="s">
        <v>95</v>
      </c>
      <c r="B3024" s="90" t="s">
        <v>8604</v>
      </c>
    </row>
    <row r="3025" spans="1:2" x14ac:dyDescent="0.25">
      <c r="A3025" s="52" t="s">
        <v>95</v>
      </c>
      <c r="B3025" s="90" t="s">
        <v>8604</v>
      </c>
    </row>
    <row r="3026" spans="1:2" x14ac:dyDescent="0.25">
      <c r="A3026" s="52" t="s">
        <v>95</v>
      </c>
      <c r="B3026" s="90" t="s">
        <v>8605</v>
      </c>
    </row>
    <row r="3027" spans="1:2" x14ac:dyDescent="0.25">
      <c r="A3027" s="52" t="s">
        <v>95</v>
      </c>
      <c r="B3027" s="90" t="s">
        <v>8606</v>
      </c>
    </row>
    <row r="3028" spans="1:2" x14ac:dyDescent="0.25">
      <c r="A3028" s="52" t="s">
        <v>95</v>
      </c>
      <c r="B3028" s="90" t="s">
        <v>8607</v>
      </c>
    </row>
    <row r="3029" spans="1:2" x14ac:dyDescent="0.25">
      <c r="A3029" s="52" t="s">
        <v>95</v>
      </c>
      <c r="B3029" s="90" t="s">
        <v>8608</v>
      </c>
    </row>
    <row r="3030" spans="1:2" x14ac:dyDescent="0.25">
      <c r="A3030" s="52" t="s">
        <v>95</v>
      </c>
      <c r="B3030" s="90" t="s">
        <v>8609</v>
      </c>
    </row>
    <row r="3031" spans="1:2" x14ac:dyDescent="0.25">
      <c r="A3031" s="52" t="s">
        <v>95</v>
      </c>
      <c r="B3031" s="90" t="s">
        <v>8610</v>
      </c>
    </row>
    <row r="3032" spans="1:2" x14ac:dyDescent="0.25">
      <c r="A3032" s="52" t="s">
        <v>95</v>
      </c>
      <c r="B3032" s="90" t="s">
        <v>8611</v>
      </c>
    </row>
    <row r="3033" spans="1:2" x14ac:dyDescent="0.25">
      <c r="A3033" s="52" t="s">
        <v>95</v>
      </c>
      <c r="B3033" s="90" t="s">
        <v>8612</v>
      </c>
    </row>
    <row r="3034" spans="1:2" x14ac:dyDescent="0.25">
      <c r="A3034" s="52" t="s">
        <v>95</v>
      </c>
      <c r="B3034" s="90" t="s">
        <v>8613</v>
      </c>
    </row>
    <row r="3035" spans="1:2" x14ac:dyDescent="0.25">
      <c r="A3035" s="52" t="s">
        <v>95</v>
      </c>
      <c r="B3035" s="90" t="s">
        <v>8614</v>
      </c>
    </row>
    <row r="3036" spans="1:2" x14ac:dyDescent="0.25">
      <c r="A3036" s="52" t="s">
        <v>95</v>
      </c>
      <c r="B3036" s="90" t="s">
        <v>8615</v>
      </c>
    </row>
    <row r="3037" spans="1:2" x14ac:dyDescent="0.25">
      <c r="A3037" s="52" t="s">
        <v>95</v>
      </c>
      <c r="B3037" s="90" t="s">
        <v>8616</v>
      </c>
    </row>
    <row r="3038" spans="1:2" x14ac:dyDescent="0.25">
      <c r="A3038" s="52" t="s">
        <v>95</v>
      </c>
      <c r="B3038" s="90" t="s">
        <v>8617</v>
      </c>
    </row>
    <row r="3039" spans="1:2" x14ac:dyDescent="0.25">
      <c r="A3039" s="52" t="s">
        <v>95</v>
      </c>
      <c r="B3039" s="90" t="s">
        <v>8618</v>
      </c>
    </row>
    <row r="3040" spans="1:2" x14ac:dyDescent="0.25">
      <c r="A3040" s="52" t="s">
        <v>95</v>
      </c>
      <c r="B3040" s="90" t="s">
        <v>8619</v>
      </c>
    </row>
    <row r="3041" spans="1:2" x14ac:dyDescent="0.25">
      <c r="A3041" s="52" t="s">
        <v>95</v>
      </c>
      <c r="B3041" s="90" t="s">
        <v>8620</v>
      </c>
    </row>
    <row r="3042" spans="1:2" x14ac:dyDescent="0.25">
      <c r="A3042" s="52" t="s">
        <v>95</v>
      </c>
      <c r="B3042" s="90" t="s">
        <v>8621</v>
      </c>
    </row>
    <row r="3043" spans="1:2" x14ac:dyDescent="0.25">
      <c r="A3043" s="52" t="s">
        <v>95</v>
      </c>
      <c r="B3043" s="90" t="s">
        <v>8622</v>
      </c>
    </row>
    <row r="3044" spans="1:2" x14ac:dyDescent="0.25">
      <c r="A3044" s="52" t="s">
        <v>95</v>
      </c>
      <c r="B3044" s="90" t="s">
        <v>8623</v>
      </c>
    </row>
    <row r="3045" spans="1:2" x14ac:dyDescent="0.25">
      <c r="A3045" s="52" t="s">
        <v>95</v>
      </c>
      <c r="B3045" s="90" t="s">
        <v>8624</v>
      </c>
    </row>
    <row r="3046" spans="1:2" x14ac:dyDescent="0.25">
      <c r="A3046" s="52" t="s">
        <v>95</v>
      </c>
      <c r="B3046" s="90" t="s">
        <v>8625</v>
      </c>
    </row>
    <row r="3047" spans="1:2" x14ac:dyDescent="0.25">
      <c r="A3047" s="52" t="s">
        <v>95</v>
      </c>
      <c r="B3047" s="90" t="s">
        <v>8626</v>
      </c>
    </row>
    <row r="3048" spans="1:2" x14ac:dyDescent="0.25">
      <c r="A3048" s="52" t="s">
        <v>95</v>
      </c>
      <c r="B3048" s="90" t="s">
        <v>8627</v>
      </c>
    </row>
    <row r="3049" spans="1:2" x14ac:dyDescent="0.25">
      <c r="A3049" s="52" t="s">
        <v>95</v>
      </c>
      <c r="B3049" s="90" t="s">
        <v>8628</v>
      </c>
    </row>
    <row r="3050" spans="1:2" x14ac:dyDescent="0.25">
      <c r="A3050" s="52" t="s">
        <v>95</v>
      </c>
      <c r="B3050" s="90" t="s">
        <v>8629</v>
      </c>
    </row>
    <row r="3051" spans="1:2" x14ac:dyDescent="0.25">
      <c r="A3051" s="52" t="s">
        <v>95</v>
      </c>
      <c r="B3051" s="90" t="s">
        <v>8629</v>
      </c>
    </row>
    <row r="3052" spans="1:2" x14ac:dyDescent="0.25">
      <c r="A3052" s="52" t="s">
        <v>95</v>
      </c>
      <c r="B3052" s="90" t="s">
        <v>8630</v>
      </c>
    </row>
    <row r="3053" spans="1:2" x14ac:dyDescent="0.25">
      <c r="A3053" s="52" t="s">
        <v>95</v>
      </c>
      <c r="B3053" s="90" t="s">
        <v>8631</v>
      </c>
    </row>
    <row r="3054" spans="1:2" x14ac:dyDescent="0.25">
      <c r="A3054" s="52" t="s">
        <v>95</v>
      </c>
      <c r="B3054" s="90" t="s">
        <v>8632</v>
      </c>
    </row>
    <row r="3055" spans="1:2" x14ac:dyDescent="0.25">
      <c r="A3055" s="52" t="s">
        <v>95</v>
      </c>
      <c r="B3055" s="90" t="s">
        <v>8633</v>
      </c>
    </row>
    <row r="3056" spans="1:2" x14ac:dyDescent="0.25">
      <c r="A3056" s="52" t="s">
        <v>95</v>
      </c>
      <c r="B3056" s="90" t="s">
        <v>8634</v>
      </c>
    </row>
    <row r="3057" spans="1:2" x14ac:dyDescent="0.25">
      <c r="A3057" s="52" t="s">
        <v>95</v>
      </c>
      <c r="B3057" s="90" t="s">
        <v>8635</v>
      </c>
    </row>
    <row r="3058" spans="1:2" x14ac:dyDescent="0.25">
      <c r="A3058" s="52" t="s">
        <v>95</v>
      </c>
      <c r="B3058" s="90" t="s">
        <v>8635</v>
      </c>
    </row>
    <row r="3059" spans="1:2" x14ac:dyDescent="0.25">
      <c r="A3059" s="52" t="s">
        <v>95</v>
      </c>
      <c r="B3059" s="90" t="s">
        <v>8636</v>
      </c>
    </row>
    <row r="3060" spans="1:2" x14ac:dyDescent="0.25">
      <c r="A3060" s="52" t="s">
        <v>95</v>
      </c>
      <c r="B3060" s="90" t="s">
        <v>8637</v>
      </c>
    </row>
    <row r="3061" spans="1:2" x14ac:dyDescent="0.25">
      <c r="A3061" s="52" t="s">
        <v>95</v>
      </c>
      <c r="B3061" s="90" t="s">
        <v>8638</v>
      </c>
    </row>
    <row r="3062" spans="1:2" x14ac:dyDescent="0.25">
      <c r="A3062" s="52" t="s">
        <v>95</v>
      </c>
      <c r="B3062" s="90" t="s">
        <v>8639</v>
      </c>
    </row>
    <row r="3063" spans="1:2" x14ac:dyDescent="0.25">
      <c r="A3063" s="52" t="s">
        <v>95</v>
      </c>
      <c r="B3063" s="90" t="s">
        <v>8640</v>
      </c>
    </row>
    <row r="3064" spans="1:2" x14ac:dyDescent="0.25">
      <c r="A3064" s="52" t="s">
        <v>95</v>
      </c>
      <c r="B3064" s="90" t="s">
        <v>8641</v>
      </c>
    </row>
    <row r="3065" spans="1:2" x14ac:dyDescent="0.25">
      <c r="A3065" s="52" t="s">
        <v>95</v>
      </c>
      <c r="B3065" s="90" t="s">
        <v>8642</v>
      </c>
    </row>
    <row r="3066" spans="1:2" x14ac:dyDescent="0.25">
      <c r="A3066" s="52" t="s">
        <v>95</v>
      </c>
      <c r="B3066" s="90" t="s">
        <v>8643</v>
      </c>
    </row>
    <row r="3067" spans="1:2" x14ac:dyDescent="0.25">
      <c r="A3067" s="52" t="s">
        <v>95</v>
      </c>
      <c r="B3067" s="90" t="s">
        <v>8644</v>
      </c>
    </row>
    <row r="3068" spans="1:2" x14ac:dyDescent="0.25">
      <c r="A3068" s="52" t="s">
        <v>95</v>
      </c>
      <c r="B3068" s="90" t="s">
        <v>8645</v>
      </c>
    </row>
    <row r="3069" spans="1:2" x14ac:dyDescent="0.25">
      <c r="A3069" s="52" t="s">
        <v>95</v>
      </c>
      <c r="B3069" s="90" t="s">
        <v>8646</v>
      </c>
    </row>
    <row r="3070" spans="1:2" x14ac:dyDescent="0.25">
      <c r="A3070" s="52" t="s">
        <v>95</v>
      </c>
      <c r="B3070" s="90" t="s">
        <v>8647</v>
      </c>
    </row>
    <row r="3071" spans="1:2" x14ac:dyDescent="0.25">
      <c r="A3071" s="52" t="s">
        <v>95</v>
      </c>
      <c r="B3071" s="90" t="s">
        <v>8648</v>
      </c>
    </row>
    <row r="3072" spans="1:2" x14ac:dyDescent="0.25">
      <c r="A3072" s="52" t="s">
        <v>95</v>
      </c>
      <c r="B3072" s="90" t="s">
        <v>8649</v>
      </c>
    </row>
    <row r="3073" spans="1:2" x14ac:dyDescent="0.25">
      <c r="A3073" s="52" t="s">
        <v>95</v>
      </c>
      <c r="B3073" s="90" t="s">
        <v>8649</v>
      </c>
    </row>
    <row r="3074" spans="1:2" x14ac:dyDescent="0.25">
      <c r="A3074" s="52" t="s">
        <v>95</v>
      </c>
      <c r="B3074" s="90" t="s">
        <v>8650</v>
      </c>
    </row>
    <row r="3075" spans="1:2" x14ac:dyDescent="0.25">
      <c r="A3075" s="52" t="s">
        <v>95</v>
      </c>
      <c r="B3075" s="90" t="s">
        <v>8651</v>
      </c>
    </row>
    <row r="3076" spans="1:2" x14ac:dyDescent="0.25">
      <c r="A3076" s="52" t="s">
        <v>95</v>
      </c>
      <c r="B3076" s="90" t="s">
        <v>8652</v>
      </c>
    </row>
    <row r="3077" spans="1:2" x14ac:dyDescent="0.25">
      <c r="A3077" s="52" t="s">
        <v>95</v>
      </c>
      <c r="B3077" s="90" t="s">
        <v>8653</v>
      </c>
    </row>
    <row r="3078" spans="1:2" x14ac:dyDescent="0.25">
      <c r="A3078" s="52" t="s">
        <v>95</v>
      </c>
      <c r="B3078" s="90" t="s">
        <v>8654</v>
      </c>
    </row>
    <row r="3079" spans="1:2" x14ac:dyDescent="0.25">
      <c r="A3079" s="52" t="s">
        <v>95</v>
      </c>
      <c r="B3079" s="90" t="s">
        <v>8655</v>
      </c>
    </row>
    <row r="3080" spans="1:2" x14ac:dyDescent="0.25">
      <c r="A3080" s="52" t="s">
        <v>95</v>
      </c>
      <c r="B3080" s="90" t="s">
        <v>8656</v>
      </c>
    </row>
    <row r="3081" spans="1:2" x14ac:dyDescent="0.25">
      <c r="A3081" s="52" t="s">
        <v>95</v>
      </c>
      <c r="B3081" s="90" t="s">
        <v>8657</v>
      </c>
    </row>
    <row r="3082" spans="1:2" x14ac:dyDescent="0.25">
      <c r="A3082" s="52" t="s">
        <v>95</v>
      </c>
      <c r="B3082" s="90" t="s">
        <v>8658</v>
      </c>
    </row>
    <row r="3083" spans="1:2" x14ac:dyDescent="0.25">
      <c r="A3083" s="52" t="s">
        <v>95</v>
      </c>
      <c r="B3083" s="90" t="s">
        <v>8659</v>
      </c>
    </row>
    <row r="3084" spans="1:2" x14ac:dyDescent="0.25">
      <c r="A3084" s="52" t="s">
        <v>95</v>
      </c>
      <c r="B3084" s="90" t="s">
        <v>8660</v>
      </c>
    </row>
    <row r="3085" spans="1:2" x14ac:dyDescent="0.25">
      <c r="A3085" s="52" t="s">
        <v>95</v>
      </c>
      <c r="B3085" s="90" t="s">
        <v>8661</v>
      </c>
    </row>
    <row r="3086" spans="1:2" x14ac:dyDescent="0.25">
      <c r="A3086" s="52" t="s">
        <v>95</v>
      </c>
      <c r="B3086" s="90" t="s">
        <v>8662</v>
      </c>
    </row>
    <row r="3087" spans="1:2" x14ac:dyDescent="0.25">
      <c r="A3087" s="52" t="s">
        <v>95</v>
      </c>
      <c r="B3087" s="90" t="s">
        <v>8663</v>
      </c>
    </row>
    <row r="3088" spans="1:2" x14ac:dyDescent="0.25">
      <c r="A3088" s="52" t="s">
        <v>95</v>
      </c>
      <c r="B3088" s="90" t="s">
        <v>8664</v>
      </c>
    </row>
    <row r="3089" spans="1:2" x14ac:dyDescent="0.25">
      <c r="A3089" s="52" t="s">
        <v>95</v>
      </c>
      <c r="B3089" s="90" t="s">
        <v>8665</v>
      </c>
    </row>
    <row r="3090" spans="1:2" x14ac:dyDescent="0.25">
      <c r="A3090" s="52" t="s">
        <v>95</v>
      </c>
      <c r="B3090" s="90" t="s">
        <v>8666</v>
      </c>
    </row>
    <row r="3091" spans="1:2" x14ac:dyDescent="0.25">
      <c r="A3091" s="52" t="s">
        <v>95</v>
      </c>
      <c r="B3091" s="90" t="s">
        <v>8667</v>
      </c>
    </row>
    <row r="3092" spans="1:2" x14ac:dyDescent="0.25">
      <c r="A3092" s="52" t="s">
        <v>95</v>
      </c>
      <c r="B3092" s="90" t="s">
        <v>8668</v>
      </c>
    </row>
    <row r="3093" spans="1:2" x14ac:dyDescent="0.25">
      <c r="A3093" s="52" t="s">
        <v>95</v>
      </c>
      <c r="B3093" s="90" t="s">
        <v>8669</v>
      </c>
    </row>
    <row r="3094" spans="1:2" x14ac:dyDescent="0.25">
      <c r="A3094" s="52" t="s">
        <v>95</v>
      </c>
      <c r="B3094" s="90" t="s">
        <v>8670</v>
      </c>
    </row>
    <row r="3095" spans="1:2" x14ac:dyDescent="0.25">
      <c r="A3095" s="52" t="s">
        <v>95</v>
      </c>
      <c r="B3095" s="90" t="s">
        <v>8671</v>
      </c>
    </row>
    <row r="3096" spans="1:2" x14ac:dyDescent="0.25">
      <c r="A3096" s="52" t="s">
        <v>95</v>
      </c>
      <c r="B3096" s="90" t="s">
        <v>8671</v>
      </c>
    </row>
    <row r="3097" spans="1:2" x14ac:dyDescent="0.25">
      <c r="A3097" s="52" t="s">
        <v>95</v>
      </c>
      <c r="B3097" s="90" t="s">
        <v>8672</v>
      </c>
    </row>
    <row r="3098" spans="1:2" x14ac:dyDescent="0.25">
      <c r="A3098" s="52" t="s">
        <v>95</v>
      </c>
      <c r="B3098" s="90" t="s">
        <v>8673</v>
      </c>
    </row>
    <row r="3099" spans="1:2" x14ac:dyDescent="0.25">
      <c r="A3099" s="52" t="s">
        <v>95</v>
      </c>
      <c r="B3099" s="90" t="s">
        <v>8674</v>
      </c>
    </row>
    <row r="3100" spans="1:2" x14ac:dyDescent="0.25">
      <c r="A3100" s="52" t="s">
        <v>95</v>
      </c>
      <c r="B3100" s="90" t="s">
        <v>8675</v>
      </c>
    </row>
    <row r="3101" spans="1:2" x14ac:dyDescent="0.25">
      <c r="A3101" s="52" t="s">
        <v>95</v>
      </c>
      <c r="B3101" s="90" t="s">
        <v>8676</v>
      </c>
    </row>
    <row r="3102" spans="1:2" x14ac:dyDescent="0.25">
      <c r="A3102" s="52" t="s">
        <v>95</v>
      </c>
      <c r="B3102" s="90" t="s">
        <v>8677</v>
      </c>
    </row>
    <row r="3103" spans="1:2" x14ac:dyDescent="0.25">
      <c r="A3103" s="52" t="s">
        <v>95</v>
      </c>
      <c r="B3103" s="90" t="s">
        <v>8678</v>
      </c>
    </row>
    <row r="3104" spans="1:2" x14ac:dyDescent="0.25">
      <c r="A3104" s="52" t="s">
        <v>95</v>
      </c>
      <c r="B3104" s="90" t="s">
        <v>8679</v>
      </c>
    </row>
    <row r="3105" spans="1:2" x14ac:dyDescent="0.25">
      <c r="A3105" s="52" t="s">
        <v>95</v>
      </c>
      <c r="B3105" s="90" t="s">
        <v>8680</v>
      </c>
    </row>
    <row r="3106" spans="1:2" x14ac:dyDescent="0.25">
      <c r="A3106" s="52" t="s">
        <v>95</v>
      </c>
      <c r="B3106" s="90" t="s">
        <v>8681</v>
      </c>
    </row>
    <row r="3107" spans="1:2" x14ac:dyDescent="0.25">
      <c r="A3107" s="52" t="s">
        <v>95</v>
      </c>
      <c r="B3107" s="90" t="s">
        <v>8682</v>
      </c>
    </row>
    <row r="3108" spans="1:2" x14ac:dyDescent="0.25">
      <c r="A3108" s="52" t="s">
        <v>95</v>
      </c>
      <c r="B3108" s="90" t="s">
        <v>8683</v>
      </c>
    </row>
    <row r="3109" spans="1:2" x14ac:dyDescent="0.25">
      <c r="A3109" s="52" t="s">
        <v>95</v>
      </c>
      <c r="B3109" s="90" t="s">
        <v>8684</v>
      </c>
    </row>
    <row r="3110" spans="1:2" x14ac:dyDescent="0.25">
      <c r="A3110" s="52" t="s">
        <v>95</v>
      </c>
      <c r="B3110" s="90" t="s">
        <v>8685</v>
      </c>
    </row>
    <row r="3111" spans="1:2" x14ac:dyDescent="0.25">
      <c r="A3111" s="52" t="s">
        <v>95</v>
      </c>
      <c r="B3111" s="90" t="s">
        <v>8686</v>
      </c>
    </row>
    <row r="3112" spans="1:2" x14ac:dyDescent="0.25">
      <c r="A3112" s="52" t="s">
        <v>95</v>
      </c>
      <c r="B3112" s="90" t="s">
        <v>8687</v>
      </c>
    </row>
    <row r="3113" spans="1:2" x14ac:dyDescent="0.25">
      <c r="A3113" s="52" t="s">
        <v>95</v>
      </c>
      <c r="B3113" s="90" t="s">
        <v>8688</v>
      </c>
    </row>
    <row r="3114" spans="1:2" x14ac:dyDescent="0.25">
      <c r="A3114" s="52" t="s">
        <v>95</v>
      </c>
      <c r="B3114" s="90" t="s">
        <v>8689</v>
      </c>
    </row>
    <row r="3115" spans="1:2" x14ac:dyDescent="0.25">
      <c r="A3115" s="52" t="s">
        <v>95</v>
      </c>
      <c r="B3115" s="90" t="s">
        <v>8690</v>
      </c>
    </row>
    <row r="3116" spans="1:2" x14ac:dyDescent="0.25">
      <c r="A3116" s="52" t="s">
        <v>95</v>
      </c>
      <c r="B3116" s="90" t="s">
        <v>8691</v>
      </c>
    </row>
    <row r="3117" spans="1:2" x14ac:dyDescent="0.25">
      <c r="A3117" s="52" t="s">
        <v>95</v>
      </c>
      <c r="B3117" s="90" t="s">
        <v>8692</v>
      </c>
    </row>
    <row r="3118" spans="1:2" x14ac:dyDescent="0.25">
      <c r="A3118" s="52" t="s">
        <v>95</v>
      </c>
      <c r="B3118" s="90" t="s">
        <v>8693</v>
      </c>
    </row>
    <row r="3119" spans="1:2" x14ac:dyDescent="0.25">
      <c r="A3119" s="52" t="s">
        <v>95</v>
      </c>
      <c r="B3119" s="90" t="s">
        <v>8694</v>
      </c>
    </row>
    <row r="3120" spans="1:2" x14ac:dyDescent="0.25">
      <c r="A3120" s="52" t="s">
        <v>95</v>
      </c>
      <c r="B3120" s="90" t="s">
        <v>8695</v>
      </c>
    </row>
    <row r="3121" spans="1:2" x14ac:dyDescent="0.25">
      <c r="A3121" s="52" t="s">
        <v>95</v>
      </c>
      <c r="B3121" s="90" t="s">
        <v>8696</v>
      </c>
    </row>
    <row r="3122" spans="1:2" x14ac:dyDescent="0.25">
      <c r="A3122" s="52" t="s">
        <v>95</v>
      </c>
      <c r="B3122" s="90" t="s">
        <v>8697</v>
      </c>
    </row>
    <row r="3123" spans="1:2" x14ac:dyDescent="0.25">
      <c r="A3123" s="52" t="s">
        <v>95</v>
      </c>
      <c r="B3123" s="90" t="s">
        <v>8698</v>
      </c>
    </row>
    <row r="3124" spans="1:2" x14ac:dyDescent="0.25">
      <c r="A3124" s="52" t="s">
        <v>95</v>
      </c>
      <c r="B3124" s="90" t="s">
        <v>8699</v>
      </c>
    </row>
    <row r="3125" spans="1:2" x14ac:dyDescent="0.25">
      <c r="A3125" s="52" t="s">
        <v>95</v>
      </c>
      <c r="B3125" s="90" t="s">
        <v>8700</v>
      </c>
    </row>
    <row r="3126" spans="1:2" x14ac:dyDescent="0.25">
      <c r="A3126" s="52" t="s">
        <v>95</v>
      </c>
      <c r="B3126" s="90" t="s">
        <v>8701</v>
      </c>
    </row>
    <row r="3127" spans="1:2" x14ac:dyDescent="0.25">
      <c r="A3127" s="52" t="s">
        <v>95</v>
      </c>
      <c r="B3127" s="90" t="s">
        <v>8702</v>
      </c>
    </row>
    <row r="3128" spans="1:2" x14ac:dyDescent="0.25">
      <c r="A3128" s="52" t="s">
        <v>95</v>
      </c>
      <c r="B3128" s="90" t="s">
        <v>8703</v>
      </c>
    </row>
    <row r="3129" spans="1:2" x14ac:dyDescent="0.25">
      <c r="A3129" s="52" t="s">
        <v>95</v>
      </c>
      <c r="B3129" s="90" t="s">
        <v>8704</v>
      </c>
    </row>
    <row r="3130" spans="1:2" x14ac:dyDescent="0.25">
      <c r="A3130" s="52" t="s">
        <v>95</v>
      </c>
      <c r="B3130" s="90" t="s">
        <v>8705</v>
      </c>
    </row>
    <row r="3131" spans="1:2" x14ac:dyDescent="0.25">
      <c r="A3131" s="52" t="s">
        <v>95</v>
      </c>
      <c r="B3131" s="90" t="s">
        <v>8706</v>
      </c>
    </row>
    <row r="3132" spans="1:2" x14ac:dyDescent="0.25">
      <c r="A3132" s="52" t="s">
        <v>95</v>
      </c>
      <c r="B3132" s="90" t="s">
        <v>8707</v>
      </c>
    </row>
    <row r="3133" spans="1:2" x14ac:dyDescent="0.25">
      <c r="A3133" s="52" t="s">
        <v>95</v>
      </c>
      <c r="B3133" s="90" t="s">
        <v>8708</v>
      </c>
    </row>
    <row r="3134" spans="1:2" x14ac:dyDescent="0.25">
      <c r="A3134" s="52" t="s">
        <v>95</v>
      </c>
      <c r="B3134" s="90" t="s">
        <v>8709</v>
      </c>
    </row>
    <row r="3135" spans="1:2" x14ac:dyDescent="0.25">
      <c r="A3135" s="52" t="s">
        <v>95</v>
      </c>
      <c r="B3135" s="90" t="s">
        <v>8710</v>
      </c>
    </row>
    <row r="3136" spans="1:2" x14ac:dyDescent="0.25">
      <c r="A3136" s="52" t="s">
        <v>95</v>
      </c>
      <c r="B3136" s="90" t="s">
        <v>8711</v>
      </c>
    </row>
    <row r="3137" spans="1:2" x14ac:dyDescent="0.25">
      <c r="A3137" s="52" t="s">
        <v>95</v>
      </c>
      <c r="B3137" s="90" t="s">
        <v>8712</v>
      </c>
    </row>
    <row r="3138" spans="1:2" x14ac:dyDescent="0.25">
      <c r="A3138" s="52" t="s">
        <v>95</v>
      </c>
      <c r="B3138" s="90" t="s">
        <v>8713</v>
      </c>
    </row>
    <row r="3139" spans="1:2" x14ac:dyDescent="0.25">
      <c r="A3139" s="52" t="s">
        <v>95</v>
      </c>
      <c r="B3139" s="90" t="s">
        <v>8714</v>
      </c>
    </row>
    <row r="3140" spans="1:2" x14ac:dyDescent="0.25">
      <c r="A3140" s="52" t="s">
        <v>95</v>
      </c>
      <c r="B3140" s="90" t="s">
        <v>8715</v>
      </c>
    </row>
    <row r="3141" spans="1:2" x14ac:dyDescent="0.25">
      <c r="A3141" s="52" t="s">
        <v>95</v>
      </c>
      <c r="B3141" s="90" t="s">
        <v>8716</v>
      </c>
    </row>
    <row r="3142" spans="1:2" x14ac:dyDescent="0.25">
      <c r="A3142" s="52" t="s">
        <v>95</v>
      </c>
      <c r="B3142" s="90" t="s">
        <v>8717</v>
      </c>
    </row>
    <row r="3143" spans="1:2" x14ac:dyDescent="0.25">
      <c r="A3143" s="52" t="s">
        <v>95</v>
      </c>
      <c r="B3143" s="90" t="s">
        <v>1546</v>
      </c>
    </row>
    <row r="3144" spans="1:2" x14ac:dyDescent="0.25">
      <c r="A3144" s="52" t="s">
        <v>95</v>
      </c>
      <c r="B3144" s="90" t="s">
        <v>1544</v>
      </c>
    </row>
    <row r="3145" spans="1:2" x14ac:dyDescent="0.25">
      <c r="A3145" s="52" t="s">
        <v>95</v>
      </c>
      <c r="B3145" s="90" t="s">
        <v>8718</v>
      </c>
    </row>
    <row r="3146" spans="1:2" x14ac:dyDescent="0.25">
      <c r="A3146" s="52" t="s">
        <v>95</v>
      </c>
      <c r="B3146" s="90" t="s">
        <v>8719</v>
      </c>
    </row>
    <row r="3147" spans="1:2" x14ac:dyDescent="0.25">
      <c r="A3147" s="52" t="s">
        <v>95</v>
      </c>
      <c r="B3147" s="90" t="s">
        <v>8720</v>
      </c>
    </row>
    <row r="3148" spans="1:2" x14ac:dyDescent="0.25">
      <c r="A3148" s="52" t="s">
        <v>95</v>
      </c>
      <c r="B3148" s="90" t="s">
        <v>8721</v>
      </c>
    </row>
    <row r="3149" spans="1:2" x14ac:dyDescent="0.25">
      <c r="A3149" s="52" t="s">
        <v>95</v>
      </c>
      <c r="B3149" s="90" t="s">
        <v>8722</v>
      </c>
    </row>
    <row r="3150" spans="1:2" x14ac:dyDescent="0.25">
      <c r="A3150" s="52" t="s">
        <v>95</v>
      </c>
      <c r="B3150" s="90" t="s">
        <v>8723</v>
      </c>
    </row>
    <row r="3151" spans="1:2" x14ac:dyDescent="0.25">
      <c r="A3151" s="52" t="s">
        <v>95</v>
      </c>
      <c r="B3151" s="90" t="s">
        <v>8724</v>
      </c>
    </row>
    <row r="3152" spans="1:2" x14ac:dyDescent="0.25">
      <c r="A3152" s="52" t="s">
        <v>95</v>
      </c>
      <c r="B3152" s="90" t="s">
        <v>8725</v>
      </c>
    </row>
    <row r="3153" spans="1:2" x14ac:dyDescent="0.25">
      <c r="A3153" s="52" t="s">
        <v>95</v>
      </c>
      <c r="B3153" s="90" t="s">
        <v>8726</v>
      </c>
    </row>
    <row r="3154" spans="1:2" x14ac:dyDescent="0.25">
      <c r="A3154" s="52" t="s">
        <v>95</v>
      </c>
      <c r="B3154" s="90" t="s">
        <v>8727</v>
      </c>
    </row>
    <row r="3155" spans="1:2" x14ac:dyDescent="0.25">
      <c r="A3155" s="52" t="s">
        <v>95</v>
      </c>
      <c r="B3155" s="90" t="s">
        <v>8728</v>
      </c>
    </row>
    <row r="3156" spans="1:2" x14ac:dyDescent="0.25">
      <c r="A3156" s="52" t="s">
        <v>95</v>
      </c>
      <c r="B3156" s="90" t="s">
        <v>8729</v>
      </c>
    </row>
    <row r="3157" spans="1:2" x14ac:dyDescent="0.25">
      <c r="A3157" s="52" t="s">
        <v>95</v>
      </c>
      <c r="B3157" s="90" t="s">
        <v>8730</v>
      </c>
    </row>
    <row r="3158" spans="1:2" x14ac:dyDescent="0.25">
      <c r="A3158" s="52" t="s">
        <v>95</v>
      </c>
      <c r="B3158" s="90" t="s">
        <v>8731</v>
      </c>
    </row>
    <row r="3159" spans="1:2" x14ac:dyDescent="0.25">
      <c r="A3159" s="52" t="s">
        <v>95</v>
      </c>
      <c r="B3159" s="90" t="s">
        <v>8732</v>
      </c>
    </row>
    <row r="3160" spans="1:2" x14ac:dyDescent="0.25">
      <c r="A3160" s="52" t="s">
        <v>95</v>
      </c>
      <c r="B3160" s="90" t="s">
        <v>8733</v>
      </c>
    </row>
    <row r="3161" spans="1:2" x14ac:dyDescent="0.25">
      <c r="A3161" s="52" t="s">
        <v>95</v>
      </c>
      <c r="B3161" s="90" t="s">
        <v>8734</v>
      </c>
    </row>
    <row r="3162" spans="1:2" x14ac:dyDescent="0.25">
      <c r="A3162" s="52" t="s">
        <v>95</v>
      </c>
      <c r="B3162" s="90" t="s">
        <v>8735</v>
      </c>
    </row>
    <row r="3163" spans="1:2" x14ac:dyDescent="0.25">
      <c r="A3163" s="52" t="s">
        <v>95</v>
      </c>
      <c r="B3163" s="90" t="s">
        <v>8736</v>
      </c>
    </row>
    <row r="3164" spans="1:2" x14ac:dyDescent="0.25">
      <c r="A3164" s="52" t="s">
        <v>95</v>
      </c>
      <c r="B3164" s="90" t="s">
        <v>8737</v>
      </c>
    </row>
    <row r="3165" spans="1:2" x14ac:dyDescent="0.25">
      <c r="A3165" s="52" t="s">
        <v>95</v>
      </c>
      <c r="B3165" s="90" t="s">
        <v>8738</v>
      </c>
    </row>
    <row r="3166" spans="1:2" x14ac:dyDescent="0.25">
      <c r="A3166" s="52" t="s">
        <v>95</v>
      </c>
      <c r="B3166" s="90" t="s">
        <v>8739</v>
      </c>
    </row>
    <row r="3167" spans="1:2" x14ac:dyDescent="0.25">
      <c r="A3167" s="52" t="s">
        <v>95</v>
      </c>
      <c r="B3167" s="90" t="s">
        <v>8740</v>
      </c>
    </row>
    <row r="3168" spans="1:2" x14ac:dyDescent="0.25">
      <c r="A3168" s="52" t="s">
        <v>95</v>
      </c>
      <c r="B3168" s="90" t="s">
        <v>8741</v>
      </c>
    </row>
    <row r="3169" spans="1:2" x14ac:dyDescent="0.25">
      <c r="A3169" s="52" t="s">
        <v>95</v>
      </c>
      <c r="B3169" s="90" t="s">
        <v>8742</v>
      </c>
    </row>
    <row r="3170" spans="1:2" x14ac:dyDescent="0.25">
      <c r="A3170" s="52" t="s">
        <v>95</v>
      </c>
      <c r="B3170" s="90" t="s">
        <v>8743</v>
      </c>
    </row>
    <row r="3171" spans="1:2" x14ac:dyDescent="0.25">
      <c r="A3171" s="52" t="s">
        <v>95</v>
      </c>
      <c r="B3171" s="90" t="s">
        <v>8744</v>
      </c>
    </row>
    <row r="3172" spans="1:2" x14ac:dyDescent="0.25">
      <c r="A3172" s="52" t="s">
        <v>95</v>
      </c>
      <c r="B3172" s="90" t="s">
        <v>8745</v>
      </c>
    </row>
    <row r="3173" spans="1:2" x14ac:dyDescent="0.25">
      <c r="A3173" s="52" t="s">
        <v>95</v>
      </c>
      <c r="B3173" s="90" t="s">
        <v>8746</v>
      </c>
    </row>
    <row r="3174" spans="1:2" x14ac:dyDescent="0.25">
      <c r="A3174" s="52" t="s">
        <v>95</v>
      </c>
      <c r="B3174" s="90" t="s">
        <v>8747</v>
      </c>
    </row>
    <row r="3175" spans="1:2" x14ac:dyDescent="0.25">
      <c r="A3175" s="52" t="s">
        <v>95</v>
      </c>
      <c r="B3175" s="90" t="s">
        <v>8748</v>
      </c>
    </row>
    <row r="3176" spans="1:2" x14ac:dyDescent="0.25">
      <c r="A3176" s="52" t="s">
        <v>95</v>
      </c>
      <c r="B3176" s="90" t="s">
        <v>8749</v>
      </c>
    </row>
    <row r="3177" spans="1:2" x14ac:dyDescent="0.25">
      <c r="A3177" s="52" t="s">
        <v>95</v>
      </c>
      <c r="B3177" s="90" t="s">
        <v>8750</v>
      </c>
    </row>
    <row r="3178" spans="1:2" x14ac:dyDescent="0.25">
      <c r="A3178" s="52" t="s">
        <v>95</v>
      </c>
      <c r="B3178" s="90" t="s">
        <v>8751</v>
      </c>
    </row>
    <row r="3179" spans="1:2" x14ac:dyDescent="0.25">
      <c r="A3179" s="52" t="s">
        <v>95</v>
      </c>
      <c r="B3179" s="90" t="s">
        <v>8752</v>
      </c>
    </row>
    <row r="3180" spans="1:2" x14ac:dyDescent="0.25">
      <c r="A3180" s="52" t="s">
        <v>95</v>
      </c>
      <c r="B3180" s="90" t="s">
        <v>8753</v>
      </c>
    </row>
    <row r="3181" spans="1:2" x14ac:dyDescent="0.25">
      <c r="A3181" s="52" t="s">
        <v>95</v>
      </c>
      <c r="B3181" s="90" t="s">
        <v>8754</v>
      </c>
    </row>
    <row r="3182" spans="1:2" x14ac:dyDescent="0.25">
      <c r="A3182" s="52" t="s">
        <v>95</v>
      </c>
      <c r="B3182" s="90" t="s">
        <v>8755</v>
      </c>
    </row>
    <row r="3183" spans="1:2" x14ac:dyDescent="0.25">
      <c r="A3183" s="52" t="s">
        <v>95</v>
      </c>
      <c r="B3183" s="90" t="s">
        <v>8756</v>
      </c>
    </row>
    <row r="3184" spans="1:2" x14ac:dyDescent="0.25">
      <c r="A3184" s="52" t="s">
        <v>95</v>
      </c>
      <c r="B3184" s="90" t="s">
        <v>8757</v>
      </c>
    </row>
    <row r="3185" spans="1:2" x14ac:dyDescent="0.25">
      <c r="A3185" s="52" t="s">
        <v>95</v>
      </c>
      <c r="B3185" s="90" t="s">
        <v>8758</v>
      </c>
    </row>
    <row r="3186" spans="1:2" x14ac:dyDescent="0.25">
      <c r="A3186" s="52" t="s">
        <v>95</v>
      </c>
      <c r="B3186" s="90" t="s">
        <v>8759</v>
      </c>
    </row>
    <row r="3187" spans="1:2" x14ac:dyDescent="0.25">
      <c r="A3187" s="52" t="s">
        <v>95</v>
      </c>
      <c r="B3187" s="90" t="s">
        <v>8760</v>
      </c>
    </row>
    <row r="3188" spans="1:2" x14ac:dyDescent="0.25">
      <c r="A3188" s="52" t="s">
        <v>95</v>
      </c>
      <c r="B3188" s="90" t="s">
        <v>8761</v>
      </c>
    </row>
    <row r="3189" spans="1:2" x14ac:dyDescent="0.25">
      <c r="A3189" s="52" t="s">
        <v>95</v>
      </c>
      <c r="B3189" s="90" t="s">
        <v>8762</v>
      </c>
    </row>
    <row r="3190" spans="1:2" x14ac:dyDescent="0.25">
      <c r="A3190" s="52" t="s">
        <v>95</v>
      </c>
      <c r="B3190" s="90" t="s">
        <v>8763</v>
      </c>
    </row>
    <row r="3191" spans="1:2" x14ac:dyDescent="0.25">
      <c r="A3191" s="52" t="s">
        <v>95</v>
      </c>
      <c r="B3191" s="90" t="s">
        <v>8764</v>
      </c>
    </row>
    <row r="3192" spans="1:2" x14ac:dyDescent="0.25">
      <c r="A3192" s="52" t="s">
        <v>95</v>
      </c>
      <c r="B3192" s="90" t="s">
        <v>8765</v>
      </c>
    </row>
    <row r="3193" spans="1:2" x14ac:dyDescent="0.25">
      <c r="A3193" s="52" t="s">
        <v>95</v>
      </c>
      <c r="B3193" s="90" t="s">
        <v>8766</v>
      </c>
    </row>
    <row r="3194" spans="1:2" x14ac:dyDescent="0.25">
      <c r="A3194" s="52" t="s">
        <v>95</v>
      </c>
      <c r="B3194" s="90" t="s">
        <v>8767</v>
      </c>
    </row>
    <row r="3195" spans="1:2" x14ac:dyDescent="0.25">
      <c r="A3195" s="52" t="s">
        <v>95</v>
      </c>
      <c r="B3195" s="90" t="s">
        <v>8768</v>
      </c>
    </row>
    <row r="3196" spans="1:2" x14ac:dyDescent="0.25">
      <c r="A3196" s="52" t="s">
        <v>95</v>
      </c>
      <c r="B3196" s="90" t="s">
        <v>8768</v>
      </c>
    </row>
    <row r="3197" spans="1:2" x14ac:dyDescent="0.25">
      <c r="A3197" s="52" t="s">
        <v>95</v>
      </c>
      <c r="B3197" s="90" t="s">
        <v>8769</v>
      </c>
    </row>
    <row r="3198" spans="1:2" x14ac:dyDescent="0.25">
      <c r="A3198" s="52" t="s">
        <v>95</v>
      </c>
      <c r="B3198" s="90" t="s">
        <v>8770</v>
      </c>
    </row>
    <row r="3199" spans="1:2" x14ac:dyDescent="0.25">
      <c r="A3199" s="52" t="s">
        <v>95</v>
      </c>
      <c r="B3199" s="90" t="s">
        <v>8771</v>
      </c>
    </row>
    <row r="3200" spans="1:2" x14ac:dyDescent="0.25">
      <c r="A3200" s="52" t="s">
        <v>95</v>
      </c>
      <c r="B3200" s="90" t="s">
        <v>8772</v>
      </c>
    </row>
    <row r="3201" spans="1:2" x14ac:dyDescent="0.25">
      <c r="A3201" s="52" t="s">
        <v>95</v>
      </c>
      <c r="B3201" s="90" t="s">
        <v>8773</v>
      </c>
    </row>
    <row r="3202" spans="1:2" x14ac:dyDescent="0.25">
      <c r="A3202" s="52" t="s">
        <v>95</v>
      </c>
      <c r="B3202" s="90" t="s">
        <v>8774</v>
      </c>
    </row>
    <row r="3203" spans="1:2" x14ac:dyDescent="0.25">
      <c r="A3203" s="52" t="s">
        <v>95</v>
      </c>
      <c r="B3203" s="90" t="s">
        <v>8775</v>
      </c>
    </row>
    <row r="3204" spans="1:2" x14ac:dyDescent="0.25">
      <c r="A3204" s="52" t="s">
        <v>95</v>
      </c>
      <c r="B3204" s="90" t="s">
        <v>8776</v>
      </c>
    </row>
    <row r="3205" spans="1:2" x14ac:dyDescent="0.25">
      <c r="A3205" s="52" t="s">
        <v>95</v>
      </c>
      <c r="B3205" s="90" t="s">
        <v>8777</v>
      </c>
    </row>
    <row r="3206" spans="1:2" x14ac:dyDescent="0.25">
      <c r="A3206" s="52" t="s">
        <v>95</v>
      </c>
      <c r="B3206" s="90" t="s">
        <v>8778</v>
      </c>
    </row>
    <row r="3207" spans="1:2" x14ac:dyDescent="0.25">
      <c r="A3207" s="52" t="s">
        <v>95</v>
      </c>
      <c r="B3207" s="90" t="s">
        <v>8779</v>
      </c>
    </row>
    <row r="3208" spans="1:2" x14ac:dyDescent="0.25">
      <c r="A3208" s="52" t="s">
        <v>95</v>
      </c>
      <c r="B3208" s="90" t="s">
        <v>8780</v>
      </c>
    </row>
    <row r="3209" spans="1:2" x14ac:dyDescent="0.25">
      <c r="A3209" s="52" t="s">
        <v>95</v>
      </c>
      <c r="B3209" s="90" t="s">
        <v>8781</v>
      </c>
    </row>
    <row r="3210" spans="1:2" x14ac:dyDescent="0.25">
      <c r="A3210" s="52" t="s">
        <v>95</v>
      </c>
      <c r="B3210" s="90" t="s">
        <v>8782</v>
      </c>
    </row>
    <row r="3211" spans="1:2" x14ac:dyDescent="0.25">
      <c r="A3211" s="52" t="s">
        <v>95</v>
      </c>
      <c r="B3211" s="90" t="s">
        <v>8783</v>
      </c>
    </row>
    <row r="3212" spans="1:2" x14ac:dyDescent="0.25">
      <c r="A3212" s="52" t="s">
        <v>95</v>
      </c>
      <c r="B3212" s="90" t="s">
        <v>8784</v>
      </c>
    </row>
    <row r="3213" spans="1:2" x14ac:dyDescent="0.25">
      <c r="A3213" s="52" t="s">
        <v>95</v>
      </c>
      <c r="B3213" s="90" t="s">
        <v>8785</v>
      </c>
    </row>
    <row r="3214" spans="1:2" x14ac:dyDescent="0.25">
      <c r="A3214" s="52" t="s">
        <v>95</v>
      </c>
      <c r="B3214" s="90" t="s">
        <v>8786</v>
      </c>
    </row>
    <row r="3215" spans="1:2" x14ac:dyDescent="0.25">
      <c r="A3215" s="52" t="s">
        <v>95</v>
      </c>
      <c r="B3215" s="90" t="s">
        <v>8787</v>
      </c>
    </row>
    <row r="3216" spans="1:2" x14ac:dyDescent="0.25">
      <c r="A3216" s="52" t="s">
        <v>95</v>
      </c>
      <c r="B3216" s="90" t="s">
        <v>8788</v>
      </c>
    </row>
    <row r="3217" spans="1:2" x14ac:dyDescent="0.25">
      <c r="A3217" s="52" t="s">
        <v>95</v>
      </c>
      <c r="B3217" s="90" t="s">
        <v>8789</v>
      </c>
    </row>
    <row r="3218" spans="1:2" x14ac:dyDescent="0.25">
      <c r="A3218" s="52" t="s">
        <v>95</v>
      </c>
      <c r="B3218" s="90" t="s">
        <v>8790</v>
      </c>
    </row>
    <row r="3219" spans="1:2" x14ac:dyDescent="0.25">
      <c r="A3219" s="52" t="s">
        <v>95</v>
      </c>
      <c r="B3219" s="90" t="s">
        <v>8791</v>
      </c>
    </row>
    <row r="3220" spans="1:2" x14ac:dyDescent="0.25">
      <c r="A3220" s="52" t="s">
        <v>95</v>
      </c>
      <c r="B3220" s="90" t="s">
        <v>8792</v>
      </c>
    </row>
    <row r="3221" spans="1:2" x14ac:dyDescent="0.25">
      <c r="A3221" s="52" t="s">
        <v>95</v>
      </c>
      <c r="B3221" s="90" t="s">
        <v>8793</v>
      </c>
    </row>
    <row r="3222" spans="1:2" x14ac:dyDescent="0.25">
      <c r="A3222" s="52" t="s">
        <v>95</v>
      </c>
      <c r="B3222" s="90" t="s">
        <v>8794</v>
      </c>
    </row>
    <row r="3223" spans="1:2" x14ac:dyDescent="0.25">
      <c r="A3223" s="52" t="s">
        <v>95</v>
      </c>
      <c r="B3223" s="90" t="s">
        <v>8795</v>
      </c>
    </row>
    <row r="3224" spans="1:2" x14ac:dyDescent="0.25">
      <c r="A3224" s="52" t="s">
        <v>95</v>
      </c>
      <c r="B3224" s="90" t="s">
        <v>8796</v>
      </c>
    </row>
    <row r="3225" spans="1:2" x14ac:dyDescent="0.25">
      <c r="A3225" s="52" t="s">
        <v>95</v>
      </c>
      <c r="B3225" s="90" t="s">
        <v>8797</v>
      </c>
    </row>
    <row r="3226" spans="1:2" x14ac:dyDescent="0.25">
      <c r="A3226" s="52" t="s">
        <v>95</v>
      </c>
      <c r="B3226" s="90" t="s">
        <v>8798</v>
      </c>
    </row>
    <row r="3227" spans="1:2" x14ac:dyDescent="0.25">
      <c r="A3227" s="52" t="s">
        <v>95</v>
      </c>
      <c r="B3227" s="90" t="s">
        <v>8799</v>
      </c>
    </row>
    <row r="3228" spans="1:2" x14ac:dyDescent="0.25">
      <c r="A3228" s="52" t="s">
        <v>95</v>
      </c>
      <c r="B3228" s="90" t="s">
        <v>8800</v>
      </c>
    </row>
    <row r="3229" spans="1:2" x14ac:dyDescent="0.25">
      <c r="A3229" s="52" t="s">
        <v>95</v>
      </c>
      <c r="B3229" s="90" t="s">
        <v>8801</v>
      </c>
    </row>
    <row r="3230" spans="1:2" x14ac:dyDescent="0.25">
      <c r="A3230" s="52" t="s">
        <v>95</v>
      </c>
      <c r="B3230" s="90" t="s">
        <v>8802</v>
      </c>
    </row>
    <row r="3231" spans="1:2" x14ac:dyDescent="0.25">
      <c r="A3231" s="52" t="s">
        <v>95</v>
      </c>
      <c r="B3231" s="90" t="s">
        <v>8803</v>
      </c>
    </row>
    <row r="3232" spans="1:2" x14ac:dyDescent="0.25">
      <c r="A3232" s="52" t="s">
        <v>95</v>
      </c>
      <c r="B3232" s="90" t="s">
        <v>8804</v>
      </c>
    </row>
    <row r="3233" spans="1:2" x14ac:dyDescent="0.25">
      <c r="A3233" s="52" t="s">
        <v>95</v>
      </c>
      <c r="B3233" s="90" t="s">
        <v>8805</v>
      </c>
    </row>
    <row r="3234" spans="1:2" x14ac:dyDescent="0.25">
      <c r="A3234" s="52" t="s">
        <v>95</v>
      </c>
      <c r="B3234" s="90" t="s">
        <v>8806</v>
      </c>
    </row>
    <row r="3235" spans="1:2" x14ac:dyDescent="0.25">
      <c r="A3235" s="52" t="s">
        <v>95</v>
      </c>
      <c r="B3235" s="90" t="s">
        <v>8807</v>
      </c>
    </row>
    <row r="3236" spans="1:2" x14ac:dyDescent="0.25">
      <c r="A3236" s="52" t="s">
        <v>95</v>
      </c>
      <c r="B3236" s="90" t="s">
        <v>8808</v>
      </c>
    </row>
    <row r="3237" spans="1:2" x14ac:dyDescent="0.25">
      <c r="A3237" s="52" t="s">
        <v>95</v>
      </c>
      <c r="B3237" s="90" t="s">
        <v>8809</v>
      </c>
    </row>
    <row r="3238" spans="1:2" x14ac:dyDescent="0.25">
      <c r="A3238" s="52" t="s">
        <v>95</v>
      </c>
      <c r="B3238" s="90" t="s">
        <v>8810</v>
      </c>
    </row>
    <row r="3239" spans="1:2" x14ac:dyDescent="0.25">
      <c r="A3239" s="52" t="s">
        <v>95</v>
      </c>
      <c r="B3239" s="90" t="s">
        <v>8811</v>
      </c>
    </row>
    <row r="3240" spans="1:2" x14ac:dyDescent="0.25">
      <c r="A3240" s="52" t="s">
        <v>95</v>
      </c>
      <c r="B3240" s="90" t="s">
        <v>8812</v>
      </c>
    </row>
    <row r="3241" spans="1:2" x14ac:dyDescent="0.25">
      <c r="A3241" s="52" t="s">
        <v>95</v>
      </c>
      <c r="B3241" s="90" t="s">
        <v>8813</v>
      </c>
    </row>
    <row r="3242" spans="1:2" x14ac:dyDescent="0.25">
      <c r="A3242" s="52" t="s">
        <v>95</v>
      </c>
      <c r="B3242" s="90" t="s">
        <v>8814</v>
      </c>
    </row>
    <row r="3243" spans="1:2" x14ac:dyDescent="0.25">
      <c r="A3243" s="52" t="s">
        <v>95</v>
      </c>
      <c r="B3243" s="90" t="s">
        <v>8815</v>
      </c>
    </row>
    <row r="3244" spans="1:2" x14ac:dyDescent="0.25">
      <c r="A3244" s="52" t="s">
        <v>95</v>
      </c>
      <c r="B3244" s="90" t="s">
        <v>8816</v>
      </c>
    </row>
    <row r="3245" spans="1:2" x14ac:dyDescent="0.25">
      <c r="A3245" s="52" t="s">
        <v>95</v>
      </c>
      <c r="B3245" s="90" t="s">
        <v>8817</v>
      </c>
    </row>
    <row r="3246" spans="1:2" x14ac:dyDescent="0.25">
      <c r="A3246" s="52" t="s">
        <v>95</v>
      </c>
      <c r="B3246" s="90" t="s">
        <v>8818</v>
      </c>
    </row>
    <row r="3247" spans="1:2" x14ac:dyDescent="0.25">
      <c r="A3247" s="52" t="s">
        <v>95</v>
      </c>
      <c r="B3247" s="90" t="s">
        <v>8819</v>
      </c>
    </row>
    <row r="3248" spans="1:2" x14ac:dyDescent="0.25">
      <c r="A3248" s="52" t="s">
        <v>95</v>
      </c>
      <c r="B3248" s="90" t="s">
        <v>8820</v>
      </c>
    </row>
    <row r="3249" spans="1:2" x14ac:dyDescent="0.25">
      <c r="A3249" s="52" t="s">
        <v>95</v>
      </c>
      <c r="B3249" s="90" t="s">
        <v>8821</v>
      </c>
    </row>
    <row r="3250" spans="1:2" x14ac:dyDescent="0.25">
      <c r="A3250" s="52" t="s">
        <v>95</v>
      </c>
      <c r="B3250" s="90" t="s">
        <v>8822</v>
      </c>
    </row>
    <row r="3251" spans="1:2" x14ac:dyDescent="0.25">
      <c r="A3251" s="52" t="s">
        <v>95</v>
      </c>
      <c r="B3251" s="90" t="s">
        <v>8823</v>
      </c>
    </row>
    <row r="3252" spans="1:2" x14ac:dyDescent="0.25">
      <c r="A3252" s="52" t="s">
        <v>95</v>
      </c>
      <c r="B3252" s="90" t="s">
        <v>8824</v>
      </c>
    </row>
    <row r="3253" spans="1:2" x14ac:dyDescent="0.25">
      <c r="A3253" s="52" t="s">
        <v>95</v>
      </c>
      <c r="B3253" s="90" t="s">
        <v>8825</v>
      </c>
    </row>
    <row r="3254" spans="1:2" x14ac:dyDescent="0.25">
      <c r="A3254" s="52" t="s">
        <v>95</v>
      </c>
      <c r="B3254" s="90" t="s">
        <v>8826</v>
      </c>
    </row>
    <row r="3255" spans="1:2" x14ac:dyDescent="0.25">
      <c r="A3255" s="52" t="s">
        <v>95</v>
      </c>
      <c r="B3255" s="90" t="s">
        <v>8827</v>
      </c>
    </row>
    <row r="3256" spans="1:2" x14ac:dyDescent="0.25">
      <c r="A3256" s="52" t="s">
        <v>95</v>
      </c>
      <c r="B3256" s="90" t="s">
        <v>8828</v>
      </c>
    </row>
    <row r="3257" spans="1:2" x14ac:dyDescent="0.25">
      <c r="A3257" s="52" t="s">
        <v>95</v>
      </c>
      <c r="B3257" s="90" t="s">
        <v>8829</v>
      </c>
    </row>
    <row r="3258" spans="1:2" x14ac:dyDescent="0.25">
      <c r="A3258" s="52" t="s">
        <v>95</v>
      </c>
      <c r="B3258" s="90" t="s">
        <v>8830</v>
      </c>
    </row>
    <row r="3259" spans="1:2" x14ac:dyDescent="0.25">
      <c r="A3259" s="52" t="s">
        <v>95</v>
      </c>
      <c r="B3259" s="90" t="s">
        <v>8831</v>
      </c>
    </row>
    <row r="3260" spans="1:2" x14ac:dyDescent="0.25">
      <c r="A3260" s="52" t="s">
        <v>95</v>
      </c>
      <c r="B3260" s="90" t="s">
        <v>8832</v>
      </c>
    </row>
    <row r="3261" spans="1:2" x14ac:dyDescent="0.25">
      <c r="A3261" s="52" t="s">
        <v>95</v>
      </c>
      <c r="B3261" s="90" t="s">
        <v>8833</v>
      </c>
    </row>
    <row r="3262" spans="1:2" x14ac:dyDescent="0.25">
      <c r="A3262" s="52" t="s">
        <v>95</v>
      </c>
      <c r="B3262" s="90" t="s">
        <v>8834</v>
      </c>
    </row>
    <row r="3263" spans="1:2" x14ac:dyDescent="0.25">
      <c r="A3263" s="52" t="s">
        <v>95</v>
      </c>
      <c r="B3263" s="90" t="s">
        <v>8834</v>
      </c>
    </row>
    <row r="3264" spans="1:2" x14ac:dyDescent="0.25">
      <c r="A3264" s="52" t="s">
        <v>95</v>
      </c>
      <c r="B3264" s="90" t="s">
        <v>8835</v>
      </c>
    </row>
    <row r="3265" spans="1:2" x14ac:dyDescent="0.25">
      <c r="A3265" s="52" t="s">
        <v>95</v>
      </c>
      <c r="B3265" s="90" t="s">
        <v>8836</v>
      </c>
    </row>
    <row r="3266" spans="1:2" x14ac:dyDescent="0.25">
      <c r="A3266" s="52" t="s">
        <v>95</v>
      </c>
      <c r="B3266" s="90" t="s">
        <v>8837</v>
      </c>
    </row>
    <row r="3267" spans="1:2" x14ac:dyDescent="0.25">
      <c r="A3267" s="52" t="s">
        <v>95</v>
      </c>
      <c r="B3267" s="90" t="s">
        <v>8838</v>
      </c>
    </row>
    <row r="3268" spans="1:2" x14ac:dyDescent="0.25">
      <c r="A3268" s="52" t="s">
        <v>95</v>
      </c>
      <c r="B3268" s="90" t="s">
        <v>8839</v>
      </c>
    </row>
    <row r="3269" spans="1:2" x14ac:dyDescent="0.25">
      <c r="A3269" s="52" t="s">
        <v>95</v>
      </c>
      <c r="B3269" s="90" t="s">
        <v>8840</v>
      </c>
    </row>
    <row r="3270" spans="1:2" x14ac:dyDescent="0.25">
      <c r="A3270" s="52" t="s">
        <v>95</v>
      </c>
      <c r="B3270" s="90" t="s">
        <v>8841</v>
      </c>
    </row>
    <row r="3271" spans="1:2" x14ac:dyDescent="0.25">
      <c r="A3271" s="52" t="s">
        <v>95</v>
      </c>
      <c r="B3271" s="90" t="s">
        <v>8842</v>
      </c>
    </row>
    <row r="3272" spans="1:2" x14ac:dyDescent="0.25">
      <c r="A3272" s="52" t="s">
        <v>95</v>
      </c>
      <c r="B3272" s="90" t="s">
        <v>8843</v>
      </c>
    </row>
    <row r="3273" spans="1:2" x14ac:dyDescent="0.25">
      <c r="A3273" s="52" t="s">
        <v>95</v>
      </c>
      <c r="B3273" s="90" t="s">
        <v>8844</v>
      </c>
    </row>
    <row r="3274" spans="1:2" x14ac:dyDescent="0.25">
      <c r="A3274" s="52" t="s">
        <v>95</v>
      </c>
      <c r="B3274" s="90" t="s">
        <v>8845</v>
      </c>
    </row>
    <row r="3275" spans="1:2" x14ac:dyDescent="0.25">
      <c r="A3275" s="52" t="s">
        <v>95</v>
      </c>
      <c r="B3275" s="90" t="s">
        <v>8846</v>
      </c>
    </row>
    <row r="3276" spans="1:2" x14ac:dyDescent="0.25">
      <c r="A3276" s="52" t="s">
        <v>95</v>
      </c>
      <c r="B3276" s="90" t="s">
        <v>8847</v>
      </c>
    </row>
    <row r="3277" spans="1:2" x14ac:dyDescent="0.25">
      <c r="A3277" s="52" t="s">
        <v>95</v>
      </c>
      <c r="B3277" s="90" t="s">
        <v>8848</v>
      </c>
    </row>
    <row r="3278" spans="1:2" x14ac:dyDescent="0.25">
      <c r="A3278" s="52" t="s">
        <v>95</v>
      </c>
      <c r="B3278" s="90" t="s">
        <v>8849</v>
      </c>
    </row>
    <row r="3279" spans="1:2" x14ac:dyDescent="0.25">
      <c r="A3279" s="52" t="s">
        <v>95</v>
      </c>
      <c r="B3279" s="90" t="s">
        <v>8850</v>
      </c>
    </row>
    <row r="3280" spans="1:2" x14ac:dyDescent="0.25">
      <c r="A3280" s="52" t="s">
        <v>95</v>
      </c>
      <c r="B3280" s="90" t="s">
        <v>8851</v>
      </c>
    </row>
    <row r="3281" spans="1:2" x14ac:dyDescent="0.25">
      <c r="A3281" s="52" t="s">
        <v>95</v>
      </c>
      <c r="B3281" s="90" t="s">
        <v>8852</v>
      </c>
    </row>
    <row r="3282" spans="1:2" x14ac:dyDescent="0.25">
      <c r="A3282" s="52" t="s">
        <v>95</v>
      </c>
      <c r="B3282" s="90" t="s">
        <v>8853</v>
      </c>
    </row>
    <row r="3283" spans="1:2" x14ac:dyDescent="0.25">
      <c r="A3283" s="52" t="s">
        <v>95</v>
      </c>
      <c r="B3283" s="90" t="s">
        <v>8854</v>
      </c>
    </row>
    <row r="3284" spans="1:2" x14ac:dyDescent="0.25">
      <c r="A3284" s="52" t="s">
        <v>95</v>
      </c>
      <c r="B3284" s="90" t="s">
        <v>8855</v>
      </c>
    </row>
    <row r="3285" spans="1:2" x14ac:dyDescent="0.25">
      <c r="A3285" s="52" t="s">
        <v>95</v>
      </c>
      <c r="B3285" s="90" t="s">
        <v>8856</v>
      </c>
    </row>
    <row r="3286" spans="1:2" x14ac:dyDescent="0.25">
      <c r="A3286" s="52" t="s">
        <v>95</v>
      </c>
      <c r="B3286" s="90" t="s">
        <v>8857</v>
      </c>
    </row>
    <row r="3287" spans="1:2" x14ac:dyDescent="0.25">
      <c r="A3287" s="52" t="s">
        <v>95</v>
      </c>
      <c r="B3287" s="90" t="s">
        <v>8858</v>
      </c>
    </row>
    <row r="3288" spans="1:2" x14ac:dyDescent="0.25">
      <c r="A3288" s="52" t="s">
        <v>95</v>
      </c>
      <c r="B3288" s="90" t="s">
        <v>8859</v>
      </c>
    </row>
    <row r="3289" spans="1:2" x14ac:dyDescent="0.25">
      <c r="A3289" s="52" t="s">
        <v>95</v>
      </c>
      <c r="B3289" s="90" t="s">
        <v>8860</v>
      </c>
    </row>
    <row r="3290" spans="1:2" x14ac:dyDescent="0.25">
      <c r="A3290" s="52" t="s">
        <v>95</v>
      </c>
      <c r="B3290" s="90" t="s">
        <v>8861</v>
      </c>
    </row>
    <row r="3291" spans="1:2" x14ac:dyDescent="0.25">
      <c r="A3291" s="52" t="s">
        <v>95</v>
      </c>
      <c r="B3291" s="90" t="s">
        <v>8862</v>
      </c>
    </row>
    <row r="3292" spans="1:2" x14ac:dyDescent="0.25">
      <c r="A3292" s="52" t="s">
        <v>95</v>
      </c>
      <c r="B3292" s="90" t="s">
        <v>8863</v>
      </c>
    </row>
    <row r="3293" spans="1:2" x14ac:dyDescent="0.25">
      <c r="A3293" s="52" t="s">
        <v>95</v>
      </c>
      <c r="B3293" s="90" t="s">
        <v>8864</v>
      </c>
    </row>
    <row r="3294" spans="1:2" x14ac:dyDescent="0.25">
      <c r="A3294" s="52" t="s">
        <v>95</v>
      </c>
      <c r="B3294" s="90" t="s">
        <v>8865</v>
      </c>
    </row>
    <row r="3295" spans="1:2" x14ac:dyDescent="0.25">
      <c r="A3295" s="52" t="s">
        <v>95</v>
      </c>
      <c r="B3295" s="90" t="s">
        <v>8866</v>
      </c>
    </row>
    <row r="3296" spans="1:2" x14ac:dyDescent="0.25">
      <c r="A3296" s="52" t="s">
        <v>95</v>
      </c>
      <c r="B3296" s="90" t="s">
        <v>8867</v>
      </c>
    </row>
    <row r="3297" spans="1:2" x14ac:dyDescent="0.25">
      <c r="A3297" s="52" t="s">
        <v>95</v>
      </c>
      <c r="B3297" s="90" t="s">
        <v>8868</v>
      </c>
    </row>
    <row r="3298" spans="1:2" x14ac:dyDescent="0.25">
      <c r="A3298" s="52" t="s">
        <v>95</v>
      </c>
      <c r="B3298" s="90" t="s">
        <v>8869</v>
      </c>
    </row>
    <row r="3299" spans="1:2" x14ac:dyDescent="0.25">
      <c r="A3299" s="52" t="s">
        <v>95</v>
      </c>
      <c r="B3299" s="90" t="s">
        <v>8870</v>
      </c>
    </row>
    <row r="3300" spans="1:2" x14ac:dyDescent="0.25">
      <c r="A3300" s="52" t="s">
        <v>95</v>
      </c>
      <c r="B3300" s="90" t="s">
        <v>8871</v>
      </c>
    </row>
    <row r="3301" spans="1:2" x14ac:dyDescent="0.25">
      <c r="A3301" s="52" t="s">
        <v>95</v>
      </c>
      <c r="B3301" s="90" t="s">
        <v>8872</v>
      </c>
    </row>
    <row r="3302" spans="1:2" x14ac:dyDescent="0.25">
      <c r="A3302" s="52" t="s">
        <v>95</v>
      </c>
      <c r="B3302" s="90" t="s">
        <v>8873</v>
      </c>
    </row>
    <row r="3303" spans="1:2" x14ac:dyDescent="0.25">
      <c r="A3303" s="52" t="s">
        <v>95</v>
      </c>
      <c r="B3303" s="90" t="s">
        <v>8874</v>
      </c>
    </row>
    <row r="3304" spans="1:2" x14ac:dyDescent="0.25">
      <c r="A3304" s="52" t="s">
        <v>95</v>
      </c>
      <c r="B3304" s="90" t="s">
        <v>8875</v>
      </c>
    </row>
    <row r="3305" spans="1:2" x14ac:dyDescent="0.25">
      <c r="A3305" s="52" t="s">
        <v>95</v>
      </c>
      <c r="B3305" s="90" t="s">
        <v>8876</v>
      </c>
    </row>
    <row r="3306" spans="1:2" x14ac:dyDescent="0.25">
      <c r="A3306" s="52" t="s">
        <v>95</v>
      </c>
      <c r="B3306" s="90" t="s">
        <v>8877</v>
      </c>
    </row>
    <row r="3307" spans="1:2" x14ac:dyDescent="0.25">
      <c r="A3307" s="52" t="s">
        <v>95</v>
      </c>
      <c r="B3307" s="90" t="s">
        <v>8878</v>
      </c>
    </row>
    <row r="3308" spans="1:2" x14ac:dyDescent="0.25">
      <c r="A3308" s="52" t="s">
        <v>95</v>
      </c>
      <c r="B3308" s="90" t="s">
        <v>8879</v>
      </c>
    </row>
    <row r="3309" spans="1:2" x14ac:dyDescent="0.25">
      <c r="A3309" s="52" t="s">
        <v>95</v>
      </c>
      <c r="B3309" s="90" t="s">
        <v>8880</v>
      </c>
    </row>
    <row r="3310" spans="1:2" x14ac:dyDescent="0.25">
      <c r="A3310" s="52" t="s">
        <v>95</v>
      </c>
      <c r="B3310" s="90" t="s">
        <v>8881</v>
      </c>
    </row>
    <row r="3311" spans="1:2" x14ac:dyDescent="0.25">
      <c r="A3311" s="52" t="s">
        <v>95</v>
      </c>
      <c r="B3311" s="90" t="s">
        <v>8882</v>
      </c>
    </row>
    <row r="3312" spans="1:2" x14ac:dyDescent="0.25">
      <c r="A3312" s="52" t="s">
        <v>95</v>
      </c>
      <c r="B3312" s="90" t="s">
        <v>8883</v>
      </c>
    </row>
    <row r="3313" spans="1:2" x14ac:dyDescent="0.25">
      <c r="A3313" s="52" t="s">
        <v>95</v>
      </c>
      <c r="B3313" s="90" t="s">
        <v>8884</v>
      </c>
    </row>
    <row r="3314" spans="1:2" x14ac:dyDescent="0.25">
      <c r="A3314" s="52" t="s">
        <v>95</v>
      </c>
      <c r="B3314" s="90" t="s">
        <v>8885</v>
      </c>
    </row>
    <row r="3315" spans="1:2" x14ac:dyDescent="0.25">
      <c r="A3315" s="52" t="s">
        <v>95</v>
      </c>
      <c r="B3315" s="90" t="s">
        <v>8886</v>
      </c>
    </row>
    <row r="3316" spans="1:2" x14ac:dyDescent="0.25">
      <c r="A3316" s="52" t="s">
        <v>95</v>
      </c>
      <c r="B3316" s="90" t="s">
        <v>8887</v>
      </c>
    </row>
    <row r="3317" spans="1:2" x14ac:dyDescent="0.25">
      <c r="A3317" s="52" t="s">
        <v>95</v>
      </c>
      <c r="B3317" s="90" t="s">
        <v>8888</v>
      </c>
    </row>
    <row r="3318" spans="1:2" x14ac:dyDescent="0.25">
      <c r="A3318" s="52" t="s">
        <v>95</v>
      </c>
      <c r="B3318" s="90" t="s">
        <v>8889</v>
      </c>
    </row>
    <row r="3319" spans="1:2" x14ac:dyDescent="0.25">
      <c r="A3319" s="52" t="s">
        <v>95</v>
      </c>
      <c r="B3319" s="90" t="s">
        <v>8890</v>
      </c>
    </row>
    <row r="3320" spans="1:2" x14ac:dyDescent="0.25">
      <c r="A3320" s="52" t="s">
        <v>95</v>
      </c>
      <c r="B3320" s="90" t="s">
        <v>8891</v>
      </c>
    </row>
    <row r="3321" spans="1:2" x14ac:dyDescent="0.25">
      <c r="A3321" s="52" t="s">
        <v>95</v>
      </c>
      <c r="B3321" s="90" t="s">
        <v>8892</v>
      </c>
    </row>
    <row r="3322" spans="1:2" x14ac:dyDescent="0.25">
      <c r="A3322" s="52" t="s">
        <v>95</v>
      </c>
      <c r="B3322" s="90" t="s">
        <v>8893</v>
      </c>
    </row>
    <row r="3323" spans="1:2" x14ac:dyDescent="0.25">
      <c r="A3323" s="52" t="s">
        <v>95</v>
      </c>
      <c r="B3323" s="90" t="s">
        <v>8894</v>
      </c>
    </row>
    <row r="3324" spans="1:2" x14ac:dyDescent="0.25">
      <c r="A3324" s="52" t="s">
        <v>95</v>
      </c>
      <c r="B3324" s="90" t="s">
        <v>8895</v>
      </c>
    </row>
    <row r="3325" spans="1:2" x14ac:dyDescent="0.25">
      <c r="A3325" s="52" t="s">
        <v>95</v>
      </c>
      <c r="B3325" s="90" t="s">
        <v>8896</v>
      </c>
    </row>
    <row r="3326" spans="1:2" x14ac:dyDescent="0.25">
      <c r="A3326" s="52" t="s">
        <v>95</v>
      </c>
      <c r="B3326" s="90" t="s">
        <v>8897</v>
      </c>
    </row>
    <row r="3327" spans="1:2" x14ac:dyDescent="0.25">
      <c r="A3327" s="52" t="s">
        <v>95</v>
      </c>
      <c r="B3327" s="90" t="s">
        <v>8898</v>
      </c>
    </row>
    <row r="3328" spans="1:2" x14ac:dyDescent="0.25">
      <c r="A3328" s="52" t="s">
        <v>95</v>
      </c>
      <c r="B3328" s="90" t="s">
        <v>8899</v>
      </c>
    </row>
    <row r="3329" spans="1:2" x14ac:dyDescent="0.25">
      <c r="A3329" s="52" t="s">
        <v>95</v>
      </c>
      <c r="B3329" s="90" t="s">
        <v>8900</v>
      </c>
    </row>
    <row r="3330" spans="1:2" x14ac:dyDescent="0.25">
      <c r="A3330" s="52" t="s">
        <v>95</v>
      </c>
      <c r="B3330" s="90" t="s">
        <v>8901</v>
      </c>
    </row>
    <row r="3331" spans="1:2" x14ac:dyDescent="0.25">
      <c r="A3331" s="52" t="s">
        <v>95</v>
      </c>
      <c r="B3331" s="90" t="s">
        <v>8902</v>
      </c>
    </row>
    <row r="3332" spans="1:2" x14ac:dyDescent="0.25">
      <c r="A3332" s="52" t="s">
        <v>95</v>
      </c>
      <c r="B3332" s="90" t="s">
        <v>8903</v>
      </c>
    </row>
    <row r="3333" spans="1:2" x14ac:dyDescent="0.25">
      <c r="A3333" s="52" t="s">
        <v>95</v>
      </c>
      <c r="B3333" s="90" t="s">
        <v>8904</v>
      </c>
    </row>
    <row r="3334" spans="1:2" x14ac:dyDescent="0.25">
      <c r="A3334" s="52" t="s">
        <v>95</v>
      </c>
      <c r="B3334" s="90" t="s">
        <v>8905</v>
      </c>
    </row>
    <row r="3335" spans="1:2" x14ac:dyDescent="0.25">
      <c r="A3335" s="52" t="s">
        <v>95</v>
      </c>
      <c r="B3335" s="90" t="s">
        <v>8906</v>
      </c>
    </row>
    <row r="3336" spans="1:2" x14ac:dyDescent="0.25">
      <c r="A3336" s="52" t="s">
        <v>95</v>
      </c>
      <c r="B3336" s="90" t="s">
        <v>8907</v>
      </c>
    </row>
    <row r="3337" spans="1:2" x14ac:dyDescent="0.25">
      <c r="A3337" s="52" t="s">
        <v>95</v>
      </c>
      <c r="B3337" s="90" t="s">
        <v>8908</v>
      </c>
    </row>
    <row r="3338" spans="1:2" x14ac:dyDescent="0.25">
      <c r="A3338" s="52" t="s">
        <v>95</v>
      </c>
      <c r="B3338" s="90" t="s">
        <v>8909</v>
      </c>
    </row>
    <row r="3339" spans="1:2" x14ac:dyDescent="0.25">
      <c r="A3339" s="52" t="s">
        <v>95</v>
      </c>
      <c r="B3339" s="90" t="s">
        <v>8909</v>
      </c>
    </row>
    <row r="3340" spans="1:2" x14ac:dyDescent="0.25">
      <c r="A3340" s="52" t="s">
        <v>95</v>
      </c>
      <c r="B3340" s="90" t="s">
        <v>8910</v>
      </c>
    </row>
    <row r="3341" spans="1:2" x14ac:dyDescent="0.25">
      <c r="A3341" s="52" t="s">
        <v>95</v>
      </c>
      <c r="B3341" s="90" t="s">
        <v>8911</v>
      </c>
    </row>
    <row r="3342" spans="1:2" x14ac:dyDescent="0.25">
      <c r="A3342" s="52" t="s">
        <v>95</v>
      </c>
      <c r="B3342" s="90" t="s">
        <v>8912</v>
      </c>
    </row>
    <row r="3343" spans="1:2" x14ac:dyDescent="0.25">
      <c r="A3343" s="52" t="s">
        <v>95</v>
      </c>
      <c r="B3343" s="90" t="s">
        <v>8913</v>
      </c>
    </row>
    <row r="3344" spans="1:2" x14ac:dyDescent="0.25">
      <c r="A3344" s="52" t="s">
        <v>95</v>
      </c>
      <c r="B3344" s="90" t="s">
        <v>8914</v>
      </c>
    </row>
    <row r="3345" spans="1:2" x14ac:dyDescent="0.25">
      <c r="A3345" s="52" t="s">
        <v>95</v>
      </c>
      <c r="B3345" s="90" t="s">
        <v>8915</v>
      </c>
    </row>
    <row r="3346" spans="1:2" x14ac:dyDescent="0.25">
      <c r="A3346" s="52" t="s">
        <v>95</v>
      </c>
      <c r="B3346" s="90" t="s">
        <v>8916</v>
      </c>
    </row>
    <row r="3347" spans="1:2" x14ac:dyDescent="0.25">
      <c r="A3347" s="52" t="s">
        <v>95</v>
      </c>
      <c r="B3347" s="90" t="s">
        <v>8917</v>
      </c>
    </row>
    <row r="3348" spans="1:2" x14ac:dyDescent="0.25">
      <c r="A3348" s="52" t="s">
        <v>95</v>
      </c>
      <c r="B3348" s="90" t="s">
        <v>8918</v>
      </c>
    </row>
    <row r="3349" spans="1:2" x14ac:dyDescent="0.25">
      <c r="A3349" s="52" t="s">
        <v>95</v>
      </c>
      <c r="B3349" s="90" t="s">
        <v>8919</v>
      </c>
    </row>
    <row r="3350" spans="1:2" x14ac:dyDescent="0.25">
      <c r="A3350" s="52" t="s">
        <v>95</v>
      </c>
      <c r="B3350" s="90" t="s">
        <v>8920</v>
      </c>
    </row>
    <row r="3351" spans="1:2" x14ac:dyDescent="0.25">
      <c r="A3351" s="52" t="s">
        <v>95</v>
      </c>
      <c r="B3351" s="90" t="s">
        <v>8921</v>
      </c>
    </row>
    <row r="3352" spans="1:2" x14ac:dyDescent="0.25">
      <c r="A3352" s="52" t="s">
        <v>95</v>
      </c>
      <c r="B3352" s="90" t="s">
        <v>8922</v>
      </c>
    </row>
    <row r="3353" spans="1:2" x14ac:dyDescent="0.25">
      <c r="A3353" s="52" t="s">
        <v>95</v>
      </c>
      <c r="B3353" s="90" t="s">
        <v>8923</v>
      </c>
    </row>
    <row r="3354" spans="1:2" x14ac:dyDescent="0.25">
      <c r="A3354" s="52" t="s">
        <v>95</v>
      </c>
      <c r="B3354" s="90" t="s">
        <v>8924</v>
      </c>
    </row>
    <row r="3355" spans="1:2" x14ac:dyDescent="0.25">
      <c r="A3355" s="52" t="s">
        <v>95</v>
      </c>
      <c r="B3355" s="90" t="s">
        <v>8925</v>
      </c>
    </row>
    <row r="3356" spans="1:2" x14ac:dyDescent="0.25">
      <c r="A3356" s="52" t="s">
        <v>95</v>
      </c>
      <c r="B3356" s="90" t="s">
        <v>8926</v>
      </c>
    </row>
    <row r="3357" spans="1:2" x14ac:dyDescent="0.25">
      <c r="A3357" s="52" t="s">
        <v>95</v>
      </c>
      <c r="B3357" s="90" t="s">
        <v>8927</v>
      </c>
    </row>
    <row r="3358" spans="1:2" x14ac:dyDescent="0.25">
      <c r="A3358" s="52" t="s">
        <v>95</v>
      </c>
      <c r="B3358" s="90" t="s">
        <v>8928</v>
      </c>
    </row>
    <row r="3359" spans="1:2" x14ac:dyDescent="0.25">
      <c r="A3359" s="52" t="s">
        <v>95</v>
      </c>
      <c r="B3359" s="90" t="s">
        <v>8929</v>
      </c>
    </row>
    <row r="3360" spans="1:2" x14ac:dyDescent="0.25">
      <c r="A3360" s="52" t="s">
        <v>95</v>
      </c>
      <c r="B3360" s="90" t="s">
        <v>8930</v>
      </c>
    </row>
    <row r="3361" spans="1:2" x14ac:dyDescent="0.25">
      <c r="A3361" s="52" t="s">
        <v>95</v>
      </c>
      <c r="B3361" s="90" t="s">
        <v>8931</v>
      </c>
    </row>
    <row r="3362" spans="1:2" x14ac:dyDescent="0.25">
      <c r="A3362" s="52" t="s">
        <v>95</v>
      </c>
      <c r="B3362" s="90" t="s">
        <v>8932</v>
      </c>
    </row>
    <row r="3363" spans="1:2" x14ac:dyDescent="0.25">
      <c r="A3363" s="52" t="s">
        <v>95</v>
      </c>
      <c r="B3363" s="90" t="s">
        <v>8933</v>
      </c>
    </row>
    <row r="3364" spans="1:2" x14ac:dyDescent="0.25">
      <c r="A3364" s="52" t="s">
        <v>95</v>
      </c>
      <c r="B3364" s="90" t="s">
        <v>8934</v>
      </c>
    </row>
    <row r="3365" spans="1:2" x14ac:dyDescent="0.25">
      <c r="A3365" s="52" t="s">
        <v>95</v>
      </c>
      <c r="B3365" s="90" t="s">
        <v>8934</v>
      </c>
    </row>
    <row r="3366" spans="1:2" x14ac:dyDescent="0.25">
      <c r="A3366" s="52" t="s">
        <v>95</v>
      </c>
      <c r="B3366" s="90" t="s">
        <v>8935</v>
      </c>
    </row>
    <row r="3367" spans="1:2" x14ac:dyDescent="0.25">
      <c r="A3367" s="52" t="s">
        <v>95</v>
      </c>
      <c r="B3367" s="90" t="s">
        <v>8936</v>
      </c>
    </row>
    <row r="3368" spans="1:2" x14ac:dyDescent="0.25">
      <c r="A3368" s="52" t="s">
        <v>95</v>
      </c>
      <c r="B3368" s="90" t="s">
        <v>8937</v>
      </c>
    </row>
    <row r="3369" spans="1:2" x14ac:dyDescent="0.25">
      <c r="A3369" s="52" t="s">
        <v>95</v>
      </c>
      <c r="B3369" s="90" t="s">
        <v>8938</v>
      </c>
    </row>
    <row r="3370" spans="1:2" x14ac:dyDescent="0.25">
      <c r="A3370" s="52" t="s">
        <v>95</v>
      </c>
      <c r="B3370" s="90" t="s">
        <v>8938</v>
      </c>
    </row>
    <row r="3371" spans="1:2" x14ac:dyDescent="0.25">
      <c r="A3371" s="52" t="s">
        <v>95</v>
      </c>
      <c r="B3371" s="90" t="s">
        <v>8939</v>
      </c>
    </row>
    <row r="3372" spans="1:2" x14ac:dyDescent="0.25">
      <c r="A3372" s="52" t="s">
        <v>95</v>
      </c>
      <c r="B3372" s="90" t="s">
        <v>8940</v>
      </c>
    </row>
    <row r="3373" spans="1:2" x14ac:dyDescent="0.25">
      <c r="A3373" s="52" t="s">
        <v>95</v>
      </c>
      <c r="B3373" s="90" t="s">
        <v>8940</v>
      </c>
    </row>
    <row r="3374" spans="1:2" x14ac:dyDescent="0.25">
      <c r="A3374" s="52" t="s">
        <v>95</v>
      </c>
      <c r="B3374" s="90" t="s">
        <v>8941</v>
      </c>
    </row>
    <row r="3375" spans="1:2" x14ac:dyDescent="0.25">
      <c r="A3375" s="52" t="s">
        <v>95</v>
      </c>
      <c r="B3375" s="90" t="s">
        <v>8942</v>
      </c>
    </row>
    <row r="3376" spans="1:2" x14ac:dyDescent="0.25">
      <c r="A3376" s="52" t="s">
        <v>95</v>
      </c>
      <c r="B3376" s="90" t="s">
        <v>8943</v>
      </c>
    </row>
    <row r="3377" spans="1:2" x14ac:dyDescent="0.25">
      <c r="A3377" s="52" t="s">
        <v>95</v>
      </c>
      <c r="B3377" s="90" t="s">
        <v>8944</v>
      </c>
    </row>
    <row r="3378" spans="1:2" x14ac:dyDescent="0.25">
      <c r="A3378" s="52" t="s">
        <v>95</v>
      </c>
      <c r="B3378" s="90" t="s">
        <v>8945</v>
      </c>
    </row>
    <row r="3379" spans="1:2" x14ac:dyDescent="0.25">
      <c r="A3379" s="52" t="s">
        <v>95</v>
      </c>
      <c r="B3379" s="90" t="s">
        <v>8946</v>
      </c>
    </row>
    <row r="3380" spans="1:2" x14ac:dyDescent="0.25">
      <c r="A3380" s="52" t="s">
        <v>95</v>
      </c>
      <c r="B3380" s="90" t="s">
        <v>8947</v>
      </c>
    </row>
    <row r="3381" spans="1:2" x14ac:dyDescent="0.25">
      <c r="A3381" s="52" t="s">
        <v>95</v>
      </c>
      <c r="B3381" s="90" t="s">
        <v>8948</v>
      </c>
    </row>
    <row r="3382" spans="1:2" x14ac:dyDescent="0.25">
      <c r="A3382" s="52" t="s">
        <v>95</v>
      </c>
      <c r="B3382" s="90" t="s">
        <v>8949</v>
      </c>
    </row>
    <row r="3383" spans="1:2" x14ac:dyDescent="0.25">
      <c r="A3383" s="52" t="s">
        <v>95</v>
      </c>
      <c r="B3383" s="90" t="s">
        <v>8950</v>
      </c>
    </row>
    <row r="3384" spans="1:2" x14ac:dyDescent="0.25">
      <c r="A3384" s="52" t="s">
        <v>95</v>
      </c>
      <c r="B3384" s="90" t="s">
        <v>8951</v>
      </c>
    </row>
    <row r="3385" spans="1:2" x14ac:dyDescent="0.25">
      <c r="A3385" s="52" t="s">
        <v>95</v>
      </c>
      <c r="B3385" s="90" t="s">
        <v>8952</v>
      </c>
    </row>
    <row r="3386" spans="1:2" x14ac:dyDescent="0.25">
      <c r="A3386" s="52" t="s">
        <v>95</v>
      </c>
      <c r="B3386" s="90" t="s">
        <v>8953</v>
      </c>
    </row>
    <row r="3387" spans="1:2" x14ac:dyDescent="0.25">
      <c r="A3387" s="52" t="s">
        <v>95</v>
      </c>
      <c r="B3387" s="90" t="s">
        <v>8954</v>
      </c>
    </row>
    <row r="3388" spans="1:2" x14ac:dyDescent="0.25">
      <c r="A3388" s="52" t="s">
        <v>95</v>
      </c>
      <c r="B3388" s="90" t="s">
        <v>8955</v>
      </c>
    </row>
    <row r="3389" spans="1:2" x14ac:dyDescent="0.25">
      <c r="A3389" s="52" t="s">
        <v>95</v>
      </c>
      <c r="B3389" s="90" t="s">
        <v>8956</v>
      </c>
    </row>
    <row r="3390" spans="1:2" x14ac:dyDescent="0.25">
      <c r="A3390" s="52" t="s">
        <v>95</v>
      </c>
      <c r="B3390" s="90" t="s">
        <v>8957</v>
      </c>
    </row>
    <row r="3391" spans="1:2" x14ac:dyDescent="0.25">
      <c r="A3391" s="52" t="s">
        <v>95</v>
      </c>
      <c r="B3391" s="90" t="s">
        <v>8958</v>
      </c>
    </row>
    <row r="3392" spans="1:2" x14ac:dyDescent="0.25">
      <c r="A3392" s="52" t="s">
        <v>95</v>
      </c>
      <c r="B3392" s="90" t="s">
        <v>8959</v>
      </c>
    </row>
    <row r="3393" spans="1:2" x14ac:dyDescent="0.25">
      <c r="A3393" s="52" t="s">
        <v>95</v>
      </c>
      <c r="B3393" s="90" t="s">
        <v>8960</v>
      </c>
    </row>
    <row r="3394" spans="1:2" x14ac:dyDescent="0.25">
      <c r="A3394" s="52" t="s">
        <v>95</v>
      </c>
      <c r="B3394" s="90" t="s">
        <v>8961</v>
      </c>
    </row>
    <row r="3395" spans="1:2" x14ac:dyDescent="0.25">
      <c r="A3395" s="52" t="s">
        <v>95</v>
      </c>
      <c r="B3395" s="90" t="s">
        <v>8961</v>
      </c>
    </row>
    <row r="3396" spans="1:2" x14ac:dyDescent="0.25">
      <c r="A3396" s="52" t="s">
        <v>95</v>
      </c>
      <c r="B3396" s="90" t="s">
        <v>8962</v>
      </c>
    </row>
    <row r="3397" spans="1:2" x14ac:dyDescent="0.25">
      <c r="A3397" s="52" t="s">
        <v>95</v>
      </c>
      <c r="B3397" s="90" t="s">
        <v>8963</v>
      </c>
    </row>
    <row r="3398" spans="1:2" x14ac:dyDescent="0.25">
      <c r="A3398" s="52" t="s">
        <v>95</v>
      </c>
      <c r="B3398" s="90" t="s">
        <v>8964</v>
      </c>
    </row>
    <row r="3399" spans="1:2" x14ac:dyDescent="0.25">
      <c r="A3399" s="52" t="s">
        <v>95</v>
      </c>
      <c r="B3399" s="90" t="s">
        <v>8965</v>
      </c>
    </row>
    <row r="3400" spans="1:2" x14ac:dyDescent="0.25">
      <c r="A3400" s="52" t="s">
        <v>95</v>
      </c>
      <c r="B3400" s="90" t="s">
        <v>8966</v>
      </c>
    </row>
    <row r="3401" spans="1:2" x14ac:dyDescent="0.25">
      <c r="A3401" s="52" t="s">
        <v>95</v>
      </c>
      <c r="B3401" s="90" t="s">
        <v>8967</v>
      </c>
    </row>
    <row r="3402" spans="1:2" x14ac:dyDescent="0.25">
      <c r="A3402" s="52" t="s">
        <v>95</v>
      </c>
      <c r="B3402" s="90" t="s">
        <v>8968</v>
      </c>
    </row>
    <row r="3403" spans="1:2" x14ac:dyDescent="0.25">
      <c r="A3403" s="52" t="s">
        <v>95</v>
      </c>
      <c r="B3403" s="90" t="s">
        <v>8969</v>
      </c>
    </row>
    <row r="3404" spans="1:2" x14ac:dyDescent="0.25">
      <c r="A3404" s="52" t="s">
        <v>95</v>
      </c>
      <c r="B3404" s="90" t="s">
        <v>8970</v>
      </c>
    </row>
    <row r="3405" spans="1:2" x14ac:dyDescent="0.25">
      <c r="A3405" s="52" t="s">
        <v>95</v>
      </c>
      <c r="B3405" s="90" t="s">
        <v>8971</v>
      </c>
    </row>
    <row r="3406" spans="1:2" x14ac:dyDescent="0.25">
      <c r="A3406" s="52" t="s">
        <v>95</v>
      </c>
      <c r="B3406" s="90" t="s">
        <v>8972</v>
      </c>
    </row>
    <row r="3407" spans="1:2" x14ac:dyDescent="0.25">
      <c r="A3407" s="52" t="s">
        <v>95</v>
      </c>
      <c r="B3407" s="90" t="s">
        <v>8973</v>
      </c>
    </row>
    <row r="3408" spans="1:2" x14ac:dyDescent="0.25">
      <c r="A3408" s="52" t="s">
        <v>95</v>
      </c>
      <c r="B3408" s="90" t="s">
        <v>8974</v>
      </c>
    </row>
    <row r="3409" spans="1:2" x14ac:dyDescent="0.25">
      <c r="A3409" s="52" t="s">
        <v>95</v>
      </c>
      <c r="B3409" s="90" t="s">
        <v>8975</v>
      </c>
    </row>
    <row r="3410" spans="1:2" x14ac:dyDescent="0.25">
      <c r="A3410" s="52" t="s">
        <v>95</v>
      </c>
      <c r="B3410" s="90" t="s">
        <v>8976</v>
      </c>
    </row>
    <row r="3411" spans="1:2" x14ac:dyDescent="0.25">
      <c r="A3411" s="52" t="s">
        <v>95</v>
      </c>
      <c r="B3411" s="90" t="s">
        <v>8977</v>
      </c>
    </row>
    <row r="3412" spans="1:2" x14ac:dyDescent="0.25">
      <c r="A3412" s="52" t="s">
        <v>95</v>
      </c>
      <c r="B3412" s="90" t="s">
        <v>8978</v>
      </c>
    </row>
    <row r="3413" spans="1:2" x14ac:dyDescent="0.25">
      <c r="A3413" s="52" t="s">
        <v>95</v>
      </c>
      <c r="B3413" s="90" t="s">
        <v>8979</v>
      </c>
    </row>
    <row r="3414" spans="1:2" x14ac:dyDescent="0.25">
      <c r="A3414" s="52" t="s">
        <v>95</v>
      </c>
      <c r="B3414" s="90" t="s">
        <v>8980</v>
      </c>
    </row>
    <row r="3415" spans="1:2" x14ac:dyDescent="0.25">
      <c r="A3415" s="52" t="s">
        <v>95</v>
      </c>
      <c r="B3415" s="90" t="s">
        <v>8981</v>
      </c>
    </row>
    <row r="3416" spans="1:2" x14ac:dyDescent="0.25">
      <c r="A3416" s="52" t="s">
        <v>95</v>
      </c>
      <c r="B3416" s="90" t="s">
        <v>3021</v>
      </c>
    </row>
    <row r="3417" spans="1:2" x14ac:dyDescent="0.25">
      <c r="A3417" s="52" t="s">
        <v>95</v>
      </c>
      <c r="B3417" s="90" t="s">
        <v>8982</v>
      </c>
    </row>
    <row r="3418" spans="1:2" x14ac:dyDescent="0.25">
      <c r="A3418" s="52" t="s">
        <v>95</v>
      </c>
      <c r="B3418" s="90" t="s">
        <v>8983</v>
      </c>
    </row>
    <row r="3419" spans="1:2" x14ac:dyDescent="0.25">
      <c r="A3419" s="52" t="s">
        <v>95</v>
      </c>
      <c r="B3419" s="90" t="s">
        <v>3814</v>
      </c>
    </row>
    <row r="3420" spans="1:2" x14ac:dyDescent="0.25">
      <c r="A3420" s="52" t="s">
        <v>95</v>
      </c>
      <c r="B3420" s="90" t="s">
        <v>8984</v>
      </c>
    </row>
    <row r="3421" spans="1:2" x14ac:dyDescent="0.25">
      <c r="A3421" s="52" t="s">
        <v>95</v>
      </c>
      <c r="B3421" s="90" t="s">
        <v>8985</v>
      </c>
    </row>
    <row r="3422" spans="1:2" x14ac:dyDescent="0.25">
      <c r="A3422" s="52" t="s">
        <v>95</v>
      </c>
      <c r="B3422" s="90" t="s">
        <v>8986</v>
      </c>
    </row>
    <row r="3423" spans="1:2" x14ac:dyDescent="0.25">
      <c r="A3423" s="52" t="s">
        <v>95</v>
      </c>
      <c r="B3423" s="90" t="s">
        <v>8987</v>
      </c>
    </row>
    <row r="3424" spans="1:2" x14ac:dyDescent="0.25">
      <c r="A3424" s="52" t="s">
        <v>95</v>
      </c>
      <c r="B3424" s="90" t="s">
        <v>8988</v>
      </c>
    </row>
    <row r="3425" spans="1:2" x14ac:dyDescent="0.25">
      <c r="A3425" s="52" t="s">
        <v>95</v>
      </c>
      <c r="B3425" s="90" t="s">
        <v>8989</v>
      </c>
    </row>
    <row r="3426" spans="1:2" x14ac:dyDescent="0.25">
      <c r="A3426" s="52" t="s">
        <v>95</v>
      </c>
      <c r="B3426" s="90" t="s">
        <v>8990</v>
      </c>
    </row>
    <row r="3427" spans="1:2" x14ac:dyDescent="0.25">
      <c r="A3427" s="52" t="s">
        <v>95</v>
      </c>
      <c r="B3427" s="90" t="s">
        <v>8991</v>
      </c>
    </row>
    <row r="3428" spans="1:2" x14ac:dyDescent="0.25">
      <c r="A3428" s="52" t="s">
        <v>95</v>
      </c>
      <c r="B3428" s="90" t="s">
        <v>8992</v>
      </c>
    </row>
    <row r="3429" spans="1:2" x14ac:dyDescent="0.25">
      <c r="A3429" s="52" t="s">
        <v>95</v>
      </c>
      <c r="B3429" s="90" t="s">
        <v>8993</v>
      </c>
    </row>
    <row r="3430" spans="1:2" x14ac:dyDescent="0.25">
      <c r="A3430" s="52" t="s">
        <v>95</v>
      </c>
      <c r="B3430" s="90" t="s">
        <v>8994</v>
      </c>
    </row>
    <row r="3431" spans="1:2" x14ac:dyDescent="0.25">
      <c r="A3431" s="52" t="s">
        <v>95</v>
      </c>
      <c r="B3431" s="90" t="s">
        <v>8995</v>
      </c>
    </row>
    <row r="3432" spans="1:2" x14ac:dyDescent="0.25">
      <c r="A3432" s="52" t="s">
        <v>95</v>
      </c>
      <c r="B3432" s="90" t="s">
        <v>8996</v>
      </c>
    </row>
    <row r="3433" spans="1:2" x14ac:dyDescent="0.25">
      <c r="A3433" s="52" t="s">
        <v>95</v>
      </c>
      <c r="B3433" s="90" t="s">
        <v>8997</v>
      </c>
    </row>
    <row r="3434" spans="1:2" x14ac:dyDescent="0.25">
      <c r="A3434" s="52" t="s">
        <v>95</v>
      </c>
      <c r="B3434" s="90" t="s">
        <v>8998</v>
      </c>
    </row>
    <row r="3435" spans="1:2" x14ac:dyDescent="0.25">
      <c r="A3435" s="52" t="s">
        <v>95</v>
      </c>
      <c r="B3435" s="90" t="s">
        <v>8999</v>
      </c>
    </row>
    <row r="3436" spans="1:2" x14ac:dyDescent="0.25">
      <c r="A3436" s="52" t="s">
        <v>95</v>
      </c>
      <c r="B3436" s="90" t="s">
        <v>9000</v>
      </c>
    </row>
    <row r="3437" spans="1:2" x14ac:dyDescent="0.25">
      <c r="A3437" s="52" t="s">
        <v>95</v>
      </c>
      <c r="B3437" s="90" t="s">
        <v>9001</v>
      </c>
    </row>
    <row r="3438" spans="1:2" x14ac:dyDescent="0.25">
      <c r="A3438" s="52" t="s">
        <v>95</v>
      </c>
      <c r="B3438" s="90" t="s">
        <v>9002</v>
      </c>
    </row>
    <row r="3439" spans="1:2" x14ac:dyDescent="0.25">
      <c r="A3439" s="52" t="s">
        <v>95</v>
      </c>
      <c r="B3439" s="90" t="s">
        <v>9003</v>
      </c>
    </row>
    <row r="3440" spans="1:2" x14ac:dyDescent="0.25">
      <c r="A3440" s="52" t="s">
        <v>95</v>
      </c>
      <c r="B3440" s="90" t="s">
        <v>9004</v>
      </c>
    </row>
    <row r="3441" spans="1:2" x14ac:dyDescent="0.25">
      <c r="A3441" s="52" t="s">
        <v>95</v>
      </c>
      <c r="B3441" s="90" t="s">
        <v>9005</v>
      </c>
    </row>
    <row r="3442" spans="1:2" x14ac:dyDescent="0.25">
      <c r="A3442" s="52" t="s">
        <v>95</v>
      </c>
      <c r="B3442" s="90" t="s">
        <v>9006</v>
      </c>
    </row>
    <row r="3443" spans="1:2" x14ac:dyDescent="0.25">
      <c r="A3443" s="52" t="s">
        <v>95</v>
      </c>
      <c r="B3443" s="90" t="s">
        <v>9007</v>
      </c>
    </row>
    <row r="3444" spans="1:2" x14ac:dyDescent="0.25">
      <c r="A3444" s="52" t="s">
        <v>95</v>
      </c>
      <c r="B3444" s="90" t="s">
        <v>9008</v>
      </c>
    </row>
    <row r="3445" spans="1:2" x14ac:dyDescent="0.25">
      <c r="A3445" s="52" t="s">
        <v>95</v>
      </c>
      <c r="B3445" s="90" t="s">
        <v>9009</v>
      </c>
    </row>
    <row r="3446" spans="1:2" x14ac:dyDescent="0.25">
      <c r="A3446" s="52" t="s">
        <v>95</v>
      </c>
      <c r="B3446" s="90" t="s">
        <v>9010</v>
      </c>
    </row>
    <row r="3447" spans="1:2" x14ac:dyDescent="0.25">
      <c r="A3447" s="52" t="s">
        <v>95</v>
      </c>
      <c r="B3447" s="90" t="s">
        <v>9011</v>
      </c>
    </row>
    <row r="3448" spans="1:2" x14ac:dyDescent="0.25">
      <c r="A3448" s="52" t="s">
        <v>95</v>
      </c>
      <c r="B3448" s="90" t="s">
        <v>9012</v>
      </c>
    </row>
    <row r="3449" spans="1:2" x14ac:dyDescent="0.25">
      <c r="A3449" s="52" t="s">
        <v>95</v>
      </c>
      <c r="B3449" s="90" t="s">
        <v>9013</v>
      </c>
    </row>
    <row r="3450" spans="1:2" x14ac:dyDescent="0.25">
      <c r="A3450" s="52" t="s">
        <v>95</v>
      </c>
      <c r="B3450" s="90" t="s">
        <v>9014</v>
      </c>
    </row>
    <row r="3451" spans="1:2" x14ac:dyDescent="0.25">
      <c r="A3451" s="52" t="s">
        <v>95</v>
      </c>
      <c r="B3451" s="90" t="s">
        <v>9015</v>
      </c>
    </row>
    <row r="3452" spans="1:2" x14ac:dyDescent="0.25">
      <c r="A3452" s="52" t="s">
        <v>95</v>
      </c>
      <c r="B3452" s="90" t="s">
        <v>9016</v>
      </c>
    </row>
    <row r="3453" spans="1:2" x14ac:dyDescent="0.25">
      <c r="A3453" s="52" t="s">
        <v>95</v>
      </c>
      <c r="B3453" s="90" t="s">
        <v>9017</v>
      </c>
    </row>
    <row r="3454" spans="1:2" x14ac:dyDescent="0.25">
      <c r="A3454" s="52" t="s">
        <v>95</v>
      </c>
      <c r="B3454" s="90" t="s">
        <v>9018</v>
      </c>
    </row>
    <row r="3455" spans="1:2" x14ac:dyDescent="0.25">
      <c r="A3455" s="52" t="s">
        <v>95</v>
      </c>
      <c r="B3455" s="90" t="s">
        <v>9019</v>
      </c>
    </row>
    <row r="3456" spans="1:2" x14ac:dyDescent="0.25">
      <c r="A3456" s="52" t="s">
        <v>95</v>
      </c>
      <c r="B3456" s="90" t="s">
        <v>9020</v>
      </c>
    </row>
    <row r="3457" spans="1:2" x14ac:dyDescent="0.25">
      <c r="A3457" s="52" t="s">
        <v>95</v>
      </c>
      <c r="B3457" s="90" t="s">
        <v>9021</v>
      </c>
    </row>
    <row r="3458" spans="1:2" x14ac:dyDescent="0.25">
      <c r="A3458" s="52" t="s">
        <v>95</v>
      </c>
      <c r="B3458" s="90" t="s">
        <v>9022</v>
      </c>
    </row>
    <row r="3459" spans="1:2" x14ac:dyDescent="0.25">
      <c r="A3459" s="52" t="s">
        <v>95</v>
      </c>
      <c r="B3459" s="90" t="s">
        <v>9023</v>
      </c>
    </row>
    <row r="3460" spans="1:2" x14ac:dyDescent="0.25">
      <c r="A3460" s="52" t="s">
        <v>95</v>
      </c>
      <c r="B3460" s="90" t="s">
        <v>9024</v>
      </c>
    </row>
    <row r="3461" spans="1:2" x14ac:dyDescent="0.25">
      <c r="A3461" s="52" t="s">
        <v>95</v>
      </c>
      <c r="B3461" s="90" t="s">
        <v>9025</v>
      </c>
    </row>
    <row r="3462" spans="1:2" x14ac:dyDescent="0.25">
      <c r="A3462" s="52" t="s">
        <v>95</v>
      </c>
      <c r="B3462" s="90" t="s">
        <v>9026</v>
      </c>
    </row>
    <row r="3463" spans="1:2" x14ac:dyDescent="0.25">
      <c r="A3463" s="52" t="s">
        <v>95</v>
      </c>
      <c r="B3463" s="90" t="s">
        <v>9027</v>
      </c>
    </row>
    <row r="3464" spans="1:2" x14ac:dyDescent="0.25">
      <c r="A3464" s="52" t="s">
        <v>95</v>
      </c>
      <c r="B3464" s="90" t="s">
        <v>9028</v>
      </c>
    </row>
    <row r="3465" spans="1:2" x14ac:dyDescent="0.25">
      <c r="A3465" s="52" t="s">
        <v>95</v>
      </c>
      <c r="B3465" s="90" t="s">
        <v>9029</v>
      </c>
    </row>
    <row r="3466" spans="1:2" x14ac:dyDescent="0.25">
      <c r="A3466" s="52" t="s">
        <v>95</v>
      </c>
      <c r="B3466" s="90" t="s">
        <v>9030</v>
      </c>
    </row>
    <row r="3467" spans="1:2" x14ac:dyDescent="0.25">
      <c r="A3467" s="52" t="s">
        <v>95</v>
      </c>
      <c r="B3467" s="90" t="s">
        <v>9031</v>
      </c>
    </row>
    <row r="3468" spans="1:2" x14ac:dyDescent="0.25">
      <c r="A3468" s="52" t="s">
        <v>95</v>
      </c>
      <c r="B3468" s="90" t="s">
        <v>9032</v>
      </c>
    </row>
    <row r="3469" spans="1:2" x14ac:dyDescent="0.25">
      <c r="A3469" s="52" t="s">
        <v>95</v>
      </c>
      <c r="B3469" s="90" t="s">
        <v>9033</v>
      </c>
    </row>
    <row r="3470" spans="1:2" x14ac:dyDescent="0.25">
      <c r="A3470" s="52" t="s">
        <v>95</v>
      </c>
      <c r="B3470" s="90" t="s">
        <v>9034</v>
      </c>
    </row>
    <row r="3471" spans="1:2" x14ac:dyDescent="0.25">
      <c r="A3471" s="52" t="s">
        <v>95</v>
      </c>
      <c r="B3471" s="90" t="s">
        <v>9035</v>
      </c>
    </row>
    <row r="3472" spans="1:2" x14ac:dyDescent="0.25">
      <c r="A3472" s="52" t="s">
        <v>95</v>
      </c>
      <c r="B3472" s="90" t="s">
        <v>9036</v>
      </c>
    </row>
    <row r="3473" spans="1:2" x14ac:dyDescent="0.25">
      <c r="A3473" s="52" t="s">
        <v>95</v>
      </c>
      <c r="B3473" s="90" t="s">
        <v>9037</v>
      </c>
    </row>
    <row r="3474" spans="1:2" x14ac:dyDescent="0.25">
      <c r="A3474" s="52" t="s">
        <v>95</v>
      </c>
      <c r="B3474" s="90" t="s">
        <v>9038</v>
      </c>
    </row>
    <row r="3475" spans="1:2" x14ac:dyDescent="0.25">
      <c r="A3475" s="52" t="s">
        <v>95</v>
      </c>
      <c r="B3475" s="90" t="s">
        <v>9039</v>
      </c>
    </row>
    <row r="3476" spans="1:2" x14ac:dyDescent="0.25">
      <c r="A3476" s="52" t="s">
        <v>95</v>
      </c>
      <c r="B3476" s="90" t="s">
        <v>9040</v>
      </c>
    </row>
    <row r="3477" spans="1:2" x14ac:dyDescent="0.25">
      <c r="A3477" s="52" t="s">
        <v>95</v>
      </c>
      <c r="B3477" s="90" t="s">
        <v>9041</v>
      </c>
    </row>
    <row r="3478" spans="1:2" x14ac:dyDescent="0.25">
      <c r="A3478" s="52" t="s">
        <v>95</v>
      </c>
      <c r="B3478" s="90" t="s">
        <v>9042</v>
      </c>
    </row>
    <row r="3479" spans="1:2" x14ac:dyDescent="0.25">
      <c r="A3479" s="52" t="s">
        <v>95</v>
      </c>
      <c r="B3479" s="90" t="s">
        <v>9043</v>
      </c>
    </row>
    <row r="3480" spans="1:2" x14ac:dyDescent="0.25">
      <c r="A3480" s="52" t="s">
        <v>95</v>
      </c>
      <c r="B3480" s="90" t="s">
        <v>9044</v>
      </c>
    </row>
    <row r="3481" spans="1:2" x14ac:dyDescent="0.25">
      <c r="A3481" s="52" t="s">
        <v>95</v>
      </c>
      <c r="B3481" s="90" t="s">
        <v>9045</v>
      </c>
    </row>
    <row r="3482" spans="1:2" x14ac:dyDescent="0.25">
      <c r="A3482" s="52" t="s">
        <v>95</v>
      </c>
      <c r="B3482" s="90" t="s">
        <v>9046</v>
      </c>
    </row>
    <row r="3483" spans="1:2" x14ac:dyDescent="0.25">
      <c r="A3483" s="52" t="s">
        <v>95</v>
      </c>
      <c r="B3483" s="90" t="s">
        <v>9047</v>
      </c>
    </row>
    <row r="3484" spans="1:2" x14ac:dyDescent="0.25">
      <c r="A3484" s="52" t="s">
        <v>95</v>
      </c>
      <c r="B3484" s="90" t="s">
        <v>9048</v>
      </c>
    </row>
    <row r="3485" spans="1:2" x14ac:dyDescent="0.25">
      <c r="A3485" s="52" t="s">
        <v>95</v>
      </c>
      <c r="B3485" s="90" t="s">
        <v>9049</v>
      </c>
    </row>
    <row r="3486" spans="1:2" x14ac:dyDescent="0.25">
      <c r="A3486" s="52" t="s">
        <v>95</v>
      </c>
      <c r="B3486" s="90" t="s">
        <v>9050</v>
      </c>
    </row>
    <row r="3487" spans="1:2" x14ac:dyDescent="0.25">
      <c r="A3487" s="52" t="s">
        <v>95</v>
      </c>
      <c r="B3487" s="90" t="s">
        <v>9051</v>
      </c>
    </row>
    <row r="3488" spans="1:2" x14ac:dyDescent="0.25">
      <c r="A3488" s="52" t="s">
        <v>95</v>
      </c>
      <c r="B3488" s="90" t="s">
        <v>9052</v>
      </c>
    </row>
    <row r="3489" spans="1:2" x14ac:dyDescent="0.25">
      <c r="A3489" s="52" t="s">
        <v>95</v>
      </c>
      <c r="B3489" s="90" t="s">
        <v>9053</v>
      </c>
    </row>
    <row r="3490" spans="1:2" x14ac:dyDescent="0.25">
      <c r="A3490" s="52" t="s">
        <v>95</v>
      </c>
      <c r="B3490" s="90" t="s">
        <v>9054</v>
      </c>
    </row>
    <row r="3491" spans="1:2" x14ac:dyDescent="0.25">
      <c r="A3491" s="52" t="s">
        <v>95</v>
      </c>
      <c r="B3491" s="90" t="s">
        <v>9055</v>
      </c>
    </row>
    <row r="3492" spans="1:2" x14ac:dyDescent="0.25">
      <c r="A3492" s="52" t="s">
        <v>95</v>
      </c>
      <c r="B3492" s="90" t="s">
        <v>9056</v>
      </c>
    </row>
    <row r="3493" spans="1:2" x14ac:dyDescent="0.25">
      <c r="A3493" s="52" t="s">
        <v>95</v>
      </c>
      <c r="B3493" s="90" t="s">
        <v>9057</v>
      </c>
    </row>
    <row r="3494" spans="1:2" x14ac:dyDescent="0.25">
      <c r="A3494" s="52" t="s">
        <v>95</v>
      </c>
      <c r="B3494" s="90" t="s">
        <v>9058</v>
      </c>
    </row>
    <row r="3495" spans="1:2" x14ac:dyDescent="0.25">
      <c r="A3495" s="52" t="s">
        <v>95</v>
      </c>
      <c r="B3495" s="90" t="s">
        <v>9059</v>
      </c>
    </row>
    <row r="3496" spans="1:2" x14ac:dyDescent="0.25">
      <c r="A3496" s="52" t="s">
        <v>95</v>
      </c>
      <c r="B3496" s="90" t="s">
        <v>9060</v>
      </c>
    </row>
    <row r="3497" spans="1:2" x14ac:dyDescent="0.25">
      <c r="A3497" s="52" t="s">
        <v>95</v>
      </c>
      <c r="B3497" s="90" t="s">
        <v>9061</v>
      </c>
    </row>
    <row r="3498" spans="1:2" x14ac:dyDescent="0.25">
      <c r="A3498" s="52" t="s">
        <v>95</v>
      </c>
      <c r="B3498" s="90" t="s">
        <v>9062</v>
      </c>
    </row>
    <row r="3499" spans="1:2" x14ac:dyDescent="0.25">
      <c r="A3499" s="52" t="s">
        <v>95</v>
      </c>
      <c r="B3499" s="90" t="s">
        <v>9063</v>
      </c>
    </row>
    <row r="3500" spans="1:2" x14ac:dyDescent="0.25">
      <c r="A3500" s="52" t="s">
        <v>95</v>
      </c>
      <c r="B3500" s="90" t="s">
        <v>9064</v>
      </c>
    </row>
    <row r="3501" spans="1:2" x14ac:dyDescent="0.25">
      <c r="A3501" s="52" t="s">
        <v>95</v>
      </c>
      <c r="B3501" s="90" t="s">
        <v>9065</v>
      </c>
    </row>
    <row r="3502" spans="1:2" x14ac:dyDescent="0.25">
      <c r="A3502" s="52" t="s">
        <v>95</v>
      </c>
      <c r="B3502" s="90" t="s">
        <v>9066</v>
      </c>
    </row>
    <row r="3503" spans="1:2" x14ac:dyDescent="0.25">
      <c r="A3503" s="52" t="s">
        <v>95</v>
      </c>
      <c r="B3503" s="90" t="s">
        <v>9067</v>
      </c>
    </row>
    <row r="3504" spans="1:2" x14ac:dyDescent="0.25">
      <c r="A3504" s="52" t="s">
        <v>95</v>
      </c>
      <c r="B3504" s="90" t="s">
        <v>9068</v>
      </c>
    </row>
    <row r="3505" spans="1:2" x14ac:dyDescent="0.25">
      <c r="A3505" s="52" t="s">
        <v>95</v>
      </c>
      <c r="B3505" s="90" t="s">
        <v>9069</v>
      </c>
    </row>
    <row r="3506" spans="1:2" x14ac:dyDescent="0.25">
      <c r="A3506" s="52" t="s">
        <v>95</v>
      </c>
      <c r="B3506" s="90" t="s">
        <v>9070</v>
      </c>
    </row>
    <row r="3507" spans="1:2" x14ac:dyDescent="0.25">
      <c r="A3507" s="52" t="s">
        <v>95</v>
      </c>
      <c r="B3507" s="90" t="s">
        <v>9071</v>
      </c>
    </row>
    <row r="3508" spans="1:2" x14ac:dyDescent="0.25">
      <c r="A3508" s="52" t="s">
        <v>95</v>
      </c>
      <c r="B3508" s="90" t="s">
        <v>9072</v>
      </c>
    </row>
    <row r="3509" spans="1:2" x14ac:dyDescent="0.25">
      <c r="A3509" s="52" t="s">
        <v>95</v>
      </c>
      <c r="B3509" s="90" t="s">
        <v>9073</v>
      </c>
    </row>
    <row r="3510" spans="1:2" x14ac:dyDescent="0.25">
      <c r="A3510" s="52" t="s">
        <v>95</v>
      </c>
      <c r="B3510" s="90" t="s">
        <v>9074</v>
      </c>
    </row>
    <row r="3511" spans="1:2" x14ac:dyDescent="0.25">
      <c r="A3511" s="52" t="s">
        <v>95</v>
      </c>
      <c r="B3511" s="90" t="s">
        <v>9075</v>
      </c>
    </row>
    <row r="3512" spans="1:2" x14ac:dyDescent="0.25">
      <c r="A3512" s="52" t="s">
        <v>95</v>
      </c>
      <c r="B3512" s="90" t="s">
        <v>9076</v>
      </c>
    </row>
    <row r="3513" spans="1:2" x14ac:dyDescent="0.25">
      <c r="A3513" s="52" t="s">
        <v>95</v>
      </c>
      <c r="B3513" s="90" t="s">
        <v>9077</v>
      </c>
    </row>
    <row r="3514" spans="1:2" x14ac:dyDescent="0.25">
      <c r="A3514" s="52" t="s">
        <v>95</v>
      </c>
      <c r="B3514" s="90" t="s">
        <v>9078</v>
      </c>
    </row>
    <row r="3515" spans="1:2" x14ac:dyDescent="0.25">
      <c r="A3515" s="52" t="s">
        <v>95</v>
      </c>
      <c r="B3515" s="90" t="s">
        <v>9079</v>
      </c>
    </row>
    <row r="3516" spans="1:2" x14ac:dyDescent="0.25">
      <c r="A3516" s="52" t="s">
        <v>95</v>
      </c>
      <c r="B3516" s="90" t="s">
        <v>9080</v>
      </c>
    </row>
    <row r="3517" spans="1:2" x14ac:dyDescent="0.25">
      <c r="A3517" s="52" t="s">
        <v>95</v>
      </c>
      <c r="B3517" s="90" t="s">
        <v>9081</v>
      </c>
    </row>
    <row r="3518" spans="1:2" x14ac:dyDescent="0.25">
      <c r="A3518" s="52" t="s">
        <v>95</v>
      </c>
      <c r="B3518" s="90" t="s">
        <v>9082</v>
      </c>
    </row>
    <row r="3519" spans="1:2" x14ac:dyDescent="0.25">
      <c r="A3519" s="52" t="s">
        <v>95</v>
      </c>
      <c r="B3519" s="90" t="s">
        <v>9083</v>
      </c>
    </row>
    <row r="3520" spans="1:2" x14ac:dyDescent="0.25">
      <c r="A3520" s="52" t="s">
        <v>95</v>
      </c>
      <c r="B3520" s="90" t="s">
        <v>9084</v>
      </c>
    </row>
    <row r="3521" spans="1:2" x14ac:dyDescent="0.25">
      <c r="A3521" s="52" t="s">
        <v>95</v>
      </c>
      <c r="B3521" s="90" t="s">
        <v>9085</v>
      </c>
    </row>
    <row r="3522" spans="1:2" x14ac:dyDescent="0.25">
      <c r="A3522" s="52" t="s">
        <v>95</v>
      </c>
      <c r="B3522" s="90" t="s">
        <v>9086</v>
      </c>
    </row>
    <row r="3523" spans="1:2" x14ac:dyDescent="0.25">
      <c r="A3523" s="52" t="s">
        <v>95</v>
      </c>
      <c r="B3523" s="90" t="s">
        <v>9087</v>
      </c>
    </row>
    <row r="3524" spans="1:2" x14ac:dyDescent="0.25">
      <c r="A3524" s="52" t="s">
        <v>95</v>
      </c>
      <c r="B3524" s="90" t="s">
        <v>9088</v>
      </c>
    </row>
    <row r="3525" spans="1:2" x14ac:dyDescent="0.25">
      <c r="A3525" s="52" t="s">
        <v>95</v>
      </c>
      <c r="B3525" s="90" t="s">
        <v>3929</v>
      </c>
    </row>
    <row r="3526" spans="1:2" x14ac:dyDescent="0.25">
      <c r="A3526" s="52" t="s">
        <v>95</v>
      </c>
      <c r="B3526" s="90" t="s">
        <v>9089</v>
      </c>
    </row>
    <row r="3527" spans="1:2" x14ac:dyDescent="0.25">
      <c r="A3527" s="52" t="s">
        <v>95</v>
      </c>
      <c r="B3527" s="90" t="s">
        <v>9090</v>
      </c>
    </row>
    <row r="3528" spans="1:2" x14ac:dyDescent="0.25">
      <c r="A3528" s="52" t="s">
        <v>95</v>
      </c>
      <c r="B3528" s="90" t="s">
        <v>9091</v>
      </c>
    </row>
    <row r="3529" spans="1:2" x14ac:dyDescent="0.25">
      <c r="A3529" s="52" t="s">
        <v>95</v>
      </c>
      <c r="B3529" s="90" t="s">
        <v>9092</v>
      </c>
    </row>
    <row r="3530" spans="1:2" x14ac:dyDescent="0.25">
      <c r="A3530" s="52" t="s">
        <v>95</v>
      </c>
      <c r="B3530" s="90" t="s">
        <v>9093</v>
      </c>
    </row>
    <row r="3531" spans="1:2" x14ac:dyDescent="0.25">
      <c r="A3531" s="52" t="s">
        <v>95</v>
      </c>
      <c r="B3531" s="90" t="s">
        <v>9094</v>
      </c>
    </row>
    <row r="3532" spans="1:2" x14ac:dyDescent="0.25">
      <c r="A3532" s="52" t="s">
        <v>95</v>
      </c>
      <c r="B3532" s="90" t="s">
        <v>9095</v>
      </c>
    </row>
    <row r="3533" spans="1:2" x14ac:dyDescent="0.25">
      <c r="A3533" s="52" t="s">
        <v>95</v>
      </c>
      <c r="B3533" s="90" t="s">
        <v>9096</v>
      </c>
    </row>
    <row r="3534" spans="1:2" x14ac:dyDescent="0.25">
      <c r="A3534" s="52" t="s">
        <v>95</v>
      </c>
      <c r="B3534" s="90" t="s">
        <v>9097</v>
      </c>
    </row>
    <row r="3535" spans="1:2" x14ac:dyDescent="0.25">
      <c r="A3535" s="52" t="s">
        <v>95</v>
      </c>
      <c r="B3535" s="90" t="s">
        <v>9098</v>
      </c>
    </row>
    <row r="3536" spans="1:2" x14ac:dyDescent="0.25">
      <c r="A3536" s="52" t="s">
        <v>95</v>
      </c>
      <c r="B3536" s="90" t="s">
        <v>9099</v>
      </c>
    </row>
    <row r="3537" spans="1:2" x14ac:dyDescent="0.25">
      <c r="A3537" s="52" t="s">
        <v>95</v>
      </c>
      <c r="B3537" s="90" t="s">
        <v>9100</v>
      </c>
    </row>
    <row r="3538" spans="1:2" x14ac:dyDescent="0.25">
      <c r="A3538" s="52" t="s">
        <v>95</v>
      </c>
      <c r="B3538" s="90" t="s">
        <v>9101</v>
      </c>
    </row>
    <row r="3539" spans="1:2" x14ac:dyDescent="0.25">
      <c r="A3539" s="52" t="s">
        <v>95</v>
      </c>
      <c r="B3539" s="90" t="s">
        <v>9102</v>
      </c>
    </row>
    <row r="3540" spans="1:2" x14ac:dyDescent="0.25">
      <c r="A3540" s="52" t="s">
        <v>95</v>
      </c>
      <c r="B3540" s="90" t="s">
        <v>9103</v>
      </c>
    </row>
    <row r="3541" spans="1:2" x14ac:dyDescent="0.25">
      <c r="A3541" s="52" t="s">
        <v>95</v>
      </c>
      <c r="B3541" s="90" t="s">
        <v>9104</v>
      </c>
    </row>
    <row r="3542" spans="1:2" x14ac:dyDescent="0.25">
      <c r="A3542" s="52" t="s">
        <v>95</v>
      </c>
      <c r="B3542" s="90" t="s">
        <v>9105</v>
      </c>
    </row>
    <row r="3543" spans="1:2" x14ac:dyDescent="0.25">
      <c r="A3543" s="52" t="s">
        <v>95</v>
      </c>
      <c r="B3543" s="90" t="s">
        <v>9106</v>
      </c>
    </row>
    <row r="3544" spans="1:2" x14ac:dyDescent="0.25">
      <c r="A3544" s="52" t="s">
        <v>95</v>
      </c>
      <c r="B3544" s="90" t="s">
        <v>9107</v>
      </c>
    </row>
    <row r="3545" spans="1:2" x14ac:dyDescent="0.25">
      <c r="A3545" s="52" t="s">
        <v>95</v>
      </c>
      <c r="B3545" s="90" t="s">
        <v>9108</v>
      </c>
    </row>
    <row r="3546" spans="1:2" x14ac:dyDescent="0.25">
      <c r="A3546" s="52" t="s">
        <v>95</v>
      </c>
      <c r="B3546" s="90" t="s">
        <v>9109</v>
      </c>
    </row>
    <row r="3547" spans="1:2" x14ac:dyDescent="0.25">
      <c r="A3547" s="52" t="s">
        <v>95</v>
      </c>
      <c r="B3547" s="90" t="s">
        <v>9110</v>
      </c>
    </row>
    <row r="3548" spans="1:2" x14ac:dyDescent="0.25">
      <c r="A3548" s="52" t="s">
        <v>95</v>
      </c>
      <c r="B3548" s="90" t="s">
        <v>9111</v>
      </c>
    </row>
    <row r="3549" spans="1:2" x14ac:dyDescent="0.25">
      <c r="A3549" s="52" t="s">
        <v>95</v>
      </c>
      <c r="B3549" s="90" t="s">
        <v>9112</v>
      </c>
    </row>
    <row r="3550" spans="1:2" x14ac:dyDescent="0.25">
      <c r="A3550" s="52" t="s">
        <v>95</v>
      </c>
      <c r="B3550" s="90" t="s">
        <v>9113</v>
      </c>
    </row>
    <row r="3551" spans="1:2" x14ac:dyDescent="0.25">
      <c r="A3551" s="52" t="s">
        <v>95</v>
      </c>
      <c r="B3551" s="90" t="s">
        <v>9114</v>
      </c>
    </row>
    <row r="3552" spans="1:2" x14ac:dyDescent="0.25">
      <c r="A3552" s="52" t="s">
        <v>95</v>
      </c>
      <c r="B3552" s="90" t="s">
        <v>9114</v>
      </c>
    </row>
    <row r="3553" spans="1:2" x14ac:dyDescent="0.25">
      <c r="A3553" s="52" t="s">
        <v>95</v>
      </c>
      <c r="B3553" s="90" t="s">
        <v>9115</v>
      </c>
    </row>
    <row r="3554" spans="1:2" x14ac:dyDescent="0.25">
      <c r="A3554" s="52" t="s">
        <v>95</v>
      </c>
      <c r="B3554" s="90" t="s">
        <v>9116</v>
      </c>
    </row>
    <row r="3555" spans="1:2" x14ac:dyDescent="0.25">
      <c r="A3555" s="52" t="s">
        <v>95</v>
      </c>
      <c r="B3555" s="90" t="s">
        <v>33</v>
      </c>
    </row>
    <row r="3556" spans="1:2" x14ac:dyDescent="0.25">
      <c r="A3556" s="52" t="s">
        <v>95</v>
      </c>
      <c r="B3556" s="90" t="s">
        <v>9117</v>
      </c>
    </row>
    <row r="3557" spans="1:2" x14ac:dyDescent="0.25">
      <c r="A3557" s="52" t="s">
        <v>95</v>
      </c>
      <c r="B3557" s="90" t="s">
        <v>9118</v>
      </c>
    </row>
    <row r="3558" spans="1:2" x14ac:dyDescent="0.25">
      <c r="A3558" s="52" t="s">
        <v>95</v>
      </c>
      <c r="B3558" s="90" t="s">
        <v>9119</v>
      </c>
    </row>
    <row r="3559" spans="1:2" x14ac:dyDescent="0.25">
      <c r="A3559" s="52" t="s">
        <v>95</v>
      </c>
      <c r="B3559" s="90" t="s">
        <v>9120</v>
      </c>
    </row>
    <row r="3560" spans="1:2" x14ac:dyDescent="0.25">
      <c r="A3560" s="52" t="s">
        <v>95</v>
      </c>
      <c r="B3560" s="90" t="s">
        <v>9121</v>
      </c>
    </row>
    <row r="3561" spans="1:2" x14ac:dyDescent="0.25">
      <c r="A3561" s="52" t="s">
        <v>95</v>
      </c>
      <c r="B3561" s="90" t="s">
        <v>9122</v>
      </c>
    </row>
    <row r="3562" spans="1:2" x14ac:dyDescent="0.25">
      <c r="A3562" s="52" t="s">
        <v>95</v>
      </c>
      <c r="B3562" s="90" t="s">
        <v>9123</v>
      </c>
    </row>
    <row r="3563" spans="1:2" x14ac:dyDescent="0.25">
      <c r="A3563" s="52" t="s">
        <v>95</v>
      </c>
      <c r="B3563" s="90" t="s">
        <v>9124</v>
      </c>
    </row>
    <row r="3564" spans="1:2" x14ac:dyDescent="0.25">
      <c r="A3564" s="52" t="s">
        <v>95</v>
      </c>
      <c r="B3564" s="90" t="s">
        <v>9125</v>
      </c>
    </row>
    <row r="3565" spans="1:2" x14ac:dyDescent="0.25">
      <c r="A3565" s="52" t="s">
        <v>95</v>
      </c>
      <c r="B3565" s="90" t="s">
        <v>9126</v>
      </c>
    </row>
    <row r="3566" spans="1:2" x14ac:dyDescent="0.25">
      <c r="A3566" s="52" t="s">
        <v>95</v>
      </c>
      <c r="B3566" s="90" t="s">
        <v>9127</v>
      </c>
    </row>
    <row r="3567" spans="1:2" x14ac:dyDescent="0.25">
      <c r="A3567" s="52" t="s">
        <v>95</v>
      </c>
      <c r="B3567" s="90" t="s">
        <v>9128</v>
      </c>
    </row>
    <row r="3568" spans="1:2" x14ac:dyDescent="0.25">
      <c r="A3568" s="52" t="s">
        <v>95</v>
      </c>
      <c r="B3568" s="90" t="s">
        <v>9129</v>
      </c>
    </row>
    <row r="3569" spans="1:2" x14ac:dyDescent="0.25">
      <c r="A3569" s="52" t="s">
        <v>95</v>
      </c>
      <c r="B3569" s="90" t="s">
        <v>9130</v>
      </c>
    </row>
    <row r="3570" spans="1:2" x14ac:dyDescent="0.25">
      <c r="A3570" s="52" t="s">
        <v>95</v>
      </c>
      <c r="B3570" s="90" t="s">
        <v>9131</v>
      </c>
    </row>
    <row r="3571" spans="1:2" x14ac:dyDescent="0.25">
      <c r="A3571" s="52" t="s">
        <v>95</v>
      </c>
      <c r="B3571" s="90" t="s">
        <v>9132</v>
      </c>
    </row>
    <row r="3572" spans="1:2" x14ac:dyDescent="0.25">
      <c r="A3572" s="52" t="s">
        <v>95</v>
      </c>
      <c r="B3572" s="90" t="s">
        <v>9133</v>
      </c>
    </row>
    <row r="3573" spans="1:2" x14ac:dyDescent="0.25">
      <c r="A3573" s="52" t="s">
        <v>95</v>
      </c>
      <c r="B3573" s="90" t="s">
        <v>9133</v>
      </c>
    </row>
    <row r="3574" spans="1:2" x14ac:dyDescent="0.25">
      <c r="A3574" s="52" t="s">
        <v>95</v>
      </c>
      <c r="B3574" s="90" t="s">
        <v>9134</v>
      </c>
    </row>
    <row r="3575" spans="1:2" x14ac:dyDescent="0.25">
      <c r="A3575" s="52" t="s">
        <v>95</v>
      </c>
      <c r="B3575" s="90" t="s">
        <v>9135</v>
      </c>
    </row>
    <row r="3576" spans="1:2" x14ac:dyDescent="0.25">
      <c r="A3576" s="52" t="s">
        <v>95</v>
      </c>
      <c r="B3576" s="90" t="s">
        <v>9136</v>
      </c>
    </row>
    <row r="3577" spans="1:2" x14ac:dyDescent="0.25">
      <c r="A3577" s="52" t="s">
        <v>95</v>
      </c>
      <c r="B3577" s="90" t="s">
        <v>9137</v>
      </c>
    </row>
    <row r="3578" spans="1:2" x14ac:dyDescent="0.25">
      <c r="A3578" s="52" t="s">
        <v>95</v>
      </c>
      <c r="B3578" s="90" t="s">
        <v>9138</v>
      </c>
    </row>
    <row r="3579" spans="1:2" x14ac:dyDescent="0.25">
      <c r="A3579" s="52" t="s">
        <v>95</v>
      </c>
      <c r="B3579" s="90" t="s">
        <v>9139</v>
      </c>
    </row>
    <row r="3580" spans="1:2" x14ac:dyDescent="0.25">
      <c r="A3580" s="52" t="s">
        <v>95</v>
      </c>
      <c r="B3580" s="90" t="s">
        <v>9140</v>
      </c>
    </row>
    <row r="3581" spans="1:2" x14ac:dyDescent="0.25">
      <c r="A3581" s="52" t="s">
        <v>95</v>
      </c>
      <c r="B3581" s="90" t="s">
        <v>9141</v>
      </c>
    </row>
    <row r="3582" spans="1:2" x14ac:dyDescent="0.25">
      <c r="A3582" s="52" t="s">
        <v>95</v>
      </c>
      <c r="B3582" s="90" t="s">
        <v>9142</v>
      </c>
    </row>
    <row r="3583" spans="1:2" x14ac:dyDescent="0.25">
      <c r="A3583" s="52" t="s">
        <v>95</v>
      </c>
      <c r="B3583" s="90" t="s">
        <v>9143</v>
      </c>
    </row>
    <row r="3584" spans="1:2" x14ac:dyDescent="0.25">
      <c r="A3584" s="52" t="s">
        <v>95</v>
      </c>
      <c r="B3584" s="90" t="s">
        <v>9144</v>
      </c>
    </row>
    <row r="3585" spans="1:2" x14ac:dyDescent="0.25">
      <c r="A3585" s="52" t="s">
        <v>95</v>
      </c>
      <c r="B3585" s="90" t="s">
        <v>9145</v>
      </c>
    </row>
    <row r="3586" spans="1:2" x14ac:dyDescent="0.25">
      <c r="A3586" s="52" t="s">
        <v>95</v>
      </c>
      <c r="B3586" s="90" t="s">
        <v>9145</v>
      </c>
    </row>
    <row r="3587" spans="1:2" x14ac:dyDescent="0.25">
      <c r="A3587" s="52" t="s">
        <v>95</v>
      </c>
      <c r="B3587" s="90" t="s">
        <v>9145</v>
      </c>
    </row>
    <row r="3588" spans="1:2" x14ac:dyDescent="0.25">
      <c r="A3588" s="52" t="s">
        <v>95</v>
      </c>
      <c r="B3588" s="90" t="s">
        <v>9146</v>
      </c>
    </row>
    <row r="3589" spans="1:2" x14ac:dyDescent="0.25">
      <c r="A3589" s="52" t="s">
        <v>95</v>
      </c>
      <c r="B3589" s="90" t="s">
        <v>9147</v>
      </c>
    </row>
    <row r="3590" spans="1:2" x14ac:dyDescent="0.25">
      <c r="A3590" s="52" t="s">
        <v>95</v>
      </c>
      <c r="B3590" s="90" t="s">
        <v>9148</v>
      </c>
    </row>
    <row r="3591" spans="1:2" x14ac:dyDescent="0.25">
      <c r="A3591" s="52" t="s">
        <v>95</v>
      </c>
      <c r="B3591" s="90" t="s">
        <v>9149</v>
      </c>
    </row>
    <row r="3592" spans="1:2" x14ac:dyDescent="0.25">
      <c r="A3592" s="52" t="s">
        <v>95</v>
      </c>
      <c r="B3592" s="90" t="s">
        <v>9150</v>
      </c>
    </row>
    <row r="3593" spans="1:2" x14ac:dyDescent="0.25">
      <c r="A3593" s="52" t="s">
        <v>95</v>
      </c>
      <c r="B3593" s="90" t="s">
        <v>9151</v>
      </c>
    </row>
    <row r="3594" spans="1:2" x14ac:dyDescent="0.25">
      <c r="A3594" s="52" t="s">
        <v>95</v>
      </c>
      <c r="B3594" s="90" t="s">
        <v>9152</v>
      </c>
    </row>
    <row r="3595" spans="1:2" x14ac:dyDescent="0.25">
      <c r="A3595" s="52" t="s">
        <v>95</v>
      </c>
      <c r="B3595" s="90" t="s">
        <v>9153</v>
      </c>
    </row>
    <row r="3596" spans="1:2" x14ac:dyDescent="0.25">
      <c r="A3596" s="52" t="s">
        <v>95</v>
      </c>
      <c r="B3596" s="90" t="s">
        <v>9154</v>
      </c>
    </row>
    <row r="3597" spans="1:2" x14ac:dyDescent="0.25">
      <c r="A3597" s="52" t="s">
        <v>95</v>
      </c>
      <c r="B3597" s="90" t="s">
        <v>9155</v>
      </c>
    </row>
    <row r="3598" spans="1:2" x14ac:dyDescent="0.25">
      <c r="A3598" s="52" t="s">
        <v>95</v>
      </c>
      <c r="B3598" s="90" t="s">
        <v>9156</v>
      </c>
    </row>
    <row r="3599" spans="1:2" x14ac:dyDescent="0.25">
      <c r="A3599" s="52" t="s">
        <v>95</v>
      </c>
      <c r="B3599" s="90" t="s">
        <v>9157</v>
      </c>
    </row>
    <row r="3600" spans="1:2" x14ac:dyDescent="0.25">
      <c r="A3600" s="52" t="s">
        <v>95</v>
      </c>
      <c r="B3600" s="90" t="s">
        <v>9158</v>
      </c>
    </row>
    <row r="3601" spans="1:2" x14ac:dyDescent="0.25">
      <c r="A3601" s="52" t="s">
        <v>95</v>
      </c>
      <c r="B3601" s="90" t="s">
        <v>9159</v>
      </c>
    </row>
    <row r="3602" spans="1:2" x14ac:dyDescent="0.25">
      <c r="A3602" s="52" t="s">
        <v>95</v>
      </c>
      <c r="B3602" s="90" t="s">
        <v>9160</v>
      </c>
    </row>
    <row r="3603" spans="1:2" x14ac:dyDescent="0.25">
      <c r="A3603" s="52" t="s">
        <v>95</v>
      </c>
      <c r="B3603" s="90" t="s">
        <v>9161</v>
      </c>
    </row>
    <row r="3604" spans="1:2" x14ac:dyDescent="0.25">
      <c r="A3604" s="52" t="s">
        <v>95</v>
      </c>
      <c r="B3604" s="90" t="s">
        <v>9162</v>
      </c>
    </row>
    <row r="3605" spans="1:2" x14ac:dyDescent="0.25">
      <c r="A3605" s="52" t="s">
        <v>95</v>
      </c>
      <c r="B3605" s="90" t="s">
        <v>9163</v>
      </c>
    </row>
    <row r="3606" spans="1:2" x14ac:dyDescent="0.25">
      <c r="A3606" s="52" t="s">
        <v>95</v>
      </c>
      <c r="B3606" s="90" t="s">
        <v>9164</v>
      </c>
    </row>
    <row r="3607" spans="1:2" x14ac:dyDescent="0.25">
      <c r="A3607" s="52" t="s">
        <v>95</v>
      </c>
      <c r="B3607" s="90" t="s">
        <v>9165</v>
      </c>
    </row>
    <row r="3608" spans="1:2" x14ac:dyDescent="0.25">
      <c r="A3608" s="52" t="s">
        <v>95</v>
      </c>
      <c r="B3608" s="90" t="s">
        <v>9166</v>
      </c>
    </row>
    <row r="3609" spans="1:2" x14ac:dyDescent="0.25">
      <c r="A3609" s="52" t="s">
        <v>95</v>
      </c>
      <c r="B3609" s="90" t="s">
        <v>9167</v>
      </c>
    </row>
    <row r="3610" spans="1:2" x14ac:dyDescent="0.25">
      <c r="A3610" s="52" t="s">
        <v>95</v>
      </c>
      <c r="B3610" s="90" t="s">
        <v>9168</v>
      </c>
    </row>
    <row r="3611" spans="1:2" x14ac:dyDescent="0.25">
      <c r="A3611" s="52" t="s">
        <v>95</v>
      </c>
      <c r="B3611" s="90" t="s">
        <v>9169</v>
      </c>
    </row>
    <row r="3612" spans="1:2" x14ac:dyDescent="0.25">
      <c r="A3612" s="52" t="s">
        <v>95</v>
      </c>
      <c r="B3612" s="90" t="s">
        <v>9170</v>
      </c>
    </row>
    <row r="3613" spans="1:2" x14ac:dyDescent="0.25">
      <c r="A3613" s="52" t="s">
        <v>95</v>
      </c>
      <c r="B3613" s="90" t="s">
        <v>9171</v>
      </c>
    </row>
    <row r="3614" spans="1:2" x14ac:dyDescent="0.25">
      <c r="A3614" s="52" t="s">
        <v>95</v>
      </c>
      <c r="B3614" s="90" t="s">
        <v>9172</v>
      </c>
    </row>
    <row r="3615" spans="1:2" x14ac:dyDescent="0.25">
      <c r="A3615" s="52" t="s">
        <v>95</v>
      </c>
      <c r="B3615" s="90" t="s">
        <v>9173</v>
      </c>
    </row>
    <row r="3616" spans="1:2" x14ac:dyDescent="0.25">
      <c r="A3616" s="52" t="s">
        <v>95</v>
      </c>
      <c r="B3616" s="90" t="s">
        <v>9174</v>
      </c>
    </row>
    <row r="3617" spans="1:2" x14ac:dyDescent="0.25">
      <c r="A3617" s="52" t="s">
        <v>95</v>
      </c>
      <c r="B3617" s="90" t="s">
        <v>9175</v>
      </c>
    </row>
    <row r="3618" spans="1:2" x14ac:dyDescent="0.25">
      <c r="A3618" s="52" t="s">
        <v>95</v>
      </c>
      <c r="B3618" s="90" t="s">
        <v>9176</v>
      </c>
    </row>
    <row r="3619" spans="1:2" x14ac:dyDescent="0.25">
      <c r="A3619" s="52" t="s">
        <v>95</v>
      </c>
      <c r="B3619" s="90" t="s">
        <v>9177</v>
      </c>
    </row>
    <row r="3620" spans="1:2" x14ac:dyDescent="0.25">
      <c r="A3620" s="52" t="s">
        <v>95</v>
      </c>
      <c r="B3620" s="90" t="s">
        <v>9178</v>
      </c>
    </row>
    <row r="3621" spans="1:2" x14ac:dyDescent="0.25">
      <c r="A3621" s="52" t="s">
        <v>95</v>
      </c>
      <c r="B3621" s="90" t="s">
        <v>9179</v>
      </c>
    </row>
    <row r="3622" spans="1:2" x14ac:dyDescent="0.25">
      <c r="A3622" s="52" t="s">
        <v>95</v>
      </c>
      <c r="B3622" s="90" t="s">
        <v>9180</v>
      </c>
    </row>
    <row r="3623" spans="1:2" x14ac:dyDescent="0.25">
      <c r="A3623" s="52" t="s">
        <v>95</v>
      </c>
      <c r="B3623" s="90" t="s">
        <v>9181</v>
      </c>
    </row>
    <row r="3624" spans="1:2" x14ac:dyDescent="0.25">
      <c r="A3624" s="52" t="s">
        <v>95</v>
      </c>
      <c r="B3624" s="90" t="s">
        <v>9182</v>
      </c>
    </row>
    <row r="3625" spans="1:2" x14ac:dyDescent="0.25">
      <c r="A3625" s="52" t="s">
        <v>95</v>
      </c>
      <c r="B3625" s="90" t="s">
        <v>9183</v>
      </c>
    </row>
    <row r="3626" spans="1:2" x14ac:dyDescent="0.25">
      <c r="A3626" s="52" t="s">
        <v>95</v>
      </c>
      <c r="B3626" s="90" t="s">
        <v>9184</v>
      </c>
    </row>
    <row r="3627" spans="1:2" x14ac:dyDescent="0.25">
      <c r="A3627" s="52" t="s">
        <v>95</v>
      </c>
      <c r="B3627" s="90" t="s">
        <v>9185</v>
      </c>
    </row>
    <row r="3628" spans="1:2" x14ac:dyDescent="0.25">
      <c r="A3628" s="52" t="s">
        <v>95</v>
      </c>
      <c r="B3628" s="90" t="s">
        <v>9186</v>
      </c>
    </row>
    <row r="3629" spans="1:2" x14ac:dyDescent="0.25">
      <c r="A3629" s="52" t="s">
        <v>95</v>
      </c>
      <c r="B3629" s="90" t="s">
        <v>9187</v>
      </c>
    </row>
    <row r="3630" spans="1:2" x14ac:dyDescent="0.25">
      <c r="A3630" s="52" t="s">
        <v>95</v>
      </c>
      <c r="B3630" s="90" t="s">
        <v>9188</v>
      </c>
    </row>
    <row r="3631" spans="1:2" x14ac:dyDescent="0.25">
      <c r="A3631" s="52" t="s">
        <v>95</v>
      </c>
      <c r="B3631" s="90" t="s">
        <v>9189</v>
      </c>
    </row>
    <row r="3632" spans="1:2" x14ac:dyDescent="0.25">
      <c r="A3632" s="52" t="s">
        <v>95</v>
      </c>
      <c r="B3632" s="90" t="s">
        <v>9190</v>
      </c>
    </row>
    <row r="3633" spans="1:2" x14ac:dyDescent="0.25">
      <c r="A3633" s="52" t="s">
        <v>95</v>
      </c>
      <c r="B3633" s="90" t="s">
        <v>9191</v>
      </c>
    </row>
    <row r="3634" spans="1:2" x14ac:dyDescent="0.25">
      <c r="A3634" s="52" t="s">
        <v>95</v>
      </c>
      <c r="B3634" s="90" t="s">
        <v>9192</v>
      </c>
    </row>
    <row r="3635" spans="1:2" x14ac:dyDescent="0.25">
      <c r="A3635" s="52" t="s">
        <v>95</v>
      </c>
      <c r="B3635" s="90" t="s">
        <v>9193</v>
      </c>
    </row>
    <row r="3636" spans="1:2" x14ac:dyDescent="0.25">
      <c r="A3636" s="52" t="s">
        <v>95</v>
      </c>
      <c r="B3636" s="90" t="s">
        <v>9194</v>
      </c>
    </row>
    <row r="3637" spans="1:2" x14ac:dyDescent="0.25">
      <c r="A3637" s="52" t="s">
        <v>95</v>
      </c>
      <c r="B3637" s="90" t="s">
        <v>9195</v>
      </c>
    </row>
    <row r="3638" spans="1:2" x14ac:dyDescent="0.25">
      <c r="A3638" s="52" t="s">
        <v>95</v>
      </c>
      <c r="B3638" s="90" t="s">
        <v>9196</v>
      </c>
    </row>
    <row r="3639" spans="1:2" x14ac:dyDescent="0.25">
      <c r="A3639" s="52" t="s">
        <v>95</v>
      </c>
      <c r="B3639" s="90" t="s">
        <v>9196</v>
      </c>
    </row>
    <row r="3640" spans="1:2" x14ac:dyDescent="0.25">
      <c r="A3640" s="52" t="s">
        <v>95</v>
      </c>
      <c r="B3640" s="90" t="s">
        <v>9197</v>
      </c>
    </row>
    <row r="3641" spans="1:2" x14ac:dyDescent="0.25">
      <c r="A3641" s="52" t="s">
        <v>95</v>
      </c>
      <c r="B3641" s="90" t="s">
        <v>9198</v>
      </c>
    </row>
    <row r="3642" spans="1:2" x14ac:dyDescent="0.25">
      <c r="A3642" s="52" t="s">
        <v>95</v>
      </c>
      <c r="B3642" s="90" t="s">
        <v>9199</v>
      </c>
    </row>
    <row r="3643" spans="1:2" x14ac:dyDescent="0.25">
      <c r="A3643" s="52" t="s">
        <v>95</v>
      </c>
      <c r="B3643" s="90" t="s">
        <v>9200</v>
      </c>
    </row>
    <row r="3644" spans="1:2" x14ac:dyDescent="0.25">
      <c r="A3644" s="52" t="s">
        <v>95</v>
      </c>
      <c r="B3644" s="90" t="s">
        <v>9201</v>
      </c>
    </row>
    <row r="3645" spans="1:2" x14ac:dyDescent="0.25">
      <c r="A3645" s="52" t="s">
        <v>95</v>
      </c>
      <c r="B3645" s="90" t="s">
        <v>9202</v>
      </c>
    </row>
    <row r="3646" spans="1:2" x14ac:dyDescent="0.25">
      <c r="A3646" s="52" t="s">
        <v>95</v>
      </c>
      <c r="B3646" s="90" t="s">
        <v>5791</v>
      </c>
    </row>
    <row r="3647" spans="1:2" x14ac:dyDescent="0.25">
      <c r="A3647" s="52" t="s">
        <v>95</v>
      </c>
      <c r="B3647" s="90" t="s">
        <v>9203</v>
      </c>
    </row>
    <row r="3648" spans="1:2" x14ac:dyDescent="0.25">
      <c r="A3648" s="52" t="s">
        <v>95</v>
      </c>
      <c r="B3648" s="90" t="s">
        <v>9204</v>
      </c>
    </row>
    <row r="3649" spans="1:2" x14ac:dyDescent="0.25">
      <c r="A3649" s="52" t="s">
        <v>95</v>
      </c>
      <c r="B3649" s="90" t="s">
        <v>9205</v>
      </c>
    </row>
    <row r="3650" spans="1:2" x14ac:dyDescent="0.25">
      <c r="A3650" s="52" t="s">
        <v>95</v>
      </c>
      <c r="B3650" s="90" t="s">
        <v>9206</v>
      </c>
    </row>
    <row r="3651" spans="1:2" x14ac:dyDescent="0.25">
      <c r="A3651" s="52" t="s">
        <v>95</v>
      </c>
      <c r="B3651" s="90" t="s">
        <v>9207</v>
      </c>
    </row>
    <row r="3652" spans="1:2" x14ac:dyDescent="0.25">
      <c r="A3652" s="52" t="s">
        <v>95</v>
      </c>
      <c r="B3652" s="90" t="s">
        <v>9208</v>
      </c>
    </row>
    <row r="3653" spans="1:2" x14ac:dyDescent="0.25">
      <c r="A3653" s="52" t="s">
        <v>95</v>
      </c>
      <c r="B3653" s="90" t="s">
        <v>9209</v>
      </c>
    </row>
    <row r="3654" spans="1:2" x14ac:dyDescent="0.25">
      <c r="A3654" s="52" t="s">
        <v>95</v>
      </c>
      <c r="B3654" s="90" t="s">
        <v>9210</v>
      </c>
    </row>
    <row r="3655" spans="1:2" x14ac:dyDescent="0.25">
      <c r="A3655" s="52" t="s">
        <v>95</v>
      </c>
      <c r="B3655" s="90" t="s">
        <v>9211</v>
      </c>
    </row>
    <row r="3656" spans="1:2" x14ac:dyDescent="0.25">
      <c r="A3656" s="52" t="s">
        <v>95</v>
      </c>
      <c r="B3656" s="90" t="s">
        <v>9212</v>
      </c>
    </row>
    <row r="3657" spans="1:2" x14ac:dyDescent="0.25">
      <c r="A3657" s="52" t="s">
        <v>95</v>
      </c>
      <c r="B3657" s="90" t="s">
        <v>9213</v>
      </c>
    </row>
    <row r="3658" spans="1:2" x14ac:dyDescent="0.25">
      <c r="A3658" s="52" t="s">
        <v>95</v>
      </c>
      <c r="B3658" s="90" t="s">
        <v>9214</v>
      </c>
    </row>
    <row r="3659" spans="1:2" x14ac:dyDescent="0.25">
      <c r="A3659" s="52" t="s">
        <v>95</v>
      </c>
      <c r="B3659" s="90" t="s">
        <v>9215</v>
      </c>
    </row>
    <row r="3660" spans="1:2" x14ac:dyDescent="0.25">
      <c r="A3660" s="52" t="s">
        <v>95</v>
      </c>
      <c r="B3660" s="90" t="s">
        <v>9216</v>
      </c>
    </row>
    <row r="3661" spans="1:2" x14ac:dyDescent="0.25">
      <c r="A3661" s="52" t="s">
        <v>95</v>
      </c>
      <c r="B3661" s="90" t="s">
        <v>9217</v>
      </c>
    </row>
    <row r="3662" spans="1:2" x14ac:dyDescent="0.25">
      <c r="A3662" s="52" t="s">
        <v>95</v>
      </c>
      <c r="B3662" s="90" t="s">
        <v>9218</v>
      </c>
    </row>
    <row r="3663" spans="1:2" x14ac:dyDescent="0.25">
      <c r="A3663" s="52" t="s">
        <v>95</v>
      </c>
      <c r="B3663" s="90" t="s">
        <v>9219</v>
      </c>
    </row>
    <row r="3664" spans="1:2" x14ac:dyDescent="0.25">
      <c r="A3664" s="52" t="s">
        <v>95</v>
      </c>
      <c r="B3664" s="90" t="s">
        <v>9220</v>
      </c>
    </row>
    <row r="3665" spans="1:2" x14ac:dyDescent="0.25">
      <c r="A3665" s="52" t="s">
        <v>95</v>
      </c>
      <c r="B3665" s="90" t="s">
        <v>9221</v>
      </c>
    </row>
    <row r="3666" spans="1:2" x14ac:dyDescent="0.25">
      <c r="A3666" s="52" t="s">
        <v>95</v>
      </c>
      <c r="B3666" s="90" t="s">
        <v>9222</v>
      </c>
    </row>
    <row r="3667" spans="1:2" x14ac:dyDescent="0.25">
      <c r="A3667" s="52" t="s">
        <v>95</v>
      </c>
      <c r="B3667" s="90" t="s">
        <v>9223</v>
      </c>
    </row>
    <row r="3668" spans="1:2" x14ac:dyDescent="0.25">
      <c r="A3668" s="52" t="s">
        <v>95</v>
      </c>
      <c r="B3668" s="90" t="s">
        <v>9224</v>
      </c>
    </row>
    <row r="3669" spans="1:2" x14ac:dyDescent="0.25">
      <c r="A3669" s="52" t="s">
        <v>95</v>
      </c>
      <c r="B3669" s="90" t="s">
        <v>9225</v>
      </c>
    </row>
    <row r="3670" spans="1:2" x14ac:dyDescent="0.25">
      <c r="A3670" s="52" t="s">
        <v>95</v>
      </c>
      <c r="B3670" s="90" t="s">
        <v>9226</v>
      </c>
    </row>
    <row r="3671" spans="1:2" x14ac:dyDescent="0.25">
      <c r="A3671" s="52" t="s">
        <v>95</v>
      </c>
      <c r="B3671" s="90" t="s">
        <v>9227</v>
      </c>
    </row>
    <row r="3672" spans="1:2" x14ac:dyDescent="0.25">
      <c r="A3672" s="52" t="s">
        <v>95</v>
      </c>
      <c r="B3672" s="90" t="s">
        <v>9228</v>
      </c>
    </row>
    <row r="3673" spans="1:2" x14ac:dyDescent="0.25">
      <c r="A3673" s="52" t="s">
        <v>95</v>
      </c>
      <c r="B3673" s="90" t="s">
        <v>9229</v>
      </c>
    </row>
    <row r="3674" spans="1:2" x14ac:dyDescent="0.25">
      <c r="A3674" s="52" t="s">
        <v>95</v>
      </c>
      <c r="B3674" s="90" t="s">
        <v>9230</v>
      </c>
    </row>
    <row r="3675" spans="1:2" x14ac:dyDescent="0.25">
      <c r="A3675" s="52" t="s">
        <v>95</v>
      </c>
      <c r="B3675" s="90" t="s">
        <v>9231</v>
      </c>
    </row>
    <row r="3676" spans="1:2" x14ac:dyDescent="0.25">
      <c r="A3676" s="52" t="s">
        <v>95</v>
      </c>
      <c r="B3676" s="90" t="s">
        <v>9232</v>
      </c>
    </row>
    <row r="3677" spans="1:2" x14ac:dyDescent="0.25">
      <c r="A3677" s="52" t="s">
        <v>95</v>
      </c>
      <c r="B3677" s="90" t="s">
        <v>9233</v>
      </c>
    </row>
    <row r="3678" spans="1:2" x14ac:dyDescent="0.25">
      <c r="A3678" s="52" t="s">
        <v>95</v>
      </c>
      <c r="B3678" s="90" t="s">
        <v>9234</v>
      </c>
    </row>
    <row r="3679" spans="1:2" x14ac:dyDescent="0.25">
      <c r="A3679" s="52" t="s">
        <v>95</v>
      </c>
      <c r="B3679" s="90" t="s">
        <v>9235</v>
      </c>
    </row>
    <row r="3680" spans="1:2" x14ac:dyDescent="0.25">
      <c r="A3680" s="52" t="s">
        <v>95</v>
      </c>
      <c r="B3680" s="90" t="s">
        <v>9236</v>
      </c>
    </row>
    <row r="3681" spans="1:2" x14ac:dyDescent="0.25">
      <c r="A3681" s="52" t="s">
        <v>95</v>
      </c>
      <c r="B3681" s="90" t="s">
        <v>9237</v>
      </c>
    </row>
    <row r="3682" spans="1:2" x14ac:dyDescent="0.25">
      <c r="A3682" s="52" t="s">
        <v>95</v>
      </c>
      <c r="B3682" s="90" t="s">
        <v>9238</v>
      </c>
    </row>
    <row r="3683" spans="1:2" x14ac:dyDescent="0.25">
      <c r="A3683" s="52" t="s">
        <v>95</v>
      </c>
      <c r="B3683" s="90" t="s">
        <v>9239</v>
      </c>
    </row>
    <row r="3684" spans="1:2" x14ac:dyDescent="0.25">
      <c r="A3684" s="52" t="s">
        <v>95</v>
      </c>
      <c r="B3684" s="90" t="s">
        <v>9240</v>
      </c>
    </row>
    <row r="3685" spans="1:2" x14ac:dyDescent="0.25">
      <c r="A3685" s="52" t="s">
        <v>95</v>
      </c>
      <c r="B3685" s="90" t="s">
        <v>9241</v>
      </c>
    </row>
    <row r="3686" spans="1:2" x14ac:dyDescent="0.25">
      <c r="A3686" s="52" t="s">
        <v>95</v>
      </c>
      <c r="B3686" s="90" t="s">
        <v>9242</v>
      </c>
    </row>
    <row r="3687" spans="1:2" x14ac:dyDescent="0.25">
      <c r="A3687" s="52" t="s">
        <v>95</v>
      </c>
      <c r="B3687" s="90" t="s">
        <v>9243</v>
      </c>
    </row>
    <row r="3688" spans="1:2" x14ac:dyDescent="0.25">
      <c r="A3688" s="52" t="s">
        <v>95</v>
      </c>
      <c r="B3688" s="90" t="s">
        <v>9244</v>
      </c>
    </row>
    <row r="3689" spans="1:2" x14ac:dyDescent="0.25">
      <c r="A3689" s="52" t="s">
        <v>95</v>
      </c>
      <c r="B3689" s="90" t="s">
        <v>9245</v>
      </c>
    </row>
    <row r="3690" spans="1:2" x14ac:dyDescent="0.25">
      <c r="A3690" s="52" t="s">
        <v>95</v>
      </c>
      <c r="B3690" s="90" t="s">
        <v>9246</v>
      </c>
    </row>
    <row r="3691" spans="1:2" x14ac:dyDescent="0.25">
      <c r="A3691" s="52" t="s">
        <v>95</v>
      </c>
      <c r="B3691" s="90" t="s">
        <v>9247</v>
      </c>
    </row>
    <row r="3692" spans="1:2" x14ac:dyDescent="0.25">
      <c r="A3692" s="52" t="s">
        <v>95</v>
      </c>
      <c r="B3692" s="90" t="s">
        <v>9248</v>
      </c>
    </row>
    <row r="3693" spans="1:2" x14ac:dyDescent="0.25">
      <c r="A3693" s="52" t="s">
        <v>95</v>
      </c>
      <c r="B3693" s="90" t="s">
        <v>9249</v>
      </c>
    </row>
    <row r="3694" spans="1:2" x14ac:dyDescent="0.25">
      <c r="A3694" s="52" t="s">
        <v>95</v>
      </c>
      <c r="B3694" s="90" t="s">
        <v>9250</v>
      </c>
    </row>
    <row r="3695" spans="1:2" x14ac:dyDescent="0.25">
      <c r="A3695" s="52" t="s">
        <v>95</v>
      </c>
      <c r="B3695" s="90" t="s">
        <v>9251</v>
      </c>
    </row>
    <row r="3696" spans="1:2" x14ac:dyDescent="0.25">
      <c r="A3696" s="52" t="s">
        <v>95</v>
      </c>
      <c r="B3696" s="90" t="s">
        <v>9252</v>
      </c>
    </row>
    <row r="3697" spans="1:2" x14ac:dyDescent="0.25">
      <c r="A3697" s="52" t="s">
        <v>95</v>
      </c>
      <c r="B3697" s="90" t="s">
        <v>9253</v>
      </c>
    </row>
    <row r="3698" spans="1:2" x14ac:dyDescent="0.25">
      <c r="A3698" s="52" t="s">
        <v>95</v>
      </c>
      <c r="B3698" s="90" t="s">
        <v>9254</v>
      </c>
    </row>
    <row r="3699" spans="1:2" x14ac:dyDescent="0.25">
      <c r="A3699" s="52" t="s">
        <v>95</v>
      </c>
      <c r="B3699" s="90" t="s">
        <v>9255</v>
      </c>
    </row>
    <row r="3700" spans="1:2" x14ac:dyDescent="0.25">
      <c r="A3700" s="52" t="s">
        <v>95</v>
      </c>
      <c r="B3700" s="90" t="s">
        <v>9256</v>
      </c>
    </row>
    <row r="3701" spans="1:2" x14ac:dyDescent="0.25">
      <c r="A3701" s="52" t="s">
        <v>95</v>
      </c>
      <c r="B3701" s="90" t="s">
        <v>9257</v>
      </c>
    </row>
    <row r="3702" spans="1:2" x14ac:dyDescent="0.25">
      <c r="A3702" s="52" t="s">
        <v>95</v>
      </c>
      <c r="B3702" s="90" t="s">
        <v>9258</v>
      </c>
    </row>
    <row r="3703" spans="1:2" x14ac:dyDescent="0.25">
      <c r="A3703" s="52" t="s">
        <v>95</v>
      </c>
      <c r="B3703" s="90" t="s">
        <v>9259</v>
      </c>
    </row>
    <row r="3704" spans="1:2" x14ac:dyDescent="0.25">
      <c r="A3704" s="52" t="s">
        <v>95</v>
      </c>
      <c r="B3704" s="90" t="s">
        <v>9260</v>
      </c>
    </row>
    <row r="3705" spans="1:2" x14ac:dyDescent="0.25">
      <c r="A3705" s="52" t="s">
        <v>95</v>
      </c>
      <c r="B3705" s="90" t="s">
        <v>9261</v>
      </c>
    </row>
    <row r="3706" spans="1:2" x14ac:dyDescent="0.25">
      <c r="A3706" s="52" t="s">
        <v>95</v>
      </c>
      <c r="B3706" s="90" t="s">
        <v>9262</v>
      </c>
    </row>
    <row r="3707" spans="1:2" x14ac:dyDescent="0.25">
      <c r="A3707" s="52" t="s">
        <v>95</v>
      </c>
      <c r="B3707" s="90" t="s">
        <v>9263</v>
      </c>
    </row>
    <row r="3708" spans="1:2" x14ac:dyDescent="0.25">
      <c r="A3708" s="52" t="s">
        <v>95</v>
      </c>
      <c r="B3708" s="90" t="s">
        <v>9264</v>
      </c>
    </row>
    <row r="3709" spans="1:2" x14ac:dyDescent="0.25">
      <c r="A3709" s="52" t="s">
        <v>95</v>
      </c>
      <c r="B3709" s="90" t="s">
        <v>9265</v>
      </c>
    </row>
    <row r="3710" spans="1:2" x14ac:dyDescent="0.25">
      <c r="A3710" s="52" t="s">
        <v>95</v>
      </c>
      <c r="B3710" s="90" t="s">
        <v>9266</v>
      </c>
    </row>
    <row r="3711" spans="1:2" x14ac:dyDescent="0.25">
      <c r="A3711" s="52" t="s">
        <v>95</v>
      </c>
      <c r="B3711" s="90" t="s">
        <v>9267</v>
      </c>
    </row>
    <row r="3712" spans="1:2" x14ac:dyDescent="0.25">
      <c r="A3712" s="52" t="s">
        <v>95</v>
      </c>
      <c r="B3712" s="90" t="s">
        <v>9268</v>
      </c>
    </row>
    <row r="3713" spans="1:2" x14ac:dyDescent="0.25">
      <c r="A3713" s="52" t="s">
        <v>95</v>
      </c>
      <c r="B3713" s="90" t="s">
        <v>9269</v>
      </c>
    </row>
    <row r="3714" spans="1:2" x14ac:dyDescent="0.25">
      <c r="A3714" s="52" t="s">
        <v>95</v>
      </c>
      <c r="B3714" s="90" t="s">
        <v>9270</v>
      </c>
    </row>
    <row r="3715" spans="1:2" x14ac:dyDescent="0.25">
      <c r="A3715" s="52" t="s">
        <v>95</v>
      </c>
      <c r="B3715" s="90" t="s">
        <v>9271</v>
      </c>
    </row>
    <row r="3716" spans="1:2" x14ac:dyDescent="0.25">
      <c r="A3716" s="52" t="s">
        <v>95</v>
      </c>
      <c r="B3716" s="90" t="s">
        <v>9272</v>
      </c>
    </row>
    <row r="3717" spans="1:2" x14ac:dyDescent="0.25">
      <c r="A3717" s="52" t="s">
        <v>95</v>
      </c>
      <c r="B3717" s="90" t="s">
        <v>9273</v>
      </c>
    </row>
    <row r="3718" spans="1:2" x14ac:dyDescent="0.25">
      <c r="A3718" s="52" t="s">
        <v>95</v>
      </c>
      <c r="B3718" s="90" t="s">
        <v>9274</v>
      </c>
    </row>
    <row r="3719" spans="1:2" x14ac:dyDescent="0.25">
      <c r="A3719" s="52" t="s">
        <v>95</v>
      </c>
      <c r="B3719" s="90" t="s">
        <v>9275</v>
      </c>
    </row>
    <row r="3720" spans="1:2" x14ac:dyDescent="0.25">
      <c r="A3720" s="52" t="s">
        <v>95</v>
      </c>
      <c r="B3720" s="90" t="s">
        <v>9276</v>
      </c>
    </row>
    <row r="3721" spans="1:2" x14ac:dyDescent="0.25">
      <c r="A3721" s="52" t="s">
        <v>95</v>
      </c>
      <c r="B3721" s="90" t="s">
        <v>9277</v>
      </c>
    </row>
    <row r="3722" spans="1:2" x14ac:dyDescent="0.25">
      <c r="A3722" s="52" t="s">
        <v>95</v>
      </c>
      <c r="B3722" s="90" t="s">
        <v>9278</v>
      </c>
    </row>
    <row r="3723" spans="1:2" x14ac:dyDescent="0.25">
      <c r="A3723" s="52" t="s">
        <v>95</v>
      </c>
      <c r="B3723" s="90" t="s">
        <v>9279</v>
      </c>
    </row>
    <row r="3724" spans="1:2" x14ac:dyDescent="0.25">
      <c r="A3724" s="52" t="s">
        <v>95</v>
      </c>
      <c r="B3724" s="90" t="s">
        <v>9280</v>
      </c>
    </row>
    <row r="3725" spans="1:2" x14ac:dyDescent="0.25">
      <c r="A3725" s="52" t="s">
        <v>95</v>
      </c>
      <c r="B3725" s="90" t="s">
        <v>9281</v>
      </c>
    </row>
    <row r="3726" spans="1:2" x14ac:dyDescent="0.25">
      <c r="A3726" s="52" t="s">
        <v>95</v>
      </c>
      <c r="B3726" s="90" t="s">
        <v>9282</v>
      </c>
    </row>
    <row r="3727" spans="1:2" x14ac:dyDescent="0.25">
      <c r="A3727" s="52" t="s">
        <v>95</v>
      </c>
      <c r="B3727" s="90" t="s">
        <v>9283</v>
      </c>
    </row>
    <row r="3728" spans="1:2" x14ac:dyDescent="0.25">
      <c r="A3728" s="52" t="s">
        <v>95</v>
      </c>
      <c r="B3728" s="90" t="s">
        <v>9284</v>
      </c>
    </row>
    <row r="3729" spans="1:2" x14ac:dyDescent="0.25">
      <c r="A3729" s="52" t="s">
        <v>95</v>
      </c>
      <c r="B3729" s="90" t="s">
        <v>9285</v>
      </c>
    </row>
    <row r="3730" spans="1:2" x14ac:dyDescent="0.25">
      <c r="A3730" s="52" t="s">
        <v>95</v>
      </c>
      <c r="B3730" s="90" t="s">
        <v>9286</v>
      </c>
    </row>
    <row r="3731" spans="1:2" x14ac:dyDescent="0.25">
      <c r="A3731" s="52" t="s">
        <v>95</v>
      </c>
      <c r="B3731" s="90" t="s">
        <v>9287</v>
      </c>
    </row>
    <row r="3732" spans="1:2" x14ac:dyDescent="0.25">
      <c r="A3732" s="52" t="s">
        <v>95</v>
      </c>
      <c r="B3732" s="90" t="s">
        <v>9288</v>
      </c>
    </row>
    <row r="3733" spans="1:2" x14ac:dyDescent="0.25">
      <c r="A3733" s="52" t="s">
        <v>95</v>
      </c>
      <c r="B3733" s="90" t="s">
        <v>9289</v>
      </c>
    </row>
    <row r="3734" spans="1:2" x14ac:dyDescent="0.25">
      <c r="A3734" s="52" t="s">
        <v>95</v>
      </c>
      <c r="B3734" s="90" t="s">
        <v>9290</v>
      </c>
    </row>
    <row r="3735" spans="1:2" x14ac:dyDescent="0.25">
      <c r="A3735" s="52" t="s">
        <v>95</v>
      </c>
      <c r="B3735" s="90" t="s">
        <v>9291</v>
      </c>
    </row>
    <row r="3736" spans="1:2" x14ac:dyDescent="0.25">
      <c r="A3736" s="52" t="s">
        <v>95</v>
      </c>
      <c r="B3736" s="90" t="s">
        <v>9292</v>
      </c>
    </row>
    <row r="3737" spans="1:2" x14ac:dyDescent="0.25">
      <c r="A3737" s="52" t="s">
        <v>95</v>
      </c>
      <c r="B3737" s="90" t="s">
        <v>9293</v>
      </c>
    </row>
    <row r="3738" spans="1:2" x14ac:dyDescent="0.25">
      <c r="A3738" s="52" t="s">
        <v>95</v>
      </c>
      <c r="B3738" s="90" t="s">
        <v>9294</v>
      </c>
    </row>
    <row r="3739" spans="1:2" x14ac:dyDescent="0.25">
      <c r="A3739" s="52" t="s">
        <v>95</v>
      </c>
      <c r="B3739" s="90" t="s">
        <v>9295</v>
      </c>
    </row>
    <row r="3740" spans="1:2" x14ac:dyDescent="0.25">
      <c r="A3740" s="52" t="s">
        <v>95</v>
      </c>
      <c r="B3740" s="90" t="s">
        <v>9296</v>
      </c>
    </row>
    <row r="3741" spans="1:2" x14ac:dyDescent="0.25">
      <c r="A3741" s="52" t="s">
        <v>95</v>
      </c>
      <c r="B3741" s="90" t="s">
        <v>9297</v>
      </c>
    </row>
    <row r="3742" spans="1:2" x14ac:dyDescent="0.25">
      <c r="A3742" s="52" t="s">
        <v>95</v>
      </c>
      <c r="B3742" s="90" t="s">
        <v>9298</v>
      </c>
    </row>
    <row r="3743" spans="1:2" x14ac:dyDescent="0.25">
      <c r="A3743" s="52" t="s">
        <v>95</v>
      </c>
      <c r="B3743" s="90" t="s">
        <v>9299</v>
      </c>
    </row>
    <row r="3744" spans="1:2" x14ac:dyDescent="0.25">
      <c r="A3744" s="52" t="s">
        <v>95</v>
      </c>
      <c r="B3744" s="90" t="s">
        <v>9300</v>
      </c>
    </row>
    <row r="3745" spans="1:2" x14ac:dyDescent="0.25">
      <c r="A3745" s="52" t="s">
        <v>95</v>
      </c>
      <c r="B3745" s="90" t="s">
        <v>9301</v>
      </c>
    </row>
    <row r="3746" spans="1:2" x14ac:dyDescent="0.25">
      <c r="A3746" s="52" t="s">
        <v>95</v>
      </c>
      <c r="B3746" s="90" t="s">
        <v>9302</v>
      </c>
    </row>
    <row r="3747" spans="1:2" x14ac:dyDescent="0.25">
      <c r="A3747" s="52" t="s">
        <v>95</v>
      </c>
      <c r="B3747" s="90" t="s">
        <v>9302</v>
      </c>
    </row>
    <row r="3748" spans="1:2" x14ac:dyDescent="0.25">
      <c r="A3748" s="52" t="s">
        <v>95</v>
      </c>
      <c r="B3748" s="90" t="s">
        <v>9303</v>
      </c>
    </row>
    <row r="3749" spans="1:2" x14ac:dyDescent="0.25">
      <c r="A3749" s="52" t="s">
        <v>95</v>
      </c>
      <c r="B3749" s="90" t="s">
        <v>9304</v>
      </c>
    </row>
    <row r="3750" spans="1:2" x14ac:dyDescent="0.25">
      <c r="A3750" s="52" t="s">
        <v>95</v>
      </c>
      <c r="B3750" s="90" t="s">
        <v>9305</v>
      </c>
    </row>
    <row r="3751" spans="1:2" x14ac:dyDescent="0.25">
      <c r="A3751" s="52" t="s">
        <v>95</v>
      </c>
      <c r="B3751" s="90" t="s">
        <v>9306</v>
      </c>
    </row>
    <row r="3752" spans="1:2" x14ac:dyDescent="0.25">
      <c r="A3752" s="52" t="s">
        <v>95</v>
      </c>
      <c r="B3752" s="90" t="s">
        <v>9307</v>
      </c>
    </row>
    <row r="3753" spans="1:2" x14ac:dyDescent="0.25">
      <c r="A3753" s="52" t="s">
        <v>95</v>
      </c>
      <c r="B3753" s="90" t="s">
        <v>9308</v>
      </c>
    </row>
    <row r="3754" spans="1:2" x14ac:dyDescent="0.25">
      <c r="A3754" s="52" t="s">
        <v>95</v>
      </c>
      <c r="B3754" s="90" t="s">
        <v>9309</v>
      </c>
    </row>
    <row r="3755" spans="1:2" x14ac:dyDescent="0.25">
      <c r="A3755" s="52" t="s">
        <v>95</v>
      </c>
      <c r="B3755" s="90" t="s">
        <v>9310</v>
      </c>
    </row>
    <row r="3756" spans="1:2" x14ac:dyDescent="0.25">
      <c r="A3756" s="52" t="s">
        <v>95</v>
      </c>
      <c r="B3756" s="90" t="s">
        <v>9311</v>
      </c>
    </row>
    <row r="3757" spans="1:2" x14ac:dyDescent="0.25">
      <c r="A3757" s="52" t="s">
        <v>95</v>
      </c>
      <c r="B3757" s="90" t="s">
        <v>9312</v>
      </c>
    </row>
    <row r="3758" spans="1:2" x14ac:dyDescent="0.25">
      <c r="A3758" s="52" t="s">
        <v>95</v>
      </c>
      <c r="B3758" s="90" t="s">
        <v>9313</v>
      </c>
    </row>
    <row r="3759" spans="1:2" x14ac:dyDescent="0.25">
      <c r="A3759" s="52" t="s">
        <v>95</v>
      </c>
      <c r="B3759" s="90" t="s">
        <v>9314</v>
      </c>
    </row>
    <row r="3760" spans="1:2" x14ac:dyDescent="0.25">
      <c r="A3760" s="52" t="s">
        <v>95</v>
      </c>
      <c r="B3760" s="90" t="s">
        <v>9315</v>
      </c>
    </row>
    <row r="3761" spans="1:2" x14ac:dyDescent="0.25">
      <c r="A3761" s="52" t="s">
        <v>95</v>
      </c>
      <c r="B3761" s="90" t="s">
        <v>9316</v>
      </c>
    </row>
    <row r="3762" spans="1:2" x14ac:dyDescent="0.25">
      <c r="A3762" s="52" t="s">
        <v>95</v>
      </c>
      <c r="B3762" s="90" t="s">
        <v>9317</v>
      </c>
    </row>
    <row r="3763" spans="1:2" x14ac:dyDescent="0.25">
      <c r="A3763" s="52" t="s">
        <v>95</v>
      </c>
      <c r="B3763" s="90" t="s">
        <v>9318</v>
      </c>
    </row>
    <row r="3764" spans="1:2" x14ac:dyDescent="0.25">
      <c r="A3764" s="52" t="s">
        <v>95</v>
      </c>
      <c r="B3764" s="90" t="s">
        <v>9319</v>
      </c>
    </row>
    <row r="3765" spans="1:2" x14ac:dyDescent="0.25">
      <c r="A3765" s="52" t="s">
        <v>95</v>
      </c>
      <c r="B3765" s="90" t="s">
        <v>9320</v>
      </c>
    </row>
    <row r="3766" spans="1:2" x14ac:dyDescent="0.25">
      <c r="A3766" s="52" t="s">
        <v>95</v>
      </c>
      <c r="B3766" s="90" t="s">
        <v>9321</v>
      </c>
    </row>
    <row r="3767" spans="1:2" x14ac:dyDescent="0.25">
      <c r="A3767" s="52" t="s">
        <v>95</v>
      </c>
      <c r="B3767" s="90" t="s">
        <v>9322</v>
      </c>
    </row>
    <row r="3768" spans="1:2" x14ac:dyDescent="0.25">
      <c r="A3768" s="52" t="s">
        <v>95</v>
      </c>
      <c r="B3768" s="90" t="s">
        <v>9323</v>
      </c>
    </row>
    <row r="3769" spans="1:2" x14ac:dyDescent="0.25">
      <c r="A3769" s="52" t="s">
        <v>95</v>
      </c>
      <c r="B3769" s="90" t="s">
        <v>9324</v>
      </c>
    </row>
    <row r="3770" spans="1:2" x14ac:dyDescent="0.25">
      <c r="A3770" s="52" t="s">
        <v>95</v>
      </c>
      <c r="B3770" s="90" t="s">
        <v>9325</v>
      </c>
    </row>
    <row r="3771" spans="1:2" x14ac:dyDescent="0.25">
      <c r="A3771" s="52" t="s">
        <v>95</v>
      </c>
      <c r="B3771" s="90" t="s">
        <v>9326</v>
      </c>
    </row>
    <row r="3772" spans="1:2" x14ac:dyDescent="0.25">
      <c r="A3772" s="52" t="s">
        <v>95</v>
      </c>
      <c r="B3772" s="90" t="s">
        <v>9327</v>
      </c>
    </row>
    <row r="3773" spans="1:2" x14ac:dyDescent="0.25">
      <c r="A3773" s="52" t="s">
        <v>95</v>
      </c>
      <c r="B3773" s="90" t="s">
        <v>9328</v>
      </c>
    </row>
    <row r="3774" spans="1:2" x14ac:dyDescent="0.25">
      <c r="A3774" s="52" t="s">
        <v>95</v>
      </c>
      <c r="B3774" s="90" t="s">
        <v>9329</v>
      </c>
    </row>
    <row r="3775" spans="1:2" x14ac:dyDescent="0.25">
      <c r="A3775" s="52" t="s">
        <v>95</v>
      </c>
      <c r="B3775" s="90" t="s">
        <v>9330</v>
      </c>
    </row>
    <row r="3776" spans="1:2" x14ac:dyDescent="0.25">
      <c r="A3776" s="52" t="s">
        <v>95</v>
      </c>
      <c r="B3776" s="90" t="s">
        <v>9331</v>
      </c>
    </row>
    <row r="3777" spans="1:2" x14ac:dyDescent="0.25">
      <c r="A3777" s="52" t="s">
        <v>95</v>
      </c>
      <c r="B3777" s="90" t="s">
        <v>9332</v>
      </c>
    </row>
    <row r="3778" spans="1:2" x14ac:dyDescent="0.25">
      <c r="A3778" s="52" t="s">
        <v>95</v>
      </c>
      <c r="B3778" s="90" t="s">
        <v>9333</v>
      </c>
    </row>
    <row r="3779" spans="1:2" x14ac:dyDescent="0.25">
      <c r="A3779" s="52" t="s">
        <v>95</v>
      </c>
      <c r="B3779" s="90" t="s">
        <v>9334</v>
      </c>
    </row>
    <row r="3780" spans="1:2" x14ac:dyDescent="0.25">
      <c r="A3780" s="52" t="s">
        <v>95</v>
      </c>
      <c r="B3780" s="90" t="s">
        <v>9335</v>
      </c>
    </row>
    <row r="3781" spans="1:2" x14ac:dyDescent="0.25">
      <c r="A3781" s="52" t="s">
        <v>95</v>
      </c>
      <c r="B3781" s="90" t="s">
        <v>9336</v>
      </c>
    </row>
    <row r="3782" spans="1:2" x14ac:dyDescent="0.25">
      <c r="A3782" s="52" t="s">
        <v>95</v>
      </c>
      <c r="B3782" s="90" t="s">
        <v>9337</v>
      </c>
    </row>
    <row r="3783" spans="1:2" x14ac:dyDescent="0.25">
      <c r="A3783" s="52" t="s">
        <v>95</v>
      </c>
      <c r="B3783" s="90" t="s">
        <v>9338</v>
      </c>
    </row>
    <row r="3784" spans="1:2" x14ac:dyDescent="0.25">
      <c r="A3784" s="52" t="s">
        <v>95</v>
      </c>
      <c r="B3784" s="90" t="s">
        <v>9339</v>
      </c>
    </row>
    <row r="3785" spans="1:2" x14ac:dyDescent="0.25">
      <c r="A3785" s="52" t="s">
        <v>95</v>
      </c>
      <c r="B3785" s="90" t="s">
        <v>9340</v>
      </c>
    </row>
    <row r="3786" spans="1:2" x14ac:dyDescent="0.25">
      <c r="A3786" s="52" t="s">
        <v>95</v>
      </c>
      <c r="B3786" s="90" t="s">
        <v>9341</v>
      </c>
    </row>
    <row r="3787" spans="1:2" x14ac:dyDescent="0.25">
      <c r="A3787" s="52" t="s">
        <v>95</v>
      </c>
      <c r="B3787" s="90" t="s">
        <v>9342</v>
      </c>
    </row>
    <row r="3788" spans="1:2" x14ac:dyDescent="0.25">
      <c r="A3788" s="52" t="s">
        <v>95</v>
      </c>
      <c r="B3788" s="90" t="s">
        <v>9343</v>
      </c>
    </row>
    <row r="3789" spans="1:2" x14ac:dyDescent="0.25">
      <c r="A3789" s="52" t="s">
        <v>95</v>
      </c>
      <c r="B3789" s="90" t="s">
        <v>9344</v>
      </c>
    </row>
    <row r="3790" spans="1:2" x14ac:dyDescent="0.25">
      <c r="A3790" s="52" t="s">
        <v>95</v>
      </c>
      <c r="B3790" s="90" t="s">
        <v>9345</v>
      </c>
    </row>
    <row r="3791" spans="1:2" x14ac:dyDescent="0.25">
      <c r="A3791" s="52" t="s">
        <v>95</v>
      </c>
      <c r="B3791" s="90" t="s">
        <v>9346</v>
      </c>
    </row>
    <row r="3792" spans="1:2" x14ac:dyDescent="0.25">
      <c r="A3792" s="52" t="s">
        <v>95</v>
      </c>
      <c r="B3792" s="90" t="s">
        <v>9347</v>
      </c>
    </row>
    <row r="3793" spans="1:2" x14ac:dyDescent="0.25">
      <c r="A3793" s="52" t="s">
        <v>95</v>
      </c>
      <c r="B3793" s="90" t="s">
        <v>9348</v>
      </c>
    </row>
    <row r="3794" spans="1:2" x14ac:dyDescent="0.25">
      <c r="A3794" s="52" t="s">
        <v>95</v>
      </c>
      <c r="B3794" s="90" t="s">
        <v>9349</v>
      </c>
    </row>
    <row r="3795" spans="1:2" x14ac:dyDescent="0.25">
      <c r="A3795" s="52" t="s">
        <v>95</v>
      </c>
      <c r="B3795" s="90" t="s">
        <v>9350</v>
      </c>
    </row>
    <row r="3796" spans="1:2" x14ac:dyDescent="0.25">
      <c r="A3796" s="52" t="s">
        <v>95</v>
      </c>
      <c r="B3796" s="90" t="s">
        <v>9351</v>
      </c>
    </row>
    <row r="3797" spans="1:2" x14ac:dyDescent="0.25">
      <c r="A3797" s="52" t="s">
        <v>95</v>
      </c>
      <c r="B3797" s="90" t="s">
        <v>9352</v>
      </c>
    </row>
    <row r="3798" spans="1:2" x14ac:dyDescent="0.25">
      <c r="A3798" s="52" t="s">
        <v>95</v>
      </c>
      <c r="B3798" s="90" t="s">
        <v>9353</v>
      </c>
    </row>
    <row r="3799" spans="1:2" x14ac:dyDescent="0.25">
      <c r="A3799" s="52" t="s">
        <v>95</v>
      </c>
      <c r="B3799" s="90" t="s">
        <v>9354</v>
      </c>
    </row>
    <row r="3800" spans="1:2" x14ac:dyDescent="0.25">
      <c r="A3800" s="52" t="s">
        <v>95</v>
      </c>
      <c r="B3800" s="90" t="s">
        <v>9355</v>
      </c>
    </row>
    <row r="3801" spans="1:2" x14ac:dyDescent="0.25">
      <c r="A3801" s="52" t="s">
        <v>95</v>
      </c>
      <c r="B3801" s="90" t="s">
        <v>9356</v>
      </c>
    </row>
    <row r="3802" spans="1:2" x14ac:dyDescent="0.25">
      <c r="A3802" s="52" t="s">
        <v>95</v>
      </c>
      <c r="B3802" s="90" t="s">
        <v>9357</v>
      </c>
    </row>
    <row r="3803" spans="1:2" x14ac:dyDescent="0.25">
      <c r="A3803" s="52" t="s">
        <v>95</v>
      </c>
      <c r="B3803" s="90" t="s">
        <v>9358</v>
      </c>
    </row>
    <row r="3804" spans="1:2" x14ac:dyDescent="0.25">
      <c r="A3804" s="52" t="s">
        <v>95</v>
      </c>
      <c r="B3804" s="90" t="s">
        <v>9359</v>
      </c>
    </row>
    <row r="3805" spans="1:2" x14ac:dyDescent="0.25">
      <c r="A3805" s="52" t="s">
        <v>95</v>
      </c>
      <c r="B3805" s="90" t="s">
        <v>9360</v>
      </c>
    </row>
    <row r="3806" spans="1:2" x14ac:dyDescent="0.25">
      <c r="A3806" s="52" t="s">
        <v>95</v>
      </c>
      <c r="B3806" s="90" t="s">
        <v>9361</v>
      </c>
    </row>
    <row r="3807" spans="1:2" x14ac:dyDescent="0.25">
      <c r="A3807" s="52" t="s">
        <v>95</v>
      </c>
      <c r="B3807" s="90" t="s">
        <v>9362</v>
      </c>
    </row>
    <row r="3808" spans="1:2" x14ac:dyDescent="0.25">
      <c r="A3808" s="52" t="s">
        <v>95</v>
      </c>
      <c r="B3808" s="90" t="s">
        <v>9363</v>
      </c>
    </row>
    <row r="3809" spans="1:2" x14ac:dyDescent="0.25">
      <c r="A3809" s="52" t="s">
        <v>95</v>
      </c>
      <c r="B3809" s="90" t="s">
        <v>9364</v>
      </c>
    </row>
    <row r="3810" spans="1:2" x14ac:dyDescent="0.25">
      <c r="A3810" s="52" t="s">
        <v>95</v>
      </c>
      <c r="B3810" s="90" t="s">
        <v>9365</v>
      </c>
    </row>
    <row r="3811" spans="1:2" x14ac:dyDescent="0.25">
      <c r="A3811" s="52" t="s">
        <v>95</v>
      </c>
      <c r="B3811" s="90" t="s">
        <v>9366</v>
      </c>
    </row>
    <row r="3812" spans="1:2" x14ac:dyDescent="0.25">
      <c r="A3812" s="52" t="s">
        <v>95</v>
      </c>
      <c r="B3812" s="90" t="s">
        <v>9367</v>
      </c>
    </row>
    <row r="3813" spans="1:2" x14ac:dyDescent="0.25">
      <c r="A3813" s="52" t="s">
        <v>95</v>
      </c>
      <c r="B3813" s="90" t="s">
        <v>9368</v>
      </c>
    </row>
    <row r="3814" spans="1:2" x14ac:dyDescent="0.25">
      <c r="A3814" s="52" t="s">
        <v>95</v>
      </c>
      <c r="B3814" s="90" t="s">
        <v>9369</v>
      </c>
    </row>
    <row r="3815" spans="1:2" x14ac:dyDescent="0.25">
      <c r="A3815" s="52" t="s">
        <v>95</v>
      </c>
      <c r="B3815" s="90" t="s">
        <v>5793</v>
      </c>
    </row>
    <row r="3816" spans="1:2" x14ac:dyDescent="0.25">
      <c r="A3816" s="52" t="s">
        <v>95</v>
      </c>
      <c r="B3816" s="90" t="s">
        <v>9370</v>
      </c>
    </row>
    <row r="3817" spans="1:2" x14ac:dyDescent="0.25">
      <c r="A3817" s="52" t="s">
        <v>95</v>
      </c>
      <c r="B3817" s="90" t="s">
        <v>9371</v>
      </c>
    </row>
    <row r="3818" spans="1:2" x14ac:dyDescent="0.25">
      <c r="A3818" s="52" t="s">
        <v>95</v>
      </c>
      <c r="B3818" s="90" t="s">
        <v>9372</v>
      </c>
    </row>
    <row r="3819" spans="1:2" x14ac:dyDescent="0.25">
      <c r="A3819" s="52" t="s">
        <v>95</v>
      </c>
      <c r="B3819" s="90" t="s">
        <v>9373</v>
      </c>
    </row>
    <row r="3820" spans="1:2" x14ac:dyDescent="0.25">
      <c r="A3820" s="52" t="s">
        <v>95</v>
      </c>
      <c r="B3820" s="90" t="s">
        <v>9374</v>
      </c>
    </row>
    <row r="3821" spans="1:2" x14ac:dyDescent="0.25">
      <c r="A3821" s="52" t="s">
        <v>95</v>
      </c>
      <c r="B3821" s="90" t="s">
        <v>9375</v>
      </c>
    </row>
    <row r="3822" spans="1:2" x14ac:dyDescent="0.25">
      <c r="A3822" s="52" t="s">
        <v>95</v>
      </c>
      <c r="B3822" s="90" t="s">
        <v>9376</v>
      </c>
    </row>
    <row r="3823" spans="1:2" x14ac:dyDescent="0.25">
      <c r="A3823" s="52" t="s">
        <v>95</v>
      </c>
      <c r="B3823" s="90" t="s">
        <v>9377</v>
      </c>
    </row>
    <row r="3824" spans="1:2" x14ac:dyDescent="0.25">
      <c r="A3824" s="52" t="s">
        <v>95</v>
      </c>
      <c r="B3824" s="90" t="s">
        <v>9378</v>
      </c>
    </row>
    <row r="3825" spans="1:2" x14ac:dyDescent="0.25">
      <c r="A3825" s="52" t="s">
        <v>95</v>
      </c>
      <c r="B3825" s="90" t="s">
        <v>9379</v>
      </c>
    </row>
    <row r="3826" spans="1:2" x14ac:dyDescent="0.25">
      <c r="A3826" s="52" t="s">
        <v>95</v>
      </c>
      <c r="B3826" s="90" t="s">
        <v>9380</v>
      </c>
    </row>
    <row r="3827" spans="1:2" x14ac:dyDescent="0.25">
      <c r="A3827" s="52" t="s">
        <v>95</v>
      </c>
      <c r="B3827" s="90" t="s">
        <v>9381</v>
      </c>
    </row>
    <row r="3828" spans="1:2" x14ac:dyDescent="0.25">
      <c r="A3828" s="52" t="s">
        <v>95</v>
      </c>
      <c r="B3828" s="90" t="s">
        <v>9382</v>
      </c>
    </row>
    <row r="3829" spans="1:2" x14ac:dyDescent="0.25">
      <c r="A3829" s="52" t="s">
        <v>95</v>
      </c>
      <c r="B3829" s="90" t="s">
        <v>9383</v>
      </c>
    </row>
    <row r="3830" spans="1:2" x14ac:dyDescent="0.25">
      <c r="A3830" s="52" t="s">
        <v>95</v>
      </c>
      <c r="B3830" s="90" t="s">
        <v>9384</v>
      </c>
    </row>
    <row r="3831" spans="1:2" x14ac:dyDescent="0.25">
      <c r="A3831" s="52" t="s">
        <v>95</v>
      </c>
      <c r="B3831" s="90" t="s">
        <v>9385</v>
      </c>
    </row>
    <row r="3832" spans="1:2" x14ac:dyDescent="0.25">
      <c r="A3832" s="52" t="s">
        <v>95</v>
      </c>
      <c r="B3832" s="90" t="s">
        <v>9386</v>
      </c>
    </row>
    <row r="3833" spans="1:2" x14ac:dyDescent="0.25">
      <c r="A3833" s="52" t="s">
        <v>95</v>
      </c>
      <c r="B3833" s="90" t="s">
        <v>9387</v>
      </c>
    </row>
    <row r="3834" spans="1:2" x14ac:dyDescent="0.25">
      <c r="A3834" s="52" t="s">
        <v>95</v>
      </c>
      <c r="B3834" s="90" t="s">
        <v>9388</v>
      </c>
    </row>
    <row r="3835" spans="1:2" x14ac:dyDescent="0.25">
      <c r="A3835" s="52" t="s">
        <v>95</v>
      </c>
      <c r="B3835" s="90" t="s">
        <v>9389</v>
      </c>
    </row>
    <row r="3836" spans="1:2" x14ac:dyDescent="0.25">
      <c r="A3836" s="52" t="s">
        <v>95</v>
      </c>
      <c r="B3836" s="90" t="s">
        <v>9390</v>
      </c>
    </row>
    <row r="3837" spans="1:2" x14ac:dyDescent="0.25">
      <c r="A3837" s="52" t="s">
        <v>95</v>
      </c>
      <c r="B3837" s="90" t="s">
        <v>9391</v>
      </c>
    </row>
    <row r="3838" spans="1:2" x14ac:dyDescent="0.25">
      <c r="A3838" s="52" t="s">
        <v>95</v>
      </c>
      <c r="B3838" s="90" t="s">
        <v>9392</v>
      </c>
    </row>
    <row r="3839" spans="1:2" x14ac:dyDescent="0.25">
      <c r="A3839" s="52" t="s">
        <v>95</v>
      </c>
      <c r="B3839" s="90" t="s">
        <v>9393</v>
      </c>
    </row>
    <row r="3840" spans="1:2" x14ac:dyDescent="0.25">
      <c r="A3840" s="52" t="s">
        <v>95</v>
      </c>
      <c r="B3840" s="90" t="s">
        <v>9393</v>
      </c>
    </row>
    <row r="3841" spans="1:2" x14ac:dyDescent="0.25">
      <c r="A3841" s="52" t="s">
        <v>95</v>
      </c>
      <c r="B3841" s="90" t="s">
        <v>9394</v>
      </c>
    </row>
    <row r="3842" spans="1:2" x14ac:dyDescent="0.25">
      <c r="A3842" s="52" t="s">
        <v>95</v>
      </c>
      <c r="B3842" s="90" t="s">
        <v>9395</v>
      </c>
    </row>
    <row r="3843" spans="1:2" x14ac:dyDescent="0.25">
      <c r="A3843" s="52" t="s">
        <v>95</v>
      </c>
      <c r="B3843" s="90" t="s">
        <v>9396</v>
      </c>
    </row>
    <row r="3844" spans="1:2" x14ac:dyDescent="0.25">
      <c r="A3844" s="52" t="s">
        <v>95</v>
      </c>
      <c r="B3844" s="90" t="s">
        <v>9397</v>
      </c>
    </row>
    <row r="3845" spans="1:2" x14ac:dyDescent="0.25">
      <c r="A3845" s="52" t="s">
        <v>95</v>
      </c>
      <c r="B3845" s="90" t="s">
        <v>9398</v>
      </c>
    </row>
    <row r="3846" spans="1:2" x14ac:dyDescent="0.25">
      <c r="A3846" s="52" t="s">
        <v>95</v>
      </c>
      <c r="B3846" s="90" t="s">
        <v>9399</v>
      </c>
    </row>
    <row r="3847" spans="1:2" x14ac:dyDescent="0.25">
      <c r="A3847" s="52" t="s">
        <v>95</v>
      </c>
      <c r="B3847" s="90" t="s">
        <v>9400</v>
      </c>
    </row>
    <row r="3848" spans="1:2" x14ac:dyDescent="0.25">
      <c r="A3848" s="52" t="s">
        <v>95</v>
      </c>
      <c r="B3848" s="90" t="s">
        <v>9401</v>
      </c>
    </row>
    <row r="3849" spans="1:2" x14ac:dyDescent="0.25">
      <c r="A3849" s="52" t="s">
        <v>95</v>
      </c>
      <c r="B3849" s="90" t="s">
        <v>9402</v>
      </c>
    </row>
    <row r="3850" spans="1:2" x14ac:dyDescent="0.25">
      <c r="A3850" s="52" t="s">
        <v>95</v>
      </c>
      <c r="B3850" s="90" t="s">
        <v>9403</v>
      </c>
    </row>
    <row r="3851" spans="1:2" x14ac:dyDescent="0.25">
      <c r="A3851" s="52" t="s">
        <v>95</v>
      </c>
      <c r="B3851" s="90" t="s">
        <v>9404</v>
      </c>
    </row>
    <row r="3852" spans="1:2" x14ac:dyDescent="0.25">
      <c r="A3852" s="52" t="s">
        <v>95</v>
      </c>
      <c r="B3852" s="90" t="s">
        <v>9405</v>
      </c>
    </row>
    <row r="3853" spans="1:2" x14ac:dyDescent="0.25">
      <c r="A3853" s="52" t="s">
        <v>95</v>
      </c>
      <c r="B3853" s="90" t="s">
        <v>9406</v>
      </c>
    </row>
    <row r="3854" spans="1:2" x14ac:dyDescent="0.25">
      <c r="A3854" s="52" t="s">
        <v>95</v>
      </c>
      <c r="B3854" s="90" t="s">
        <v>9407</v>
      </c>
    </row>
    <row r="3855" spans="1:2" x14ac:dyDescent="0.25">
      <c r="A3855" s="52" t="s">
        <v>95</v>
      </c>
      <c r="B3855" s="90" t="s">
        <v>9408</v>
      </c>
    </row>
    <row r="3856" spans="1:2" x14ac:dyDescent="0.25">
      <c r="A3856" s="52" t="s">
        <v>95</v>
      </c>
      <c r="B3856" s="90" t="s">
        <v>9409</v>
      </c>
    </row>
    <row r="3857" spans="1:2" x14ac:dyDescent="0.25">
      <c r="A3857" s="52" t="s">
        <v>95</v>
      </c>
      <c r="B3857" s="90" t="s">
        <v>9410</v>
      </c>
    </row>
    <row r="3858" spans="1:2" x14ac:dyDescent="0.25">
      <c r="A3858" s="52" t="s">
        <v>95</v>
      </c>
      <c r="B3858" s="90" t="s">
        <v>9411</v>
      </c>
    </row>
    <row r="3859" spans="1:2" x14ac:dyDescent="0.25">
      <c r="A3859" s="52" t="s">
        <v>95</v>
      </c>
      <c r="B3859" s="90" t="s">
        <v>9412</v>
      </c>
    </row>
    <row r="3860" spans="1:2" x14ac:dyDescent="0.25">
      <c r="A3860" s="52" t="s">
        <v>95</v>
      </c>
      <c r="B3860" s="90" t="s">
        <v>9413</v>
      </c>
    </row>
    <row r="3861" spans="1:2" x14ac:dyDescent="0.25">
      <c r="A3861" s="52" t="s">
        <v>95</v>
      </c>
      <c r="B3861" s="90" t="s">
        <v>9414</v>
      </c>
    </row>
    <row r="3862" spans="1:2" x14ac:dyDescent="0.25">
      <c r="A3862" s="52" t="s">
        <v>95</v>
      </c>
      <c r="B3862" s="90" t="s">
        <v>9415</v>
      </c>
    </row>
    <row r="3863" spans="1:2" x14ac:dyDescent="0.25">
      <c r="A3863" s="52" t="s">
        <v>95</v>
      </c>
      <c r="B3863" s="90" t="s">
        <v>9416</v>
      </c>
    </row>
    <row r="3864" spans="1:2" x14ac:dyDescent="0.25">
      <c r="A3864" s="52" t="s">
        <v>95</v>
      </c>
      <c r="B3864" s="90" t="s">
        <v>9417</v>
      </c>
    </row>
    <row r="3865" spans="1:2" x14ac:dyDescent="0.25">
      <c r="A3865" s="52" t="s">
        <v>95</v>
      </c>
      <c r="B3865" s="90" t="s">
        <v>9418</v>
      </c>
    </row>
    <row r="3866" spans="1:2" x14ac:dyDescent="0.25">
      <c r="A3866" s="52" t="s">
        <v>95</v>
      </c>
      <c r="B3866" s="90" t="s">
        <v>9419</v>
      </c>
    </row>
    <row r="3867" spans="1:2" x14ac:dyDescent="0.25">
      <c r="A3867" s="52" t="s">
        <v>95</v>
      </c>
      <c r="B3867" s="90" t="s">
        <v>9420</v>
      </c>
    </row>
    <row r="3868" spans="1:2" x14ac:dyDescent="0.25">
      <c r="A3868" s="52" t="s">
        <v>95</v>
      </c>
      <c r="B3868" s="90" t="s">
        <v>9421</v>
      </c>
    </row>
    <row r="3869" spans="1:2" x14ac:dyDescent="0.25">
      <c r="A3869" s="52" t="s">
        <v>95</v>
      </c>
      <c r="B3869" s="90" t="s">
        <v>9422</v>
      </c>
    </row>
    <row r="3870" spans="1:2" x14ac:dyDescent="0.25">
      <c r="A3870" s="52" t="s">
        <v>95</v>
      </c>
      <c r="B3870" s="90" t="s">
        <v>9423</v>
      </c>
    </row>
    <row r="3871" spans="1:2" x14ac:dyDescent="0.25">
      <c r="A3871" s="52" t="s">
        <v>95</v>
      </c>
      <c r="B3871" s="90" t="s">
        <v>9424</v>
      </c>
    </row>
    <row r="3872" spans="1:2" x14ac:dyDescent="0.25">
      <c r="A3872" s="52" t="s">
        <v>95</v>
      </c>
      <c r="B3872" s="90" t="s">
        <v>9425</v>
      </c>
    </row>
    <row r="3873" spans="1:2" x14ac:dyDescent="0.25">
      <c r="A3873" s="52" t="s">
        <v>95</v>
      </c>
      <c r="B3873" s="90" t="s">
        <v>9426</v>
      </c>
    </row>
    <row r="3874" spans="1:2" x14ac:dyDescent="0.25">
      <c r="A3874" s="52" t="s">
        <v>95</v>
      </c>
      <c r="B3874" s="90" t="s">
        <v>9427</v>
      </c>
    </row>
    <row r="3875" spans="1:2" x14ac:dyDescent="0.25">
      <c r="A3875" s="52" t="s">
        <v>95</v>
      </c>
      <c r="B3875" s="90" t="s">
        <v>9428</v>
      </c>
    </row>
    <row r="3876" spans="1:2" x14ac:dyDescent="0.25">
      <c r="A3876" s="52" t="s">
        <v>95</v>
      </c>
      <c r="B3876" s="90" t="s">
        <v>9429</v>
      </c>
    </row>
    <row r="3877" spans="1:2" x14ac:dyDescent="0.25">
      <c r="A3877" s="52" t="s">
        <v>95</v>
      </c>
      <c r="B3877" s="90" t="s">
        <v>9430</v>
      </c>
    </row>
    <row r="3878" spans="1:2" x14ac:dyDescent="0.25">
      <c r="A3878" s="52" t="s">
        <v>95</v>
      </c>
      <c r="B3878" s="90" t="s">
        <v>9431</v>
      </c>
    </row>
    <row r="3879" spans="1:2" x14ac:dyDescent="0.25">
      <c r="A3879" s="52" t="s">
        <v>95</v>
      </c>
      <c r="B3879" s="90" t="s">
        <v>9432</v>
      </c>
    </row>
    <row r="3880" spans="1:2" x14ac:dyDescent="0.25">
      <c r="A3880" s="52" t="s">
        <v>95</v>
      </c>
      <c r="B3880" s="90" t="s">
        <v>9433</v>
      </c>
    </row>
    <row r="3881" spans="1:2" x14ac:dyDescent="0.25">
      <c r="A3881" s="52" t="s">
        <v>95</v>
      </c>
      <c r="B3881" s="90" t="s">
        <v>9434</v>
      </c>
    </row>
    <row r="3882" spans="1:2" x14ac:dyDescent="0.25">
      <c r="A3882" s="52" t="s">
        <v>95</v>
      </c>
      <c r="B3882" s="90" t="s">
        <v>9435</v>
      </c>
    </row>
    <row r="3883" spans="1:2" x14ac:dyDescent="0.25">
      <c r="A3883" s="52" t="s">
        <v>95</v>
      </c>
      <c r="B3883" s="90" t="s">
        <v>9436</v>
      </c>
    </row>
    <row r="3884" spans="1:2" x14ac:dyDescent="0.25">
      <c r="A3884" s="52" t="s">
        <v>95</v>
      </c>
      <c r="B3884" s="90" t="s">
        <v>9437</v>
      </c>
    </row>
    <row r="3885" spans="1:2" x14ac:dyDescent="0.25">
      <c r="A3885" s="52" t="s">
        <v>95</v>
      </c>
      <c r="B3885" s="90" t="s">
        <v>9438</v>
      </c>
    </row>
    <row r="3886" spans="1:2" x14ac:dyDescent="0.25">
      <c r="A3886" s="52" t="s">
        <v>95</v>
      </c>
      <c r="B3886" s="90" t="s">
        <v>9439</v>
      </c>
    </row>
    <row r="3887" spans="1:2" x14ac:dyDescent="0.25">
      <c r="A3887" s="52" t="s">
        <v>95</v>
      </c>
      <c r="B3887" s="90" t="s">
        <v>9440</v>
      </c>
    </row>
    <row r="3888" spans="1:2" x14ac:dyDescent="0.25">
      <c r="A3888" s="52" t="s">
        <v>95</v>
      </c>
      <c r="B3888" s="90" t="s">
        <v>9441</v>
      </c>
    </row>
    <row r="3889" spans="1:2" x14ac:dyDescent="0.25">
      <c r="A3889" s="52" t="s">
        <v>95</v>
      </c>
      <c r="B3889" s="90" t="s">
        <v>9442</v>
      </c>
    </row>
    <row r="3890" spans="1:2" x14ac:dyDescent="0.25">
      <c r="A3890" s="52" t="s">
        <v>95</v>
      </c>
      <c r="B3890" s="90" t="s">
        <v>9443</v>
      </c>
    </row>
    <row r="3891" spans="1:2" x14ac:dyDescent="0.25">
      <c r="A3891" s="52" t="s">
        <v>95</v>
      </c>
      <c r="B3891" s="90" t="s">
        <v>9444</v>
      </c>
    </row>
    <row r="3892" spans="1:2" x14ac:dyDescent="0.25">
      <c r="A3892" s="52" t="s">
        <v>95</v>
      </c>
      <c r="B3892" s="90" t="s">
        <v>9445</v>
      </c>
    </row>
    <row r="3893" spans="1:2" x14ac:dyDescent="0.25">
      <c r="A3893" s="52" t="s">
        <v>95</v>
      </c>
      <c r="B3893" s="90" t="s">
        <v>9446</v>
      </c>
    </row>
    <row r="3894" spans="1:2" x14ac:dyDescent="0.25">
      <c r="A3894" s="52" t="s">
        <v>95</v>
      </c>
      <c r="B3894" s="90" t="s">
        <v>9447</v>
      </c>
    </row>
    <row r="3895" spans="1:2" x14ac:dyDescent="0.25">
      <c r="A3895" s="52" t="s">
        <v>95</v>
      </c>
      <c r="B3895" s="90" t="s">
        <v>9448</v>
      </c>
    </row>
    <row r="3896" spans="1:2" x14ac:dyDescent="0.25">
      <c r="A3896" s="52" t="s">
        <v>95</v>
      </c>
      <c r="B3896" s="90" t="s">
        <v>9449</v>
      </c>
    </row>
    <row r="3897" spans="1:2" x14ac:dyDescent="0.25">
      <c r="A3897" s="52" t="s">
        <v>95</v>
      </c>
      <c r="B3897" s="90" t="s">
        <v>9450</v>
      </c>
    </row>
    <row r="3898" spans="1:2" x14ac:dyDescent="0.25">
      <c r="A3898" s="52" t="s">
        <v>95</v>
      </c>
      <c r="B3898" s="90" t="s">
        <v>9451</v>
      </c>
    </row>
    <row r="3899" spans="1:2" x14ac:dyDescent="0.25">
      <c r="A3899" s="52" t="s">
        <v>95</v>
      </c>
      <c r="B3899" s="90" t="s">
        <v>9452</v>
      </c>
    </row>
    <row r="3900" spans="1:2" x14ac:dyDescent="0.25">
      <c r="A3900" s="52" t="s">
        <v>95</v>
      </c>
      <c r="B3900" s="90" t="s">
        <v>9453</v>
      </c>
    </row>
    <row r="3901" spans="1:2" x14ac:dyDescent="0.25">
      <c r="A3901" s="52" t="s">
        <v>95</v>
      </c>
      <c r="B3901" s="90" t="s">
        <v>9454</v>
      </c>
    </row>
    <row r="3902" spans="1:2" x14ac:dyDescent="0.25">
      <c r="A3902" s="52" t="s">
        <v>95</v>
      </c>
      <c r="B3902" s="90" t="s">
        <v>9455</v>
      </c>
    </row>
    <row r="3903" spans="1:2" x14ac:dyDescent="0.25">
      <c r="A3903" s="52" t="s">
        <v>95</v>
      </c>
      <c r="B3903" s="90" t="s">
        <v>9456</v>
      </c>
    </row>
    <row r="3904" spans="1:2" x14ac:dyDescent="0.25">
      <c r="A3904" s="52" t="s">
        <v>95</v>
      </c>
      <c r="B3904" s="90" t="s">
        <v>9457</v>
      </c>
    </row>
    <row r="3905" spans="1:2" x14ac:dyDescent="0.25">
      <c r="A3905" s="52" t="s">
        <v>95</v>
      </c>
      <c r="B3905" s="90" t="s">
        <v>9458</v>
      </c>
    </row>
    <row r="3906" spans="1:2" x14ac:dyDescent="0.25">
      <c r="A3906" s="52" t="s">
        <v>95</v>
      </c>
      <c r="B3906" s="90" t="s">
        <v>9459</v>
      </c>
    </row>
    <row r="3907" spans="1:2" x14ac:dyDescent="0.25">
      <c r="A3907" s="52" t="s">
        <v>95</v>
      </c>
      <c r="B3907" s="90" t="s">
        <v>9460</v>
      </c>
    </row>
    <row r="3908" spans="1:2" x14ac:dyDescent="0.25">
      <c r="A3908" s="52" t="s">
        <v>95</v>
      </c>
      <c r="B3908" s="90" t="s">
        <v>9461</v>
      </c>
    </row>
    <row r="3909" spans="1:2" x14ac:dyDescent="0.25">
      <c r="A3909" s="52" t="s">
        <v>95</v>
      </c>
      <c r="B3909" s="90" t="s">
        <v>9462</v>
      </c>
    </row>
    <row r="3910" spans="1:2" x14ac:dyDescent="0.25">
      <c r="A3910" s="52" t="s">
        <v>95</v>
      </c>
      <c r="B3910" s="90" t="s">
        <v>9463</v>
      </c>
    </row>
    <row r="3911" spans="1:2" x14ac:dyDescent="0.25">
      <c r="A3911" s="52" t="s">
        <v>95</v>
      </c>
      <c r="B3911" s="90" t="s">
        <v>9464</v>
      </c>
    </row>
    <row r="3912" spans="1:2" x14ac:dyDescent="0.25">
      <c r="A3912" s="52" t="s">
        <v>95</v>
      </c>
      <c r="B3912" s="90" t="s">
        <v>9465</v>
      </c>
    </row>
    <row r="3913" spans="1:2" x14ac:dyDescent="0.25">
      <c r="A3913" s="52" t="s">
        <v>95</v>
      </c>
      <c r="B3913" s="90" t="s">
        <v>9466</v>
      </c>
    </row>
    <row r="3914" spans="1:2" x14ac:dyDescent="0.25">
      <c r="A3914" s="52" t="s">
        <v>95</v>
      </c>
      <c r="B3914" s="90" t="s">
        <v>9467</v>
      </c>
    </row>
    <row r="3915" spans="1:2" x14ac:dyDescent="0.25">
      <c r="A3915" s="52" t="s">
        <v>95</v>
      </c>
      <c r="B3915" s="90" t="s">
        <v>9468</v>
      </c>
    </row>
    <row r="3916" spans="1:2" x14ac:dyDescent="0.25">
      <c r="A3916" s="52" t="s">
        <v>95</v>
      </c>
      <c r="B3916" s="90" t="s">
        <v>9469</v>
      </c>
    </row>
    <row r="3917" spans="1:2" x14ac:dyDescent="0.25">
      <c r="A3917" s="52" t="s">
        <v>95</v>
      </c>
      <c r="B3917" s="90" t="s">
        <v>9470</v>
      </c>
    </row>
    <row r="3918" spans="1:2" x14ac:dyDescent="0.25">
      <c r="A3918" s="52" t="s">
        <v>95</v>
      </c>
      <c r="B3918" s="90" t="s">
        <v>9471</v>
      </c>
    </row>
    <row r="3919" spans="1:2" x14ac:dyDescent="0.25">
      <c r="A3919" s="52" t="s">
        <v>95</v>
      </c>
      <c r="B3919" s="90" t="s">
        <v>9472</v>
      </c>
    </row>
    <row r="3920" spans="1:2" x14ac:dyDescent="0.25">
      <c r="A3920" s="52" t="s">
        <v>95</v>
      </c>
      <c r="B3920" s="90" t="s">
        <v>9473</v>
      </c>
    </row>
    <row r="3921" spans="1:2" x14ac:dyDescent="0.25">
      <c r="A3921" s="52" t="s">
        <v>95</v>
      </c>
      <c r="B3921" s="90" t="s">
        <v>9474</v>
      </c>
    </row>
    <row r="3922" spans="1:2" x14ac:dyDescent="0.25">
      <c r="A3922" s="52" t="s">
        <v>95</v>
      </c>
      <c r="B3922" s="90" t="s">
        <v>9475</v>
      </c>
    </row>
    <row r="3923" spans="1:2" x14ac:dyDescent="0.25">
      <c r="A3923" s="52" t="s">
        <v>95</v>
      </c>
      <c r="B3923" s="90" t="s">
        <v>9476</v>
      </c>
    </row>
    <row r="3924" spans="1:2" x14ac:dyDescent="0.25">
      <c r="A3924" s="52" t="s">
        <v>95</v>
      </c>
      <c r="B3924" s="90" t="s">
        <v>9477</v>
      </c>
    </row>
    <row r="3925" spans="1:2" x14ac:dyDescent="0.25">
      <c r="A3925" s="52" t="s">
        <v>95</v>
      </c>
      <c r="B3925" s="90" t="s">
        <v>9478</v>
      </c>
    </row>
    <row r="3926" spans="1:2" x14ac:dyDescent="0.25">
      <c r="A3926" s="52" t="s">
        <v>95</v>
      </c>
      <c r="B3926" s="90" t="s">
        <v>9479</v>
      </c>
    </row>
    <row r="3927" spans="1:2" x14ac:dyDescent="0.25">
      <c r="A3927" s="52" t="s">
        <v>95</v>
      </c>
      <c r="B3927" s="90" t="s">
        <v>9480</v>
      </c>
    </row>
    <row r="3928" spans="1:2" x14ac:dyDescent="0.25">
      <c r="A3928" s="52" t="s">
        <v>95</v>
      </c>
      <c r="B3928" s="90" t="s">
        <v>9481</v>
      </c>
    </row>
    <row r="3929" spans="1:2" x14ac:dyDescent="0.25">
      <c r="A3929" s="52" t="s">
        <v>95</v>
      </c>
      <c r="B3929" s="90" t="s">
        <v>9482</v>
      </c>
    </row>
    <row r="3930" spans="1:2" x14ac:dyDescent="0.25">
      <c r="A3930" s="52" t="s">
        <v>95</v>
      </c>
      <c r="B3930" s="90" t="s">
        <v>9483</v>
      </c>
    </row>
    <row r="3931" spans="1:2" x14ac:dyDescent="0.25">
      <c r="A3931" s="52" t="s">
        <v>95</v>
      </c>
      <c r="B3931" s="90" t="s">
        <v>9484</v>
      </c>
    </row>
    <row r="3932" spans="1:2" x14ac:dyDescent="0.25">
      <c r="A3932" s="52" t="s">
        <v>95</v>
      </c>
      <c r="B3932" s="90" t="s">
        <v>9485</v>
      </c>
    </row>
    <row r="3933" spans="1:2" x14ac:dyDescent="0.25">
      <c r="A3933" s="52" t="s">
        <v>95</v>
      </c>
      <c r="B3933" s="90" t="s">
        <v>9486</v>
      </c>
    </row>
    <row r="3934" spans="1:2" x14ac:dyDescent="0.25">
      <c r="A3934" s="52" t="s">
        <v>95</v>
      </c>
      <c r="B3934" s="90" t="s">
        <v>9487</v>
      </c>
    </row>
    <row r="3935" spans="1:2" x14ac:dyDescent="0.25">
      <c r="A3935" s="52" t="s">
        <v>95</v>
      </c>
      <c r="B3935" s="90" t="s">
        <v>9488</v>
      </c>
    </row>
    <row r="3936" spans="1:2" x14ac:dyDescent="0.25">
      <c r="A3936" s="52" t="s">
        <v>95</v>
      </c>
      <c r="B3936" s="90" t="s">
        <v>9489</v>
      </c>
    </row>
    <row r="3937" spans="1:2" x14ac:dyDescent="0.25">
      <c r="A3937" s="52" t="s">
        <v>95</v>
      </c>
      <c r="B3937" s="90" t="s">
        <v>9490</v>
      </c>
    </row>
    <row r="3938" spans="1:2" x14ac:dyDescent="0.25">
      <c r="A3938" s="52" t="s">
        <v>95</v>
      </c>
      <c r="B3938" s="90" t="s">
        <v>9491</v>
      </c>
    </row>
    <row r="3939" spans="1:2" x14ac:dyDescent="0.25">
      <c r="A3939" s="52" t="s">
        <v>95</v>
      </c>
      <c r="B3939" s="90" t="s">
        <v>9492</v>
      </c>
    </row>
    <row r="3940" spans="1:2" x14ac:dyDescent="0.25">
      <c r="A3940" s="52" t="s">
        <v>95</v>
      </c>
      <c r="B3940" s="90" t="s">
        <v>9492</v>
      </c>
    </row>
    <row r="3941" spans="1:2" x14ac:dyDescent="0.25">
      <c r="A3941" s="52" t="s">
        <v>95</v>
      </c>
      <c r="B3941" s="90" t="s">
        <v>9493</v>
      </c>
    </row>
    <row r="3942" spans="1:2" x14ac:dyDescent="0.25">
      <c r="A3942" s="52" t="s">
        <v>95</v>
      </c>
      <c r="B3942" s="90" t="s">
        <v>9494</v>
      </c>
    </row>
    <row r="3943" spans="1:2" x14ac:dyDescent="0.25">
      <c r="A3943" s="52" t="s">
        <v>95</v>
      </c>
      <c r="B3943" s="90" t="s">
        <v>9495</v>
      </c>
    </row>
    <row r="3944" spans="1:2" x14ac:dyDescent="0.25">
      <c r="A3944" s="52" t="s">
        <v>95</v>
      </c>
      <c r="B3944" s="90" t="s">
        <v>9496</v>
      </c>
    </row>
    <row r="3945" spans="1:2" x14ac:dyDescent="0.25">
      <c r="A3945" s="52" t="s">
        <v>95</v>
      </c>
      <c r="B3945" s="90" t="s">
        <v>9497</v>
      </c>
    </row>
    <row r="3946" spans="1:2" x14ac:dyDescent="0.25">
      <c r="A3946" s="52" t="s">
        <v>95</v>
      </c>
      <c r="B3946" s="90" t="s">
        <v>9498</v>
      </c>
    </row>
    <row r="3947" spans="1:2" x14ac:dyDescent="0.25">
      <c r="A3947" s="52" t="s">
        <v>95</v>
      </c>
      <c r="B3947" s="90" t="s">
        <v>9499</v>
      </c>
    </row>
    <row r="3948" spans="1:2" x14ac:dyDescent="0.25">
      <c r="A3948" s="52" t="s">
        <v>95</v>
      </c>
      <c r="B3948" s="90" t="s">
        <v>9500</v>
      </c>
    </row>
    <row r="3949" spans="1:2" x14ac:dyDescent="0.25">
      <c r="A3949" s="52" t="s">
        <v>95</v>
      </c>
      <c r="B3949" s="90" t="s">
        <v>9501</v>
      </c>
    </row>
    <row r="3950" spans="1:2" x14ac:dyDescent="0.25">
      <c r="A3950" s="52" t="s">
        <v>95</v>
      </c>
      <c r="B3950" s="90" t="s">
        <v>9501</v>
      </c>
    </row>
    <row r="3951" spans="1:2" x14ac:dyDescent="0.25">
      <c r="A3951" s="52" t="s">
        <v>95</v>
      </c>
      <c r="B3951" s="90" t="s">
        <v>9502</v>
      </c>
    </row>
    <row r="3952" spans="1:2" x14ac:dyDescent="0.25">
      <c r="A3952" s="52" t="s">
        <v>95</v>
      </c>
      <c r="B3952" s="90" t="s">
        <v>9503</v>
      </c>
    </row>
    <row r="3953" spans="1:2" x14ac:dyDescent="0.25">
      <c r="A3953" s="52" t="s">
        <v>95</v>
      </c>
      <c r="B3953" s="90" t="s">
        <v>9504</v>
      </c>
    </row>
    <row r="3954" spans="1:2" x14ac:dyDescent="0.25">
      <c r="A3954" s="52" t="s">
        <v>95</v>
      </c>
      <c r="B3954" s="90" t="s">
        <v>9505</v>
      </c>
    </row>
    <row r="3955" spans="1:2" x14ac:dyDescent="0.25">
      <c r="A3955" s="52" t="s">
        <v>95</v>
      </c>
      <c r="B3955" s="90" t="s">
        <v>9506</v>
      </c>
    </row>
    <row r="3956" spans="1:2" x14ac:dyDescent="0.25">
      <c r="A3956" s="52" t="s">
        <v>95</v>
      </c>
      <c r="B3956" s="90" t="s">
        <v>9507</v>
      </c>
    </row>
    <row r="3957" spans="1:2" x14ac:dyDescent="0.25">
      <c r="A3957" s="52" t="s">
        <v>95</v>
      </c>
      <c r="B3957" s="90" t="s">
        <v>9508</v>
      </c>
    </row>
    <row r="3958" spans="1:2" x14ac:dyDescent="0.25">
      <c r="A3958" s="52" t="s">
        <v>95</v>
      </c>
      <c r="B3958" s="90" t="s">
        <v>9509</v>
      </c>
    </row>
    <row r="3959" spans="1:2" x14ac:dyDescent="0.25">
      <c r="A3959" s="52" t="s">
        <v>95</v>
      </c>
      <c r="B3959" s="90" t="s">
        <v>9510</v>
      </c>
    </row>
    <row r="3960" spans="1:2" x14ac:dyDescent="0.25">
      <c r="A3960" s="52" t="s">
        <v>95</v>
      </c>
      <c r="B3960" s="90" t="s">
        <v>9511</v>
      </c>
    </row>
    <row r="3961" spans="1:2" x14ac:dyDescent="0.25">
      <c r="A3961" s="52" t="s">
        <v>95</v>
      </c>
      <c r="B3961" s="90" t="s">
        <v>9512</v>
      </c>
    </row>
    <row r="3962" spans="1:2" x14ac:dyDescent="0.25">
      <c r="A3962" s="52" t="s">
        <v>95</v>
      </c>
      <c r="B3962" s="90" t="s">
        <v>9513</v>
      </c>
    </row>
    <row r="3963" spans="1:2" x14ac:dyDescent="0.25">
      <c r="A3963" s="52" t="s">
        <v>95</v>
      </c>
      <c r="B3963" s="90" t="s">
        <v>9514</v>
      </c>
    </row>
    <row r="3964" spans="1:2" x14ac:dyDescent="0.25">
      <c r="A3964" s="52" t="s">
        <v>95</v>
      </c>
      <c r="B3964" s="90" t="s">
        <v>9515</v>
      </c>
    </row>
    <row r="3965" spans="1:2" x14ac:dyDescent="0.25">
      <c r="A3965" s="52" t="s">
        <v>95</v>
      </c>
      <c r="B3965" s="90" t="s">
        <v>9516</v>
      </c>
    </row>
    <row r="3966" spans="1:2" x14ac:dyDescent="0.25">
      <c r="A3966" s="52" t="s">
        <v>95</v>
      </c>
      <c r="B3966" s="90" t="s">
        <v>9517</v>
      </c>
    </row>
    <row r="3967" spans="1:2" x14ac:dyDescent="0.25">
      <c r="A3967" s="52" t="s">
        <v>95</v>
      </c>
      <c r="B3967" s="90" t="s">
        <v>9518</v>
      </c>
    </row>
    <row r="3968" spans="1:2" x14ac:dyDescent="0.25">
      <c r="A3968" s="52" t="s">
        <v>95</v>
      </c>
      <c r="B3968" s="90" t="s">
        <v>9519</v>
      </c>
    </row>
    <row r="3969" spans="1:2" x14ac:dyDescent="0.25">
      <c r="A3969" s="52" t="s">
        <v>95</v>
      </c>
      <c r="B3969" s="90" t="s">
        <v>9520</v>
      </c>
    </row>
    <row r="3970" spans="1:2" x14ac:dyDescent="0.25">
      <c r="A3970" s="52" t="s">
        <v>95</v>
      </c>
      <c r="B3970" s="90" t="s">
        <v>9521</v>
      </c>
    </row>
    <row r="3971" spans="1:2" x14ac:dyDescent="0.25">
      <c r="A3971" s="52" t="s">
        <v>95</v>
      </c>
      <c r="B3971" s="90" t="s">
        <v>9522</v>
      </c>
    </row>
    <row r="3972" spans="1:2" x14ac:dyDescent="0.25">
      <c r="A3972" s="52" t="s">
        <v>95</v>
      </c>
      <c r="B3972" s="90" t="s">
        <v>9523</v>
      </c>
    </row>
    <row r="3973" spans="1:2" x14ac:dyDescent="0.25">
      <c r="A3973" s="52" t="s">
        <v>95</v>
      </c>
      <c r="B3973" s="90" t="s">
        <v>9524</v>
      </c>
    </row>
    <row r="3974" spans="1:2" x14ac:dyDescent="0.25">
      <c r="A3974" s="52" t="s">
        <v>95</v>
      </c>
      <c r="B3974" s="90" t="s">
        <v>9525</v>
      </c>
    </row>
    <row r="3975" spans="1:2" x14ac:dyDescent="0.25">
      <c r="A3975" s="52" t="s">
        <v>95</v>
      </c>
      <c r="B3975" s="90" t="s">
        <v>9526</v>
      </c>
    </row>
    <row r="3976" spans="1:2" x14ac:dyDescent="0.25">
      <c r="A3976" s="52" t="s">
        <v>95</v>
      </c>
      <c r="B3976" s="90" t="s">
        <v>9527</v>
      </c>
    </row>
    <row r="3977" spans="1:2" x14ac:dyDescent="0.25">
      <c r="A3977" s="52" t="s">
        <v>95</v>
      </c>
      <c r="B3977" s="90" t="s">
        <v>9528</v>
      </c>
    </row>
    <row r="3978" spans="1:2" x14ac:dyDescent="0.25">
      <c r="A3978" s="52" t="s">
        <v>95</v>
      </c>
      <c r="B3978" s="90" t="s">
        <v>9529</v>
      </c>
    </row>
    <row r="3979" spans="1:2" x14ac:dyDescent="0.25">
      <c r="A3979" s="52" t="s">
        <v>95</v>
      </c>
      <c r="B3979" s="90" t="s">
        <v>9530</v>
      </c>
    </row>
    <row r="3980" spans="1:2" x14ac:dyDescent="0.25">
      <c r="A3980" s="52" t="s">
        <v>95</v>
      </c>
      <c r="B3980" s="90" t="s">
        <v>9531</v>
      </c>
    </row>
    <row r="3981" spans="1:2" x14ac:dyDescent="0.25">
      <c r="A3981" s="52" t="s">
        <v>95</v>
      </c>
      <c r="B3981" s="90" t="s">
        <v>9532</v>
      </c>
    </row>
    <row r="3982" spans="1:2" x14ac:dyDescent="0.25">
      <c r="A3982" s="52" t="s">
        <v>95</v>
      </c>
      <c r="B3982" s="90" t="s">
        <v>9533</v>
      </c>
    </row>
    <row r="3983" spans="1:2" x14ac:dyDescent="0.25">
      <c r="A3983" s="52" t="s">
        <v>95</v>
      </c>
      <c r="B3983" s="90" t="s">
        <v>9534</v>
      </c>
    </row>
    <row r="3984" spans="1:2" x14ac:dyDescent="0.25">
      <c r="A3984" s="52" t="s">
        <v>95</v>
      </c>
      <c r="B3984" s="90" t="s">
        <v>9535</v>
      </c>
    </row>
    <row r="3985" spans="1:2" x14ac:dyDescent="0.25">
      <c r="A3985" s="52" t="s">
        <v>95</v>
      </c>
      <c r="B3985" s="90" t="s">
        <v>9536</v>
      </c>
    </row>
    <row r="3986" spans="1:2" x14ac:dyDescent="0.25">
      <c r="A3986" s="52" t="s">
        <v>95</v>
      </c>
      <c r="B3986" s="90" t="s">
        <v>9537</v>
      </c>
    </row>
    <row r="3987" spans="1:2" x14ac:dyDescent="0.25">
      <c r="A3987" s="52" t="s">
        <v>95</v>
      </c>
      <c r="B3987" s="90" t="s">
        <v>9538</v>
      </c>
    </row>
    <row r="3988" spans="1:2" x14ac:dyDescent="0.25">
      <c r="A3988" s="52" t="s">
        <v>95</v>
      </c>
      <c r="B3988" s="90" t="s">
        <v>9539</v>
      </c>
    </row>
    <row r="3989" spans="1:2" x14ac:dyDescent="0.25">
      <c r="A3989" s="52" t="s">
        <v>95</v>
      </c>
      <c r="B3989" s="90" t="s">
        <v>9540</v>
      </c>
    </row>
    <row r="3990" spans="1:2" x14ac:dyDescent="0.25">
      <c r="A3990" s="52" t="s">
        <v>95</v>
      </c>
      <c r="B3990" s="90" t="s">
        <v>9541</v>
      </c>
    </row>
    <row r="3991" spans="1:2" x14ac:dyDescent="0.25">
      <c r="A3991" s="52" t="s">
        <v>95</v>
      </c>
      <c r="B3991" s="90" t="s">
        <v>9542</v>
      </c>
    </row>
    <row r="3992" spans="1:2" x14ac:dyDescent="0.25">
      <c r="A3992" s="52" t="s">
        <v>95</v>
      </c>
      <c r="B3992" s="90" t="s">
        <v>9543</v>
      </c>
    </row>
    <row r="3993" spans="1:2" x14ac:dyDescent="0.25">
      <c r="A3993" s="52" t="s">
        <v>95</v>
      </c>
      <c r="B3993" s="90" t="s">
        <v>9544</v>
      </c>
    </row>
    <row r="3994" spans="1:2" x14ac:dyDescent="0.25">
      <c r="A3994" s="52" t="s">
        <v>95</v>
      </c>
      <c r="B3994" s="90" t="s">
        <v>9545</v>
      </c>
    </row>
    <row r="3995" spans="1:2" x14ac:dyDescent="0.25">
      <c r="A3995" s="52" t="s">
        <v>95</v>
      </c>
      <c r="B3995" s="90" t="s">
        <v>9546</v>
      </c>
    </row>
    <row r="3996" spans="1:2" x14ac:dyDescent="0.25">
      <c r="A3996" s="52" t="s">
        <v>95</v>
      </c>
      <c r="B3996" s="90" t="s">
        <v>9547</v>
      </c>
    </row>
    <row r="3997" spans="1:2" x14ac:dyDescent="0.25">
      <c r="A3997" s="52" t="s">
        <v>95</v>
      </c>
      <c r="B3997" s="90" t="s">
        <v>9548</v>
      </c>
    </row>
    <row r="3998" spans="1:2" x14ac:dyDescent="0.25">
      <c r="A3998" s="52" t="s">
        <v>95</v>
      </c>
      <c r="B3998" s="90" t="s">
        <v>9549</v>
      </c>
    </row>
    <row r="3999" spans="1:2" x14ac:dyDescent="0.25">
      <c r="A3999" s="52" t="s">
        <v>95</v>
      </c>
      <c r="B3999" s="90" t="s">
        <v>9550</v>
      </c>
    </row>
    <row r="4000" spans="1:2" x14ac:dyDescent="0.25">
      <c r="A4000" s="52" t="s">
        <v>95</v>
      </c>
      <c r="B4000" s="90" t="s">
        <v>9551</v>
      </c>
    </row>
    <row r="4001" spans="1:2" x14ac:dyDescent="0.25">
      <c r="A4001" s="52" t="s">
        <v>95</v>
      </c>
      <c r="B4001" s="90" t="s">
        <v>9552</v>
      </c>
    </row>
    <row r="4002" spans="1:2" x14ac:dyDescent="0.25">
      <c r="A4002" s="52" t="s">
        <v>95</v>
      </c>
      <c r="B4002" s="90" t="s">
        <v>9553</v>
      </c>
    </row>
    <row r="4003" spans="1:2" x14ac:dyDescent="0.25">
      <c r="A4003" s="52" t="s">
        <v>95</v>
      </c>
      <c r="B4003" s="90" t="s">
        <v>9554</v>
      </c>
    </row>
    <row r="4004" spans="1:2" x14ac:dyDescent="0.25">
      <c r="A4004" s="52" t="s">
        <v>95</v>
      </c>
      <c r="B4004" s="90" t="s">
        <v>9555</v>
      </c>
    </row>
    <row r="4005" spans="1:2" x14ac:dyDescent="0.25">
      <c r="A4005" s="52" t="s">
        <v>95</v>
      </c>
      <c r="B4005" s="90" t="s">
        <v>9556</v>
      </c>
    </row>
    <row r="4006" spans="1:2" x14ac:dyDescent="0.25">
      <c r="A4006" s="52" t="s">
        <v>95</v>
      </c>
      <c r="B4006" s="90" t="s">
        <v>9557</v>
      </c>
    </row>
    <row r="4007" spans="1:2" x14ac:dyDescent="0.25">
      <c r="A4007" s="52" t="s">
        <v>95</v>
      </c>
      <c r="B4007" s="90" t="s">
        <v>9558</v>
      </c>
    </row>
    <row r="4008" spans="1:2" x14ac:dyDescent="0.25">
      <c r="A4008" s="52" t="s">
        <v>95</v>
      </c>
      <c r="B4008" s="90" t="s">
        <v>9559</v>
      </c>
    </row>
    <row r="4009" spans="1:2" x14ac:dyDescent="0.25">
      <c r="A4009" s="52" t="s">
        <v>95</v>
      </c>
      <c r="B4009" s="90" t="s">
        <v>9560</v>
      </c>
    </row>
    <row r="4010" spans="1:2" x14ac:dyDescent="0.25">
      <c r="A4010" s="52" t="s">
        <v>95</v>
      </c>
      <c r="B4010" s="90" t="s">
        <v>9560</v>
      </c>
    </row>
    <row r="4011" spans="1:2" x14ac:dyDescent="0.25">
      <c r="A4011" s="52" t="s">
        <v>95</v>
      </c>
      <c r="B4011" s="90" t="s">
        <v>9561</v>
      </c>
    </row>
    <row r="4012" spans="1:2" x14ac:dyDescent="0.25">
      <c r="A4012" s="52" t="s">
        <v>95</v>
      </c>
      <c r="B4012" s="90" t="s">
        <v>9562</v>
      </c>
    </row>
    <row r="4013" spans="1:2" x14ac:dyDescent="0.25">
      <c r="A4013" s="52" t="s">
        <v>95</v>
      </c>
      <c r="B4013" s="90" t="s">
        <v>9563</v>
      </c>
    </row>
    <row r="4014" spans="1:2" x14ac:dyDescent="0.25">
      <c r="A4014" s="52" t="s">
        <v>95</v>
      </c>
      <c r="B4014" s="90" t="s">
        <v>9564</v>
      </c>
    </row>
    <row r="4015" spans="1:2" x14ac:dyDescent="0.25">
      <c r="A4015" s="52" t="s">
        <v>95</v>
      </c>
      <c r="B4015" s="90" t="s">
        <v>9565</v>
      </c>
    </row>
    <row r="4016" spans="1:2" x14ac:dyDescent="0.25">
      <c r="A4016" s="52" t="s">
        <v>95</v>
      </c>
      <c r="B4016" s="90" t="s">
        <v>9566</v>
      </c>
    </row>
    <row r="4017" spans="1:2" x14ac:dyDescent="0.25">
      <c r="A4017" s="52" t="s">
        <v>95</v>
      </c>
      <c r="B4017" s="90" t="s">
        <v>9567</v>
      </c>
    </row>
    <row r="4018" spans="1:2" x14ac:dyDescent="0.25">
      <c r="A4018" s="52" t="s">
        <v>95</v>
      </c>
      <c r="B4018" s="90" t="s">
        <v>9568</v>
      </c>
    </row>
    <row r="4019" spans="1:2" x14ac:dyDescent="0.25">
      <c r="A4019" s="52" t="s">
        <v>95</v>
      </c>
      <c r="B4019" s="90" t="s">
        <v>9569</v>
      </c>
    </row>
    <row r="4020" spans="1:2" x14ac:dyDescent="0.25">
      <c r="A4020" s="52" t="s">
        <v>95</v>
      </c>
      <c r="B4020" s="90" t="s">
        <v>9570</v>
      </c>
    </row>
    <row r="4021" spans="1:2" x14ac:dyDescent="0.25">
      <c r="A4021" s="52" t="s">
        <v>95</v>
      </c>
      <c r="B4021" s="90" t="s">
        <v>9571</v>
      </c>
    </row>
    <row r="4022" spans="1:2" x14ac:dyDescent="0.25">
      <c r="A4022" s="52" t="s">
        <v>95</v>
      </c>
      <c r="B4022" s="90" t="s">
        <v>9572</v>
      </c>
    </row>
    <row r="4023" spans="1:2" x14ac:dyDescent="0.25">
      <c r="A4023" s="52" t="s">
        <v>95</v>
      </c>
      <c r="B4023" s="90" t="s">
        <v>9573</v>
      </c>
    </row>
    <row r="4024" spans="1:2" x14ac:dyDescent="0.25">
      <c r="A4024" s="52" t="s">
        <v>95</v>
      </c>
      <c r="B4024" s="90" t="s">
        <v>9574</v>
      </c>
    </row>
    <row r="4025" spans="1:2" x14ac:dyDescent="0.25">
      <c r="A4025" s="52" t="s">
        <v>95</v>
      </c>
      <c r="B4025" s="90" t="s">
        <v>9575</v>
      </c>
    </row>
    <row r="4026" spans="1:2" x14ac:dyDescent="0.25">
      <c r="A4026" s="52" t="s">
        <v>95</v>
      </c>
      <c r="B4026" s="90" t="s">
        <v>9576</v>
      </c>
    </row>
    <row r="4027" spans="1:2" x14ac:dyDescent="0.25">
      <c r="A4027" s="52" t="s">
        <v>95</v>
      </c>
      <c r="B4027" s="90" t="s">
        <v>9577</v>
      </c>
    </row>
    <row r="4028" spans="1:2" x14ac:dyDescent="0.25">
      <c r="A4028" s="52" t="s">
        <v>95</v>
      </c>
      <c r="B4028" s="90" t="s">
        <v>9578</v>
      </c>
    </row>
    <row r="4029" spans="1:2" x14ac:dyDescent="0.25">
      <c r="A4029" s="52" t="s">
        <v>95</v>
      </c>
      <c r="B4029" s="90" t="s">
        <v>9579</v>
      </c>
    </row>
    <row r="4030" spans="1:2" x14ac:dyDescent="0.25">
      <c r="A4030" s="52" t="s">
        <v>95</v>
      </c>
      <c r="B4030" s="90" t="s">
        <v>9580</v>
      </c>
    </row>
    <row r="4031" spans="1:2" x14ac:dyDescent="0.25">
      <c r="A4031" s="52" t="s">
        <v>95</v>
      </c>
      <c r="B4031" s="90" t="s">
        <v>9581</v>
      </c>
    </row>
    <row r="4032" spans="1:2" x14ac:dyDescent="0.25">
      <c r="A4032" s="52" t="s">
        <v>95</v>
      </c>
      <c r="B4032" s="90" t="s">
        <v>9582</v>
      </c>
    </row>
    <row r="4033" spans="1:2" x14ac:dyDescent="0.25">
      <c r="A4033" s="52" t="s">
        <v>95</v>
      </c>
      <c r="B4033" s="90" t="s">
        <v>9583</v>
      </c>
    </row>
    <row r="4034" spans="1:2" x14ac:dyDescent="0.25">
      <c r="A4034" s="52" t="s">
        <v>95</v>
      </c>
      <c r="B4034" s="90" t="s">
        <v>9584</v>
      </c>
    </row>
    <row r="4035" spans="1:2" x14ac:dyDescent="0.25">
      <c r="A4035" s="52" t="s">
        <v>95</v>
      </c>
      <c r="B4035" s="90" t="s">
        <v>9585</v>
      </c>
    </row>
    <row r="4036" spans="1:2" x14ac:dyDescent="0.25">
      <c r="A4036" s="52" t="s">
        <v>95</v>
      </c>
      <c r="B4036" s="90" t="s">
        <v>9586</v>
      </c>
    </row>
    <row r="4037" spans="1:2" x14ac:dyDescent="0.25">
      <c r="A4037" s="52" t="s">
        <v>95</v>
      </c>
      <c r="B4037" s="90" t="s">
        <v>9587</v>
      </c>
    </row>
    <row r="4038" spans="1:2" x14ac:dyDescent="0.25">
      <c r="A4038" s="52" t="s">
        <v>95</v>
      </c>
      <c r="B4038" s="90" t="s">
        <v>9588</v>
      </c>
    </row>
    <row r="4039" spans="1:2" x14ac:dyDescent="0.25">
      <c r="A4039" s="52" t="s">
        <v>95</v>
      </c>
      <c r="B4039" s="90" t="s">
        <v>9589</v>
      </c>
    </row>
    <row r="4040" spans="1:2" x14ac:dyDescent="0.25">
      <c r="A4040" s="52" t="s">
        <v>95</v>
      </c>
      <c r="B4040" s="90" t="s">
        <v>9590</v>
      </c>
    </row>
    <row r="4041" spans="1:2" x14ac:dyDescent="0.25">
      <c r="A4041" s="52" t="s">
        <v>95</v>
      </c>
      <c r="B4041" s="90" t="s">
        <v>9591</v>
      </c>
    </row>
    <row r="4042" spans="1:2" x14ac:dyDescent="0.25">
      <c r="A4042" s="52" t="s">
        <v>95</v>
      </c>
      <c r="B4042" s="90" t="s">
        <v>9592</v>
      </c>
    </row>
    <row r="4043" spans="1:2" x14ac:dyDescent="0.25">
      <c r="A4043" s="52" t="s">
        <v>95</v>
      </c>
      <c r="B4043" s="90" t="s">
        <v>9593</v>
      </c>
    </row>
    <row r="4044" spans="1:2" x14ac:dyDescent="0.25">
      <c r="A4044" s="52" t="s">
        <v>95</v>
      </c>
      <c r="B4044" s="90" t="s">
        <v>9594</v>
      </c>
    </row>
    <row r="4045" spans="1:2" x14ac:dyDescent="0.25">
      <c r="A4045" s="52" t="s">
        <v>95</v>
      </c>
      <c r="B4045" s="90" t="s">
        <v>9595</v>
      </c>
    </row>
    <row r="4046" spans="1:2" x14ac:dyDescent="0.25">
      <c r="A4046" s="52" t="s">
        <v>95</v>
      </c>
      <c r="B4046" s="90" t="s">
        <v>9596</v>
      </c>
    </row>
    <row r="4047" spans="1:2" x14ac:dyDescent="0.25">
      <c r="A4047" s="52" t="s">
        <v>95</v>
      </c>
      <c r="B4047" s="90" t="s">
        <v>9597</v>
      </c>
    </row>
    <row r="4048" spans="1:2" x14ac:dyDescent="0.25">
      <c r="A4048" s="52" t="s">
        <v>95</v>
      </c>
      <c r="B4048" s="90" t="s">
        <v>9598</v>
      </c>
    </row>
    <row r="4049" spans="1:2" x14ac:dyDescent="0.25">
      <c r="A4049" s="52" t="s">
        <v>95</v>
      </c>
      <c r="B4049" s="90" t="s">
        <v>9599</v>
      </c>
    </row>
    <row r="4050" spans="1:2" x14ac:dyDescent="0.25">
      <c r="A4050" s="52" t="s">
        <v>95</v>
      </c>
      <c r="B4050" s="90" t="s">
        <v>9600</v>
      </c>
    </row>
    <row r="4051" spans="1:2" x14ac:dyDescent="0.25">
      <c r="A4051" s="52" t="s">
        <v>95</v>
      </c>
      <c r="B4051" s="90" t="s">
        <v>9601</v>
      </c>
    </row>
    <row r="4052" spans="1:2" x14ac:dyDescent="0.25">
      <c r="A4052" s="52" t="s">
        <v>95</v>
      </c>
      <c r="B4052" s="90" t="s">
        <v>9602</v>
      </c>
    </row>
    <row r="4053" spans="1:2" x14ac:dyDescent="0.25">
      <c r="A4053" s="52" t="s">
        <v>95</v>
      </c>
      <c r="B4053" s="90" t="s">
        <v>9603</v>
      </c>
    </row>
    <row r="4054" spans="1:2" x14ac:dyDescent="0.25">
      <c r="A4054" s="52" t="s">
        <v>95</v>
      </c>
      <c r="B4054" s="90" t="s">
        <v>9604</v>
      </c>
    </row>
    <row r="4055" spans="1:2" x14ac:dyDescent="0.25">
      <c r="A4055" s="52" t="s">
        <v>95</v>
      </c>
      <c r="B4055" s="90" t="s">
        <v>9605</v>
      </c>
    </row>
    <row r="4056" spans="1:2" x14ac:dyDescent="0.25">
      <c r="A4056" s="52" t="s">
        <v>95</v>
      </c>
      <c r="B4056" s="90" t="s">
        <v>9606</v>
      </c>
    </row>
    <row r="4057" spans="1:2" x14ac:dyDescent="0.25">
      <c r="A4057" s="52" t="s">
        <v>95</v>
      </c>
      <c r="B4057" s="90" t="s">
        <v>9607</v>
      </c>
    </row>
    <row r="4058" spans="1:2" x14ac:dyDescent="0.25">
      <c r="A4058" s="52" t="s">
        <v>95</v>
      </c>
      <c r="B4058" s="90" t="s">
        <v>9608</v>
      </c>
    </row>
    <row r="4059" spans="1:2" x14ac:dyDescent="0.25">
      <c r="A4059" s="52" t="s">
        <v>95</v>
      </c>
      <c r="B4059" s="90" t="s">
        <v>9609</v>
      </c>
    </row>
    <row r="4060" spans="1:2" x14ac:dyDescent="0.25">
      <c r="A4060" s="52" t="s">
        <v>95</v>
      </c>
      <c r="B4060" s="90" t="s">
        <v>9610</v>
      </c>
    </row>
    <row r="4061" spans="1:2" x14ac:dyDescent="0.25">
      <c r="A4061" s="52" t="s">
        <v>95</v>
      </c>
      <c r="B4061" s="90" t="s">
        <v>9611</v>
      </c>
    </row>
    <row r="4062" spans="1:2" x14ac:dyDescent="0.25">
      <c r="A4062" s="52" t="s">
        <v>95</v>
      </c>
      <c r="B4062" s="90" t="s">
        <v>9612</v>
      </c>
    </row>
    <row r="4063" spans="1:2" x14ac:dyDescent="0.25">
      <c r="A4063" s="52" t="s">
        <v>95</v>
      </c>
      <c r="B4063" s="90" t="s">
        <v>9613</v>
      </c>
    </row>
    <row r="4064" spans="1:2" x14ac:dyDescent="0.25">
      <c r="A4064" s="52" t="s">
        <v>95</v>
      </c>
      <c r="B4064" s="90" t="s">
        <v>9614</v>
      </c>
    </row>
    <row r="4065" spans="1:2" x14ac:dyDescent="0.25">
      <c r="A4065" s="52" t="s">
        <v>95</v>
      </c>
      <c r="B4065" s="90" t="s">
        <v>9615</v>
      </c>
    </row>
    <row r="4066" spans="1:2" x14ac:dyDescent="0.25">
      <c r="A4066" s="52" t="s">
        <v>95</v>
      </c>
      <c r="B4066" s="90" t="s">
        <v>9616</v>
      </c>
    </row>
    <row r="4067" spans="1:2" x14ac:dyDescent="0.25">
      <c r="A4067" s="52" t="s">
        <v>95</v>
      </c>
      <c r="B4067" s="90" t="s">
        <v>9617</v>
      </c>
    </row>
    <row r="4068" spans="1:2" x14ac:dyDescent="0.25">
      <c r="A4068" s="52" t="s">
        <v>95</v>
      </c>
      <c r="B4068" s="90" t="s">
        <v>9618</v>
      </c>
    </row>
    <row r="4069" spans="1:2" x14ac:dyDescent="0.25">
      <c r="A4069" s="52" t="s">
        <v>95</v>
      </c>
      <c r="B4069" s="90" t="s">
        <v>9619</v>
      </c>
    </row>
    <row r="4070" spans="1:2" x14ac:dyDescent="0.25">
      <c r="A4070" s="52" t="s">
        <v>95</v>
      </c>
      <c r="B4070" s="90" t="s">
        <v>9620</v>
      </c>
    </row>
    <row r="4071" spans="1:2" x14ac:dyDescent="0.25">
      <c r="A4071" s="52" t="s">
        <v>95</v>
      </c>
      <c r="B4071" s="90" t="s">
        <v>9621</v>
      </c>
    </row>
    <row r="4072" spans="1:2" x14ac:dyDescent="0.25">
      <c r="A4072" s="52" t="s">
        <v>95</v>
      </c>
      <c r="B4072" s="90" t="s">
        <v>9622</v>
      </c>
    </row>
    <row r="4073" spans="1:2" x14ac:dyDescent="0.25">
      <c r="A4073" s="52" t="s">
        <v>95</v>
      </c>
      <c r="B4073" s="90" t="s">
        <v>9623</v>
      </c>
    </row>
    <row r="4074" spans="1:2" x14ac:dyDescent="0.25">
      <c r="A4074" s="52" t="s">
        <v>95</v>
      </c>
      <c r="B4074" s="90" t="s">
        <v>9624</v>
      </c>
    </row>
    <row r="4075" spans="1:2" x14ac:dyDescent="0.25">
      <c r="A4075" s="52" t="s">
        <v>95</v>
      </c>
      <c r="B4075" s="90" t="s">
        <v>9625</v>
      </c>
    </row>
    <row r="4076" spans="1:2" x14ac:dyDescent="0.25">
      <c r="A4076" s="52" t="s">
        <v>95</v>
      </c>
      <c r="B4076" s="90" t="s">
        <v>9626</v>
      </c>
    </row>
    <row r="4077" spans="1:2" x14ac:dyDescent="0.25">
      <c r="A4077" s="52" t="s">
        <v>95</v>
      </c>
      <c r="B4077" s="90" t="s">
        <v>9627</v>
      </c>
    </row>
    <row r="4078" spans="1:2" x14ac:dyDescent="0.25">
      <c r="A4078" s="52" t="s">
        <v>95</v>
      </c>
      <c r="B4078" s="90" t="s">
        <v>9628</v>
      </c>
    </row>
    <row r="4079" spans="1:2" x14ac:dyDescent="0.25">
      <c r="A4079" s="52" t="s">
        <v>95</v>
      </c>
      <c r="B4079" s="90" t="s">
        <v>9629</v>
      </c>
    </row>
    <row r="4080" spans="1:2" x14ac:dyDescent="0.25">
      <c r="A4080" s="52" t="s">
        <v>95</v>
      </c>
      <c r="B4080" s="90" t="s">
        <v>9630</v>
      </c>
    </row>
    <row r="4081" spans="1:2" x14ac:dyDescent="0.25">
      <c r="A4081" s="52" t="s">
        <v>95</v>
      </c>
      <c r="B4081" s="90" t="s">
        <v>9631</v>
      </c>
    </row>
    <row r="4082" spans="1:2" x14ac:dyDescent="0.25">
      <c r="A4082" s="52" t="s">
        <v>95</v>
      </c>
      <c r="B4082" s="90" t="s">
        <v>9632</v>
      </c>
    </row>
    <row r="4083" spans="1:2" x14ac:dyDescent="0.25">
      <c r="A4083" s="52" t="s">
        <v>95</v>
      </c>
      <c r="B4083" s="90" t="s">
        <v>9633</v>
      </c>
    </row>
    <row r="4084" spans="1:2" x14ac:dyDescent="0.25">
      <c r="A4084" s="52" t="s">
        <v>95</v>
      </c>
      <c r="B4084" s="90" t="s">
        <v>9634</v>
      </c>
    </row>
    <row r="4085" spans="1:2" x14ac:dyDescent="0.25">
      <c r="A4085" s="52" t="s">
        <v>95</v>
      </c>
      <c r="B4085" s="90" t="s">
        <v>9635</v>
      </c>
    </row>
    <row r="4086" spans="1:2" x14ac:dyDescent="0.25">
      <c r="A4086" s="52" t="s">
        <v>95</v>
      </c>
      <c r="B4086" s="90" t="s">
        <v>9636</v>
      </c>
    </row>
    <row r="4087" spans="1:2" x14ac:dyDescent="0.25">
      <c r="A4087" s="52" t="s">
        <v>95</v>
      </c>
      <c r="B4087" s="90" t="s">
        <v>9637</v>
      </c>
    </row>
    <row r="4088" spans="1:2" x14ac:dyDescent="0.25">
      <c r="A4088" s="52" t="s">
        <v>95</v>
      </c>
      <c r="B4088" s="90" t="s">
        <v>9638</v>
      </c>
    </row>
    <row r="4089" spans="1:2" x14ac:dyDescent="0.25">
      <c r="A4089" s="52" t="s">
        <v>95</v>
      </c>
      <c r="B4089" s="90" t="s">
        <v>9639</v>
      </c>
    </row>
    <row r="4090" spans="1:2" x14ac:dyDescent="0.25">
      <c r="A4090" s="52" t="s">
        <v>95</v>
      </c>
      <c r="B4090" s="90" t="s">
        <v>9640</v>
      </c>
    </row>
    <row r="4091" spans="1:2" x14ac:dyDescent="0.25">
      <c r="A4091" s="52" t="s">
        <v>95</v>
      </c>
      <c r="B4091" s="90" t="s">
        <v>9641</v>
      </c>
    </row>
    <row r="4092" spans="1:2" x14ac:dyDescent="0.25">
      <c r="A4092" s="52" t="s">
        <v>95</v>
      </c>
      <c r="B4092" s="90" t="s">
        <v>9642</v>
      </c>
    </row>
    <row r="4093" spans="1:2" x14ac:dyDescent="0.25">
      <c r="A4093" s="52" t="s">
        <v>95</v>
      </c>
      <c r="B4093" s="90" t="s">
        <v>9643</v>
      </c>
    </row>
    <row r="4094" spans="1:2" x14ac:dyDescent="0.25">
      <c r="A4094" s="52" t="s">
        <v>95</v>
      </c>
      <c r="B4094" s="90" t="s">
        <v>9644</v>
      </c>
    </row>
    <row r="4095" spans="1:2" x14ac:dyDescent="0.25">
      <c r="A4095" s="52" t="s">
        <v>95</v>
      </c>
      <c r="B4095" s="90" t="s">
        <v>9645</v>
      </c>
    </row>
    <row r="4096" spans="1:2" x14ac:dyDescent="0.25">
      <c r="A4096" s="52" t="s">
        <v>95</v>
      </c>
      <c r="B4096" s="90" t="s">
        <v>9646</v>
      </c>
    </row>
    <row r="4097" spans="1:2" x14ac:dyDescent="0.25">
      <c r="A4097" s="52" t="s">
        <v>95</v>
      </c>
      <c r="B4097" s="90" t="s">
        <v>9647</v>
      </c>
    </row>
    <row r="4098" spans="1:2" x14ac:dyDescent="0.25">
      <c r="A4098" s="52" t="s">
        <v>95</v>
      </c>
      <c r="B4098" s="90" t="s">
        <v>9648</v>
      </c>
    </row>
    <row r="4099" spans="1:2" x14ac:dyDescent="0.25">
      <c r="A4099" s="52" t="s">
        <v>95</v>
      </c>
      <c r="B4099" s="90" t="s">
        <v>9649</v>
      </c>
    </row>
    <row r="4100" spans="1:2" x14ac:dyDescent="0.25">
      <c r="A4100" s="52" t="s">
        <v>95</v>
      </c>
      <c r="B4100" s="90" t="s">
        <v>9650</v>
      </c>
    </row>
    <row r="4101" spans="1:2" x14ac:dyDescent="0.25">
      <c r="A4101" s="52" t="s">
        <v>95</v>
      </c>
      <c r="B4101" s="90" t="s">
        <v>9651</v>
      </c>
    </row>
    <row r="4102" spans="1:2" x14ac:dyDescent="0.25">
      <c r="A4102" s="52" t="s">
        <v>95</v>
      </c>
      <c r="B4102" s="90" t="s">
        <v>9652</v>
      </c>
    </row>
    <row r="4103" spans="1:2" x14ac:dyDescent="0.25">
      <c r="A4103" s="52" t="s">
        <v>95</v>
      </c>
      <c r="B4103" s="90" t="s">
        <v>9653</v>
      </c>
    </row>
    <row r="4104" spans="1:2" x14ac:dyDescent="0.25">
      <c r="A4104" s="52" t="s">
        <v>95</v>
      </c>
      <c r="B4104" s="90" t="s">
        <v>9654</v>
      </c>
    </row>
    <row r="4105" spans="1:2" x14ac:dyDescent="0.25">
      <c r="A4105" s="52" t="s">
        <v>95</v>
      </c>
      <c r="B4105" s="90" t="s">
        <v>9655</v>
      </c>
    </row>
    <row r="4106" spans="1:2" x14ac:dyDescent="0.25">
      <c r="A4106" s="52" t="s">
        <v>95</v>
      </c>
      <c r="B4106" s="90" t="s">
        <v>9656</v>
      </c>
    </row>
    <row r="4107" spans="1:2" x14ac:dyDescent="0.25">
      <c r="A4107" s="52" t="s">
        <v>95</v>
      </c>
      <c r="B4107" s="90" t="s">
        <v>9657</v>
      </c>
    </row>
    <row r="4108" spans="1:2" x14ac:dyDescent="0.25">
      <c r="A4108" s="52" t="s">
        <v>95</v>
      </c>
      <c r="B4108" s="90" t="s">
        <v>9658</v>
      </c>
    </row>
    <row r="4109" spans="1:2" x14ac:dyDescent="0.25">
      <c r="A4109" s="52" t="s">
        <v>95</v>
      </c>
      <c r="B4109" s="90" t="s">
        <v>9658</v>
      </c>
    </row>
    <row r="4110" spans="1:2" x14ac:dyDescent="0.25">
      <c r="A4110" s="52" t="s">
        <v>95</v>
      </c>
      <c r="B4110" s="90" t="s">
        <v>9659</v>
      </c>
    </row>
    <row r="4111" spans="1:2" x14ac:dyDescent="0.25">
      <c r="A4111" s="52" t="s">
        <v>95</v>
      </c>
      <c r="B4111" s="90" t="s">
        <v>9660</v>
      </c>
    </row>
    <row r="4112" spans="1:2" x14ac:dyDescent="0.25">
      <c r="A4112" s="52" t="s">
        <v>95</v>
      </c>
      <c r="B4112" s="90" t="s">
        <v>9661</v>
      </c>
    </row>
    <row r="4113" spans="1:2" x14ac:dyDescent="0.25">
      <c r="A4113" s="52" t="s">
        <v>95</v>
      </c>
      <c r="B4113" s="90" t="s">
        <v>9662</v>
      </c>
    </row>
    <row r="4114" spans="1:2" x14ac:dyDescent="0.25">
      <c r="A4114" s="52" t="s">
        <v>95</v>
      </c>
      <c r="B4114" s="90" t="s">
        <v>9663</v>
      </c>
    </row>
    <row r="4115" spans="1:2" x14ac:dyDescent="0.25">
      <c r="A4115" s="52" t="s">
        <v>95</v>
      </c>
      <c r="B4115" s="90" t="s">
        <v>9664</v>
      </c>
    </row>
    <row r="4116" spans="1:2" x14ac:dyDescent="0.25">
      <c r="A4116" s="52" t="s">
        <v>95</v>
      </c>
      <c r="B4116" s="90" t="s">
        <v>9665</v>
      </c>
    </row>
    <row r="4117" spans="1:2" x14ac:dyDescent="0.25">
      <c r="A4117" s="52" t="s">
        <v>95</v>
      </c>
      <c r="B4117" s="90" t="s">
        <v>9666</v>
      </c>
    </row>
    <row r="4118" spans="1:2" x14ac:dyDescent="0.25">
      <c r="A4118" s="52" t="s">
        <v>95</v>
      </c>
      <c r="B4118" s="90" t="s">
        <v>9667</v>
      </c>
    </row>
    <row r="4119" spans="1:2" x14ac:dyDescent="0.25">
      <c r="A4119" s="52" t="s">
        <v>95</v>
      </c>
      <c r="B4119" s="90" t="s">
        <v>9668</v>
      </c>
    </row>
    <row r="4120" spans="1:2" x14ac:dyDescent="0.25">
      <c r="A4120" s="52" t="s">
        <v>95</v>
      </c>
      <c r="B4120" s="90" t="s">
        <v>9669</v>
      </c>
    </row>
    <row r="4121" spans="1:2" x14ac:dyDescent="0.25">
      <c r="A4121" s="52" t="s">
        <v>95</v>
      </c>
      <c r="B4121" s="90" t="s">
        <v>9670</v>
      </c>
    </row>
    <row r="4122" spans="1:2" x14ac:dyDescent="0.25">
      <c r="A4122" s="52" t="s">
        <v>95</v>
      </c>
      <c r="B4122" s="90" t="s">
        <v>9671</v>
      </c>
    </row>
    <row r="4123" spans="1:2" x14ac:dyDescent="0.25">
      <c r="A4123" s="52" t="s">
        <v>95</v>
      </c>
      <c r="B4123" s="90" t="s">
        <v>9672</v>
      </c>
    </row>
    <row r="4124" spans="1:2" x14ac:dyDescent="0.25">
      <c r="A4124" s="52" t="s">
        <v>95</v>
      </c>
      <c r="B4124" s="90" t="s">
        <v>9673</v>
      </c>
    </row>
    <row r="4125" spans="1:2" x14ac:dyDescent="0.25">
      <c r="A4125" s="52" t="s">
        <v>95</v>
      </c>
      <c r="B4125" s="90" t="s">
        <v>9674</v>
      </c>
    </row>
    <row r="4126" spans="1:2" x14ac:dyDescent="0.25">
      <c r="A4126" s="52" t="s">
        <v>95</v>
      </c>
      <c r="B4126" s="90" t="s">
        <v>9674</v>
      </c>
    </row>
    <row r="4127" spans="1:2" x14ac:dyDescent="0.25">
      <c r="A4127" s="52" t="s">
        <v>95</v>
      </c>
      <c r="B4127" s="90" t="s">
        <v>9675</v>
      </c>
    </row>
    <row r="4128" spans="1:2" x14ac:dyDescent="0.25">
      <c r="A4128" s="52" t="s">
        <v>95</v>
      </c>
      <c r="B4128" s="90" t="s">
        <v>9676</v>
      </c>
    </row>
    <row r="4129" spans="1:2" x14ac:dyDescent="0.25">
      <c r="A4129" s="52" t="s">
        <v>95</v>
      </c>
      <c r="B4129" s="90" t="s">
        <v>41</v>
      </c>
    </row>
    <row r="4130" spans="1:2" x14ac:dyDescent="0.25">
      <c r="A4130" s="52" t="s">
        <v>95</v>
      </c>
      <c r="B4130" s="90" t="s">
        <v>9677</v>
      </c>
    </row>
    <row r="4131" spans="1:2" x14ac:dyDescent="0.25">
      <c r="A4131" s="52" t="s">
        <v>95</v>
      </c>
      <c r="B4131" s="90" t="s">
        <v>9678</v>
      </c>
    </row>
    <row r="4132" spans="1:2" x14ac:dyDescent="0.25">
      <c r="A4132" s="52" t="s">
        <v>95</v>
      </c>
      <c r="B4132" s="90" t="s">
        <v>9679</v>
      </c>
    </row>
    <row r="4133" spans="1:2" x14ac:dyDescent="0.25">
      <c r="A4133" s="52" t="s">
        <v>95</v>
      </c>
      <c r="B4133" s="90" t="s">
        <v>9680</v>
      </c>
    </row>
    <row r="4134" spans="1:2" x14ac:dyDescent="0.25">
      <c r="A4134" s="52" t="s">
        <v>95</v>
      </c>
      <c r="B4134" s="90" t="s">
        <v>9681</v>
      </c>
    </row>
    <row r="4135" spans="1:2" x14ac:dyDescent="0.25">
      <c r="A4135" s="52" t="s">
        <v>95</v>
      </c>
      <c r="B4135" s="90" t="s">
        <v>9682</v>
      </c>
    </row>
    <row r="4136" spans="1:2" x14ac:dyDescent="0.25">
      <c r="A4136" s="52" t="s">
        <v>95</v>
      </c>
      <c r="B4136" s="90" t="s">
        <v>9683</v>
      </c>
    </row>
    <row r="4137" spans="1:2" x14ac:dyDescent="0.25">
      <c r="A4137" s="52" t="s">
        <v>95</v>
      </c>
      <c r="B4137" s="90" t="s">
        <v>9684</v>
      </c>
    </row>
    <row r="4138" spans="1:2" x14ac:dyDescent="0.25">
      <c r="A4138" s="52" t="s">
        <v>95</v>
      </c>
      <c r="B4138" s="90" t="s">
        <v>9685</v>
      </c>
    </row>
    <row r="4139" spans="1:2" x14ac:dyDescent="0.25">
      <c r="A4139" s="52" t="s">
        <v>95</v>
      </c>
      <c r="B4139" s="90" t="s">
        <v>9686</v>
      </c>
    </row>
    <row r="4140" spans="1:2" x14ac:dyDescent="0.25">
      <c r="A4140" s="52" t="s">
        <v>95</v>
      </c>
      <c r="B4140" s="90" t="s">
        <v>9687</v>
      </c>
    </row>
    <row r="4141" spans="1:2" x14ac:dyDescent="0.25">
      <c r="A4141" s="52" t="s">
        <v>95</v>
      </c>
      <c r="B4141" s="90" t="s">
        <v>9688</v>
      </c>
    </row>
    <row r="4142" spans="1:2" x14ac:dyDescent="0.25">
      <c r="A4142" s="52" t="s">
        <v>95</v>
      </c>
      <c r="B4142" s="90" t="s">
        <v>9689</v>
      </c>
    </row>
    <row r="4143" spans="1:2" x14ac:dyDescent="0.25">
      <c r="A4143" s="52" t="s">
        <v>95</v>
      </c>
      <c r="B4143" s="90" t="s">
        <v>9690</v>
      </c>
    </row>
    <row r="4144" spans="1:2" x14ac:dyDescent="0.25">
      <c r="A4144" s="52" t="s">
        <v>95</v>
      </c>
      <c r="B4144" s="90" t="s">
        <v>9691</v>
      </c>
    </row>
    <row r="4145" spans="1:2" x14ac:dyDescent="0.25">
      <c r="A4145" s="52" t="s">
        <v>95</v>
      </c>
      <c r="B4145" s="90" t="s">
        <v>9692</v>
      </c>
    </row>
    <row r="4146" spans="1:2" x14ac:dyDescent="0.25">
      <c r="A4146" s="52" t="s">
        <v>95</v>
      </c>
      <c r="B4146" s="90" t="s">
        <v>9693</v>
      </c>
    </row>
    <row r="4147" spans="1:2" x14ac:dyDescent="0.25">
      <c r="A4147" s="52" t="s">
        <v>95</v>
      </c>
      <c r="B4147" s="90" t="s">
        <v>9694</v>
      </c>
    </row>
    <row r="4148" spans="1:2" x14ac:dyDescent="0.25">
      <c r="A4148" s="52" t="s">
        <v>95</v>
      </c>
      <c r="B4148" s="90" t="s">
        <v>9695</v>
      </c>
    </row>
    <row r="4149" spans="1:2" x14ac:dyDescent="0.25">
      <c r="A4149" s="52" t="s">
        <v>95</v>
      </c>
      <c r="B4149" s="90" t="s">
        <v>9696</v>
      </c>
    </row>
    <row r="4150" spans="1:2" x14ac:dyDescent="0.25">
      <c r="A4150" s="52" t="s">
        <v>95</v>
      </c>
      <c r="B4150" s="90" t="s">
        <v>9697</v>
      </c>
    </row>
    <row r="4151" spans="1:2" x14ac:dyDescent="0.25">
      <c r="A4151" s="52" t="s">
        <v>95</v>
      </c>
      <c r="B4151" s="90" t="s">
        <v>9698</v>
      </c>
    </row>
    <row r="4152" spans="1:2" x14ac:dyDescent="0.25">
      <c r="A4152" s="52" t="s">
        <v>95</v>
      </c>
      <c r="B4152" s="90" t="s">
        <v>9699</v>
      </c>
    </row>
    <row r="4153" spans="1:2" x14ac:dyDescent="0.25">
      <c r="A4153" s="52" t="s">
        <v>95</v>
      </c>
      <c r="B4153" s="90" t="s">
        <v>9700</v>
      </c>
    </row>
    <row r="4154" spans="1:2" x14ac:dyDescent="0.25">
      <c r="A4154" s="52" t="s">
        <v>95</v>
      </c>
      <c r="B4154" s="90" t="s">
        <v>9701</v>
      </c>
    </row>
    <row r="4155" spans="1:2" x14ac:dyDescent="0.25">
      <c r="A4155" s="52" t="s">
        <v>95</v>
      </c>
      <c r="B4155" s="90" t="s">
        <v>9702</v>
      </c>
    </row>
    <row r="4156" spans="1:2" x14ac:dyDescent="0.25">
      <c r="A4156" s="52" t="s">
        <v>95</v>
      </c>
      <c r="B4156" s="90" t="s">
        <v>9703</v>
      </c>
    </row>
    <row r="4157" spans="1:2" x14ac:dyDescent="0.25">
      <c r="A4157" s="52" t="s">
        <v>95</v>
      </c>
      <c r="B4157" s="90" t="s">
        <v>9704</v>
      </c>
    </row>
    <row r="4158" spans="1:2" x14ac:dyDescent="0.25">
      <c r="A4158" s="52" t="s">
        <v>95</v>
      </c>
      <c r="B4158" s="90" t="s">
        <v>9705</v>
      </c>
    </row>
    <row r="4159" spans="1:2" x14ac:dyDescent="0.25">
      <c r="A4159" s="52" t="s">
        <v>95</v>
      </c>
      <c r="B4159" s="90" t="s">
        <v>9706</v>
      </c>
    </row>
    <row r="4160" spans="1:2" x14ac:dyDescent="0.25">
      <c r="A4160" s="52" t="s">
        <v>95</v>
      </c>
      <c r="B4160" s="90" t="s">
        <v>9707</v>
      </c>
    </row>
    <row r="4161" spans="1:2" x14ac:dyDescent="0.25">
      <c r="A4161" s="52" t="s">
        <v>95</v>
      </c>
      <c r="B4161" s="90" t="s">
        <v>9708</v>
      </c>
    </row>
    <row r="4162" spans="1:2" x14ac:dyDescent="0.25">
      <c r="A4162" s="52" t="s">
        <v>95</v>
      </c>
      <c r="B4162" s="90" t="s">
        <v>9709</v>
      </c>
    </row>
    <row r="4163" spans="1:2" x14ac:dyDescent="0.25">
      <c r="A4163" s="52" t="s">
        <v>95</v>
      </c>
      <c r="B4163" s="90" t="s">
        <v>9710</v>
      </c>
    </row>
    <row r="4164" spans="1:2" x14ac:dyDescent="0.25">
      <c r="A4164" s="52" t="s">
        <v>95</v>
      </c>
      <c r="B4164" s="90" t="s">
        <v>9711</v>
      </c>
    </row>
    <row r="4165" spans="1:2" x14ac:dyDescent="0.25">
      <c r="A4165" s="52" t="s">
        <v>95</v>
      </c>
      <c r="B4165" s="90" t="s">
        <v>9712</v>
      </c>
    </row>
    <row r="4166" spans="1:2" x14ac:dyDescent="0.25">
      <c r="A4166" s="52" t="s">
        <v>95</v>
      </c>
      <c r="B4166" s="90" t="s">
        <v>9713</v>
      </c>
    </row>
    <row r="4167" spans="1:2" x14ac:dyDescent="0.25">
      <c r="A4167" s="52" t="s">
        <v>95</v>
      </c>
      <c r="B4167" s="90" t="s">
        <v>9714</v>
      </c>
    </row>
    <row r="4168" spans="1:2" x14ac:dyDescent="0.25">
      <c r="A4168" s="52" t="s">
        <v>95</v>
      </c>
      <c r="B4168" s="90" t="s">
        <v>9715</v>
      </c>
    </row>
    <row r="4169" spans="1:2" x14ac:dyDescent="0.25">
      <c r="A4169" s="52" t="s">
        <v>95</v>
      </c>
      <c r="B4169" s="90" t="s">
        <v>9716</v>
      </c>
    </row>
    <row r="4170" spans="1:2" x14ac:dyDescent="0.25">
      <c r="A4170" s="52" t="s">
        <v>95</v>
      </c>
      <c r="B4170" s="90" t="s">
        <v>9717</v>
      </c>
    </row>
    <row r="4171" spans="1:2" x14ac:dyDescent="0.25">
      <c r="A4171" s="52" t="s">
        <v>95</v>
      </c>
      <c r="B4171" s="90" t="s">
        <v>9718</v>
      </c>
    </row>
    <row r="4172" spans="1:2" x14ac:dyDescent="0.25">
      <c r="A4172" s="52" t="s">
        <v>95</v>
      </c>
      <c r="B4172" s="90" t="s">
        <v>9719</v>
      </c>
    </row>
    <row r="4173" spans="1:2" x14ac:dyDescent="0.25">
      <c r="A4173" s="52" t="s">
        <v>95</v>
      </c>
      <c r="B4173" s="90" t="s">
        <v>9720</v>
      </c>
    </row>
    <row r="4174" spans="1:2" x14ac:dyDescent="0.25">
      <c r="A4174" s="52" t="s">
        <v>95</v>
      </c>
      <c r="B4174" s="90" t="s">
        <v>9721</v>
      </c>
    </row>
    <row r="4175" spans="1:2" x14ac:dyDescent="0.25">
      <c r="A4175" s="52" t="s">
        <v>95</v>
      </c>
      <c r="B4175" s="90" t="s">
        <v>9722</v>
      </c>
    </row>
    <row r="4176" spans="1:2" x14ac:dyDescent="0.25">
      <c r="A4176" s="52" t="s">
        <v>95</v>
      </c>
      <c r="B4176" s="90" t="s">
        <v>9723</v>
      </c>
    </row>
    <row r="4177" spans="1:2" x14ac:dyDescent="0.25">
      <c r="A4177" s="52" t="s">
        <v>95</v>
      </c>
      <c r="B4177" s="90" t="s">
        <v>9724</v>
      </c>
    </row>
    <row r="4178" spans="1:2" x14ac:dyDescent="0.25">
      <c r="A4178" s="52" t="s">
        <v>95</v>
      </c>
      <c r="B4178" s="90" t="s">
        <v>9725</v>
      </c>
    </row>
    <row r="4179" spans="1:2" x14ac:dyDescent="0.25">
      <c r="A4179" s="52" t="s">
        <v>95</v>
      </c>
      <c r="B4179" s="90" t="s">
        <v>9726</v>
      </c>
    </row>
    <row r="4180" spans="1:2" x14ac:dyDescent="0.25">
      <c r="A4180" s="52" t="s">
        <v>95</v>
      </c>
      <c r="B4180" s="90" t="s">
        <v>9727</v>
      </c>
    </row>
    <row r="4181" spans="1:2" x14ac:dyDescent="0.25">
      <c r="A4181" s="52" t="s">
        <v>95</v>
      </c>
      <c r="B4181" s="90" t="s">
        <v>9728</v>
      </c>
    </row>
    <row r="4182" spans="1:2" x14ac:dyDescent="0.25">
      <c r="A4182" s="52" t="s">
        <v>95</v>
      </c>
      <c r="B4182" s="90" t="s">
        <v>9729</v>
      </c>
    </row>
    <row r="4183" spans="1:2" x14ac:dyDescent="0.25">
      <c r="A4183" s="52" t="s">
        <v>95</v>
      </c>
      <c r="B4183" s="90" t="s">
        <v>9730</v>
      </c>
    </row>
    <row r="4184" spans="1:2" x14ac:dyDescent="0.25">
      <c r="A4184" s="52" t="s">
        <v>95</v>
      </c>
      <c r="B4184" s="90" t="s">
        <v>9731</v>
      </c>
    </row>
    <row r="4185" spans="1:2" x14ac:dyDescent="0.25">
      <c r="A4185" s="52" t="s">
        <v>95</v>
      </c>
      <c r="B4185" s="90" t="s">
        <v>9732</v>
      </c>
    </row>
    <row r="4186" spans="1:2" x14ac:dyDescent="0.25">
      <c r="A4186" s="52" t="s">
        <v>95</v>
      </c>
      <c r="B4186" s="90" t="s">
        <v>9733</v>
      </c>
    </row>
    <row r="4187" spans="1:2" x14ac:dyDescent="0.25">
      <c r="A4187" s="52" t="s">
        <v>95</v>
      </c>
      <c r="B4187" s="90" t="s">
        <v>9734</v>
      </c>
    </row>
    <row r="4188" spans="1:2" x14ac:dyDescent="0.25">
      <c r="A4188" s="52" t="s">
        <v>95</v>
      </c>
      <c r="B4188" s="90" t="s">
        <v>9735</v>
      </c>
    </row>
    <row r="4189" spans="1:2" x14ac:dyDescent="0.25">
      <c r="A4189" s="52" t="s">
        <v>95</v>
      </c>
      <c r="B4189" s="90" t="s">
        <v>9736</v>
      </c>
    </row>
    <row r="4190" spans="1:2" x14ac:dyDescent="0.25">
      <c r="A4190" s="52" t="s">
        <v>95</v>
      </c>
      <c r="B4190" s="90" t="s">
        <v>9737</v>
      </c>
    </row>
    <row r="4191" spans="1:2" x14ac:dyDescent="0.25">
      <c r="A4191" s="52" t="s">
        <v>95</v>
      </c>
      <c r="B4191" s="90" t="s">
        <v>9738</v>
      </c>
    </row>
    <row r="4192" spans="1:2" x14ac:dyDescent="0.25">
      <c r="A4192" s="52" t="s">
        <v>95</v>
      </c>
      <c r="B4192" s="90" t="s">
        <v>9739</v>
      </c>
    </row>
    <row r="4193" spans="1:2" x14ac:dyDescent="0.25">
      <c r="A4193" s="52" t="s">
        <v>95</v>
      </c>
      <c r="B4193" s="90" t="s">
        <v>9740</v>
      </c>
    </row>
    <row r="4194" spans="1:2" x14ac:dyDescent="0.25">
      <c r="A4194" s="52" t="s">
        <v>95</v>
      </c>
      <c r="B4194" s="90" t="s">
        <v>9741</v>
      </c>
    </row>
    <row r="4195" spans="1:2" x14ac:dyDescent="0.25">
      <c r="A4195" s="52" t="s">
        <v>95</v>
      </c>
      <c r="B4195" s="90" t="s">
        <v>9742</v>
      </c>
    </row>
    <row r="4196" spans="1:2" x14ac:dyDescent="0.25">
      <c r="A4196" s="52" t="s">
        <v>95</v>
      </c>
      <c r="B4196" s="90" t="s">
        <v>9743</v>
      </c>
    </row>
    <row r="4197" spans="1:2" x14ac:dyDescent="0.25">
      <c r="A4197" s="52" t="s">
        <v>95</v>
      </c>
      <c r="B4197" s="90" t="s">
        <v>9744</v>
      </c>
    </row>
    <row r="4198" spans="1:2" x14ac:dyDescent="0.25">
      <c r="A4198" s="52" t="s">
        <v>95</v>
      </c>
      <c r="B4198" s="90" t="s">
        <v>9745</v>
      </c>
    </row>
    <row r="4199" spans="1:2" x14ac:dyDescent="0.25">
      <c r="A4199" s="52" t="s">
        <v>95</v>
      </c>
      <c r="B4199" s="90" t="s">
        <v>9746</v>
      </c>
    </row>
    <row r="4200" spans="1:2" x14ac:dyDescent="0.25">
      <c r="A4200" s="52" t="s">
        <v>95</v>
      </c>
      <c r="B4200" s="90" t="s">
        <v>9747</v>
      </c>
    </row>
    <row r="4201" spans="1:2" x14ac:dyDescent="0.25">
      <c r="A4201" s="52" t="s">
        <v>95</v>
      </c>
      <c r="B4201" s="90" t="s">
        <v>9748</v>
      </c>
    </row>
    <row r="4202" spans="1:2" x14ac:dyDescent="0.25">
      <c r="A4202" s="52" t="s">
        <v>95</v>
      </c>
      <c r="B4202" s="90" t="s">
        <v>9749</v>
      </c>
    </row>
    <row r="4203" spans="1:2" x14ac:dyDescent="0.25">
      <c r="A4203" s="52" t="s">
        <v>95</v>
      </c>
      <c r="B4203" s="90" t="s">
        <v>9749</v>
      </c>
    </row>
    <row r="4204" spans="1:2" x14ac:dyDescent="0.25">
      <c r="A4204" s="52" t="s">
        <v>95</v>
      </c>
      <c r="B4204" s="90" t="s">
        <v>9750</v>
      </c>
    </row>
    <row r="4205" spans="1:2" x14ac:dyDescent="0.25">
      <c r="A4205" s="52" t="s">
        <v>95</v>
      </c>
      <c r="B4205" s="90" t="s">
        <v>9751</v>
      </c>
    </row>
    <row r="4206" spans="1:2" x14ac:dyDescent="0.25">
      <c r="A4206" s="52" t="s">
        <v>95</v>
      </c>
      <c r="B4206" s="90" t="s">
        <v>5795</v>
      </c>
    </row>
    <row r="4207" spans="1:2" x14ac:dyDescent="0.25">
      <c r="A4207" s="52" t="s">
        <v>95</v>
      </c>
      <c r="B4207" s="90" t="s">
        <v>9752</v>
      </c>
    </row>
    <row r="4208" spans="1:2" x14ac:dyDescent="0.25">
      <c r="A4208" s="52" t="s">
        <v>95</v>
      </c>
      <c r="B4208" s="90" t="s">
        <v>9753</v>
      </c>
    </row>
    <row r="4209" spans="1:2" x14ac:dyDescent="0.25">
      <c r="A4209" s="52" t="s">
        <v>95</v>
      </c>
      <c r="B4209" s="90" t="s">
        <v>9754</v>
      </c>
    </row>
    <row r="4210" spans="1:2" x14ac:dyDescent="0.25">
      <c r="A4210" s="52" t="s">
        <v>95</v>
      </c>
      <c r="B4210" s="90" t="s">
        <v>9755</v>
      </c>
    </row>
    <row r="4211" spans="1:2" x14ac:dyDescent="0.25">
      <c r="A4211" s="52" t="s">
        <v>95</v>
      </c>
      <c r="B4211" s="90" t="s">
        <v>9756</v>
      </c>
    </row>
    <row r="4212" spans="1:2" x14ac:dyDescent="0.25">
      <c r="A4212" s="52" t="s">
        <v>95</v>
      </c>
      <c r="B4212" s="90" t="s">
        <v>9757</v>
      </c>
    </row>
    <row r="4213" spans="1:2" x14ac:dyDescent="0.25">
      <c r="A4213" s="52" t="s">
        <v>95</v>
      </c>
      <c r="B4213" s="90" t="s">
        <v>9758</v>
      </c>
    </row>
    <row r="4214" spans="1:2" x14ac:dyDescent="0.25">
      <c r="A4214" s="52" t="s">
        <v>95</v>
      </c>
      <c r="B4214" s="90" t="s">
        <v>9759</v>
      </c>
    </row>
    <row r="4215" spans="1:2" x14ac:dyDescent="0.25">
      <c r="A4215" s="52" t="s">
        <v>95</v>
      </c>
      <c r="B4215" s="90" t="s">
        <v>9760</v>
      </c>
    </row>
    <row r="4216" spans="1:2" x14ac:dyDescent="0.25">
      <c r="A4216" s="52" t="s">
        <v>95</v>
      </c>
      <c r="B4216" s="90" t="s">
        <v>9761</v>
      </c>
    </row>
    <row r="4217" spans="1:2" x14ac:dyDescent="0.25">
      <c r="A4217" s="52" t="s">
        <v>95</v>
      </c>
      <c r="B4217" s="90" t="s">
        <v>9762</v>
      </c>
    </row>
    <row r="4218" spans="1:2" x14ac:dyDescent="0.25">
      <c r="A4218" s="52" t="s">
        <v>95</v>
      </c>
      <c r="B4218" s="90" t="s">
        <v>9763</v>
      </c>
    </row>
    <row r="4219" spans="1:2" x14ac:dyDescent="0.25">
      <c r="A4219" s="52" t="s">
        <v>95</v>
      </c>
      <c r="B4219" s="90" t="s">
        <v>9764</v>
      </c>
    </row>
    <row r="4220" spans="1:2" x14ac:dyDescent="0.25">
      <c r="A4220" s="52" t="s">
        <v>95</v>
      </c>
      <c r="B4220" s="90" t="s">
        <v>9765</v>
      </c>
    </row>
    <row r="4221" spans="1:2" x14ac:dyDescent="0.25">
      <c r="A4221" s="52" t="s">
        <v>95</v>
      </c>
      <c r="B4221" s="90" t="s">
        <v>9766</v>
      </c>
    </row>
    <row r="4222" spans="1:2" x14ac:dyDescent="0.25">
      <c r="A4222" s="52" t="s">
        <v>95</v>
      </c>
      <c r="B4222" s="90" t="s">
        <v>9767</v>
      </c>
    </row>
    <row r="4223" spans="1:2" x14ac:dyDescent="0.25">
      <c r="A4223" s="52" t="s">
        <v>95</v>
      </c>
      <c r="B4223" s="90" t="s">
        <v>9768</v>
      </c>
    </row>
    <row r="4224" spans="1:2" x14ac:dyDescent="0.25">
      <c r="A4224" s="52" t="s">
        <v>95</v>
      </c>
      <c r="B4224" s="90" t="s">
        <v>9769</v>
      </c>
    </row>
    <row r="4225" spans="1:2" x14ac:dyDescent="0.25">
      <c r="A4225" s="52" t="s">
        <v>95</v>
      </c>
      <c r="B4225" s="90" t="s">
        <v>9770</v>
      </c>
    </row>
    <row r="4226" spans="1:2" x14ac:dyDescent="0.25">
      <c r="A4226" s="52" t="s">
        <v>95</v>
      </c>
      <c r="B4226" s="90" t="s">
        <v>9771</v>
      </c>
    </row>
    <row r="4227" spans="1:2" x14ac:dyDescent="0.25">
      <c r="A4227" s="52" t="s">
        <v>95</v>
      </c>
      <c r="B4227" s="90" t="s">
        <v>9772</v>
      </c>
    </row>
    <row r="4228" spans="1:2" x14ac:dyDescent="0.25">
      <c r="A4228" s="52" t="s">
        <v>95</v>
      </c>
      <c r="B4228" s="90" t="s">
        <v>9773</v>
      </c>
    </row>
    <row r="4229" spans="1:2" x14ac:dyDescent="0.25">
      <c r="A4229" s="52" t="s">
        <v>95</v>
      </c>
      <c r="B4229" s="90" t="s">
        <v>9774</v>
      </c>
    </row>
    <row r="4230" spans="1:2" x14ac:dyDescent="0.25">
      <c r="A4230" s="52" t="s">
        <v>95</v>
      </c>
      <c r="B4230" s="90" t="s">
        <v>9775</v>
      </c>
    </row>
    <row r="4231" spans="1:2" x14ac:dyDescent="0.25">
      <c r="A4231" s="52" t="s">
        <v>95</v>
      </c>
      <c r="B4231" s="90" t="s">
        <v>9776</v>
      </c>
    </row>
    <row r="4232" spans="1:2" x14ac:dyDescent="0.25">
      <c r="A4232" s="52" t="s">
        <v>95</v>
      </c>
      <c r="B4232" s="90" t="s">
        <v>9777</v>
      </c>
    </row>
    <row r="4233" spans="1:2" x14ac:dyDescent="0.25">
      <c r="A4233" s="52" t="s">
        <v>95</v>
      </c>
      <c r="B4233" s="90" t="s">
        <v>9778</v>
      </c>
    </row>
    <row r="4234" spans="1:2" x14ac:dyDescent="0.25">
      <c r="A4234" s="52" t="s">
        <v>95</v>
      </c>
      <c r="B4234" s="90" t="s">
        <v>9779</v>
      </c>
    </row>
    <row r="4235" spans="1:2" x14ac:dyDescent="0.25">
      <c r="A4235" s="52" t="s">
        <v>95</v>
      </c>
      <c r="B4235" s="90" t="s">
        <v>9780</v>
      </c>
    </row>
    <row r="4236" spans="1:2" x14ac:dyDescent="0.25">
      <c r="A4236" s="52" t="s">
        <v>95</v>
      </c>
      <c r="B4236" s="90" t="s">
        <v>9781</v>
      </c>
    </row>
    <row r="4237" spans="1:2" x14ac:dyDescent="0.25">
      <c r="A4237" s="52" t="s">
        <v>95</v>
      </c>
      <c r="B4237" s="90" t="s">
        <v>9782</v>
      </c>
    </row>
    <row r="4238" spans="1:2" x14ac:dyDescent="0.25">
      <c r="A4238" s="52" t="s">
        <v>95</v>
      </c>
      <c r="B4238" s="90" t="s">
        <v>9783</v>
      </c>
    </row>
    <row r="4239" spans="1:2" x14ac:dyDescent="0.25">
      <c r="A4239" s="52" t="s">
        <v>95</v>
      </c>
      <c r="B4239" s="90" t="s">
        <v>9784</v>
      </c>
    </row>
    <row r="4240" spans="1:2" x14ac:dyDescent="0.25">
      <c r="A4240" s="52" t="s">
        <v>95</v>
      </c>
      <c r="B4240" s="90" t="s">
        <v>9785</v>
      </c>
    </row>
    <row r="4241" spans="1:2" x14ac:dyDescent="0.25">
      <c r="A4241" s="52" t="s">
        <v>95</v>
      </c>
      <c r="B4241" s="90" t="s">
        <v>9786</v>
      </c>
    </row>
    <row r="4242" spans="1:2" x14ac:dyDescent="0.25">
      <c r="A4242" s="52" t="s">
        <v>95</v>
      </c>
      <c r="B4242" s="90" t="s">
        <v>9787</v>
      </c>
    </row>
    <row r="4243" spans="1:2" x14ac:dyDescent="0.25">
      <c r="A4243" s="52" t="s">
        <v>95</v>
      </c>
      <c r="B4243" s="90" t="s">
        <v>9788</v>
      </c>
    </row>
    <row r="4244" spans="1:2" x14ac:dyDescent="0.25">
      <c r="A4244" s="52" t="s">
        <v>95</v>
      </c>
      <c r="B4244" s="90" t="s">
        <v>9789</v>
      </c>
    </row>
    <row r="4245" spans="1:2" x14ac:dyDescent="0.25">
      <c r="A4245" s="52" t="s">
        <v>95</v>
      </c>
      <c r="B4245" s="90" t="s">
        <v>9790</v>
      </c>
    </row>
    <row r="4246" spans="1:2" x14ac:dyDescent="0.25">
      <c r="A4246" s="52" t="s">
        <v>95</v>
      </c>
      <c r="B4246" s="90" t="s">
        <v>9791</v>
      </c>
    </row>
    <row r="4247" spans="1:2" x14ac:dyDescent="0.25">
      <c r="A4247" s="52" t="s">
        <v>95</v>
      </c>
      <c r="B4247" s="90" t="s">
        <v>9792</v>
      </c>
    </row>
    <row r="4248" spans="1:2" x14ac:dyDescent="0.25">
      <c r="A4248" s="52" t="s">
        <v>95</v>
      </c>
      <c r="B4248" s="90" t="s">
        <v>9793</v>
      </c>
    </row>
    <row r="4249" spans="1:2" x14ac:dyDescent="0.25">
      <c r="A4249" s="52" t="s">
        <v>95</v>
      </c>
      <c r="B4249" s="90" t="s">
        <v>9794</v>
      </c>
    </row>
    <row r="4250" spans="1:2" x14ac:dyDescent="0.25">
      <c r="A4250" s="52" t="s">
        <v>95</v>
      </c>
      <c r="B4250" s="90" t="s">
        <v>9795</v>
      </c>
    </row>
    <row r="4251" spans="1:2" x14ac:dyDescent="0.25">
      <c r="A4251" s="52" t="s">
        <v>95</v>
      </c>
      <c r="B4251" s="90" t="s">
        <v>9796</v>
      </c>
    </row>
    <row r="4252" spans="1:2" x14ac:dyDescent="0.25">
      <c r="A4252" s="52" t="s">
        <v>95</v>
      </c>
      <c r="B4252" s="90" t="s">
        <v>9797</v>
      </c>
    </row>
    <row r="4253" spans="1:2" x14ac:dyDescent="0.25">
      <c r="A4253" s="52" t="s">
        <v>95</v>
      </c>
      <c r="B4253" s="90" t="s">
        <v>9798</v>
      </c>
    </row>
    <row r="4254" spans="1:2" x14ac:dyDescent="0.25">
      <c r="A4254" s="52" t="s">
        <v>95</v>
      </c>
      <c r="B4254" s="90" t="s">
        <v>9799</v>
      </c>
    </row>
    <row r="4255" spans="1:2" x14ac:dyDescent="0.25">
      <c r="A4255" s="52" t="s">
        <v>95</v>
      </c>
      <c r="B4255" s="90" t="s">
        <v>9800</v>
      </c>
    </row>
    <row r="4256" spans="1:2" x14ac:dyDescent="0.25">
      <c r="A4256" s="52" t="s">
        <v>95</v>
      </c>
      <c r="B4256" s="90" t="s">
        <v>9801</v>
      </c>
    </row>
    <row r="4257" spans="1:2" x14ac:dyDescent="0.25">
      <c r="A4257" s="52" t="s">
        <v>95</v>
      </c>
      <c r="B4257" s="90" t="s">
        <v>9802</v>
      </c>
    </row>
    <row r="4258" spans="1:2" x14ac:dyDescent="0.25">
      <c r="A4258" s="52" t="s">
        <v>95</v>
      </c>
      <c r="B4258" s="90" t="s">
        <v>9803</v>
      </c>
    </row>
    <row r="4259" spans="1:2" x14ac:dyDescent="0.25">
      <c r="A4259" s="52" t="s">
        <v>95</v>
      </c>
      <c r="B4259" s="90" t="s">
        <v>9804</v>
      </c>
    </row>
    <row r="4260" spans="1:2" x14ac:dyDescent="0.25">
      <c r="A4260" s="52" t="s">
        <v>95</v>
      </c>
      <c r="B4260" s="90" t="s">
        <v>9805</v>
      </c>
    </row>
    <row r="4261" spans="1:2" x14ac:dyDescent="0.25">
      <c r="A4261" s="52" t="s">
        <v>95</v>
      </c>
      <c r="B4261" s="90" t="s">
        <v>9806</v>
      </c>
    </row>
    <row r="4262" spans="1:2" x14ac:dyDescent="0.25">
      <c r="A4262" s="52" t="s">
        <v>95</v>
      </c>
      <c r="B4262" s="90" t="s">
        <v>9807</v>
      </c>
    </row>
    <row r="4263" spans="1:2" x14ac:dyDescent="0.25">
      <c r="A4263" s="52" t="s">
        <v>95</v>
      </c>
      <c r="B4263" s="90" t="s">
        <v>9808</v>
      </c>
    </row>
    <row r="4264" spans="1:2" x14ac:dyDescent="0.25">
      <c r="A4264" s="52" t="s">
        <v>95</v>
      </c>
      <c r="B4264" s="90" t="s">
        <v>9809</v>
      </c>
    </row>
    <row r="4265" spans="1:2" x14ac:dyDescent="0.25">
      <c r="A4265" s="52" t="s">
        <v>95</v>
      </c>
      <c r="B4265" s="90" t="s">
        <v>9810</v>
      </c>
    </row>
    <row r="4266" spans="1:2" x14ac:dyDescent="0.25">
      <c r="A4266" s="52" t="s">
        <v>95</v>
      </c>
      <c r="B4266" s="90" t="s">
        <v>9811</v>
      </c>
    </row>
    <row r="4267" spans="1:2" x14ac:dyDescent="0.25">
      <c r="A4267" s="52" t="s">
        <v>95</v>
      </c>
      <c r="B4267" s="90" t="s">
        <v>9812</v>
      </c>
    </row>
    <row r="4268" spans="1:2" x14ac:dyDescent="0.25">
      <c r="A4268" s="52" t="s">
        <v>95</v>
      </c>
      <c r="B4268" s="90" t="s">
        <v>9813</v>
      </c>
    </row>
    <row r="4269" spans="1:2" x14ac:dyDescent="0.25">
      <c r="A4269" s="52" t="s">
        <v>95</v>
      </c>
      <c r="B4269" s="90" t="s">
        <v>9814</v>
      </c>
    </row>
    <row r="4270" spans="1:2" x14ac:dyDescent="0.25">
      <c r="A4270" s="52" t="s">
        <v>95</v>
      </c>
      <c r="B4270" s="90" t="s">
        <v>9815</v>
      </c>
    </row>
    <row r="4271" spans="1:2" x14ac:dyDescent="0.25">
      <c r="A4271" s="52" t="s">
        <v>95</v>
      </c>
      <c r="B4271" s="90" t="s">
        <v>9816</v>
      </c>
    </row>
    <row r="4272" spans="1:2" x14ac:dyDescent="0.25">
      <c r="A4272" s="52" t="s">
        <v>95</v>
      </c>
      <c r="B4272" s="90" t="s">
        <v>9817</v>
      </c>
    </row>
    <row r="4273" spans="1:2" x14ac:dyDescent="0.25">
      <c r="A4273" s="52" t="s">
        <v>95</v>
      </c>
      <c r="B4273" s="90" t="s">
        <v>9818</v>
      </c>
    </row>
    <row r="4274" spans="1:2" x14ac:dyDescent="0.25">
      <c r="A4274" s="52" t="s">
        <v>95</v>
      </c>
      <c r="B4274" s="90" t="s">
        <v>231</v>
      </c>
    </row>
    <row r="4275" spans="1:2" x14ac:dyDescent="0.25">
      <c r="A4275" s="52" t="s">
        <v>95</v>
      </c>
      <c r="B4275" s="90" t="s">
        <v>9819</v>
      </c>
    </row>
    <row r="4276" spans="1:2" x14ac:dyDescent="0.25">
      <c r="A4276" s="52" t="s">
        <v>95</v>
      </c>
      <c r="B4276" s="90" t="s">
        <v>9820</v>
      </c>
    </row>
    <row r="4277" spans="1:2" x14ac:dyDescent="0.25">
      <c r="A4277" s="52" t="s">
        <v>95</v>
      </c>
      <c r="B4277" s="90" t="s">
        <v>9821</v>
      </c>
    </row>
    <row r="4278" spans="1:2" x14ac:dyDescent="0.25">
      <c r="A4278" s="52" t="s">
        <v>95</v>
      </c>
      <c r="B4278" s="90" t="s">
        <v>9822</v>
      </c>
    </row>
    <row r="4279" spans="1:2" x14ac:dyDescent="0.25">
      <c r="A4279" s="52" t="s">
        <v>95</v>
      </c>
      <c r="B4279" s="90" t="s">
        <v>9823</v>
      </c>
    </row>
    <row r="4280" spans="1:2" x14ac:dyDescent="0.25">
      <c r="A4280" s="52" t="s">
        <v>95</v>
      </c>
      <c r="B4280" s="90" t="s">
        <v>9824</v>
      </c>
    </row>
    <row r="4281" spans="1:2" x14ac:dyDescent="0.25">
      <c r="A4281" s="52" t="s">
        <v>95</v>
      </c>
      <c r="B4281" s="90" t="s">
        <v>9825</v>
      </c>
    </row>
    <row r="4282" spans="1:2" x14ac:dyDescent="0.25">
      <c r="A4282" s="52" t="s">
        <v>95</v>
      </c>
      <c r="B4282" s="90" t="s">
        <v>9826</v>
      </c>
    </row>
    <row r="4283" spans="1:2" x14ac:dyDescent="0.25">
      <c r="A4283" s="52" t="s">
        <v>95</v>
      </c>
      <c r="B4283" s="90" t="s">
        <v>9827</v>
      </c>
    </row>
    <row r="4284" spans="1:2" x14ac:dyDescent="0.25">
      <c r="A4284" s="52" t="s">
        <v>95</v>
      </c>
      <c r="B4284" s="90" t="s">
        <v>9828</v>
      </c>
    </row>
    <row r="4285" spans="1:2" x14ac:dyDescent="0.25">
      <c r="A4285" s="52" t="s">
        <v>95</v>
      </c>
      <c r="B4285" s="90" t="s">
        <v>9829</v>
      </c>
    </row>
    <row r="4286" spans="1:2" x14ac:dyDescent="0.25">
      <c r="A4286" s="52" t="s">
        <v>95</v>
      </c>
      <c r="B4286" s="90" t="s">
        <v>9830</v>
      </c>
    </row>
    <row r="4287" spans="1:2" x14ac:dyDescent="0.25">
      <c r="A4287" s="52" t="s">
        <v>95</v>
      </c>
      <c r="B4287" s="90" t="s">
        <v>9831</v>
      </c>
    </row>
    <row r="4288" spans="1:2" x14ac:dyDescent="0.25">
      <c r="A4288" s="52" t="s">
        <v>95</v>
      </c>
      <c r="B4288" s="90" t="s">
        <v>9832</v>
      </c>
    </row>
    <row r="4289" spans="1:2" x14ac:dyDescent="0.25">
      <c r="A4289" s="52" t="s">
        <v>95</v>
      </c>
      <c r="B4289" s="90" t="s">
        <v>9833</v>
      </c>
    </row>
    <row r="4290" spans="1:2" x14ac:dyDescent="0.25">
      <c r="A4290" s="52" t="s">
        <v>95</v>
      </c>
      <c r="B4290" s="90" t="s">
        <v>9834</v>
      </c>
    </row>
    <row r="4291" spans="1:2" x14ac:dyDescent="0.25">
      <c r="A4291" s="52" t="s">
        <v>95</v>
      </c>
      <c r="B4291" s="90" t="s">
        <v>9835</v>
      </c>
    </row>
    <row r="4292" spans="1:2" x14ac:dyDescent="0.25">
      <c r="A4292" s="52" t="s">
        <v>95</v>
      </c>
      <c r="B4292" s="90" t="s">
        <v>9836</v>
      </c>
    </row>
    <row r="4293" spans="1:2" x14ac:dyDescent="0.25">
      <c r="A4293" s="52" t="s">
        <v>95</v>
      </c>
      <c r="B4293" s="90" t="s">
        <v>9837</v>
      </c>
    </row>
    <row r="4294" spans="1:2" x14ac:dyDescent="0.25">
      <c r="A4294" s="52" t="s">
        <v>95</v>
      </c>
      <c r="B4294" s="90" t="s">
        <v>9838</v>
      </c>
    </row>
    <row r="4295" spans="1:2" x14ac:dyDescent="0.25">
      <c r="A4295" s="52" t="s">
        <v>95</v>
      </c>
      <c r="B4295" s="90" t="s">
        <v>9839</v>
      </c>
    </row>
    <row r="4296" spans="1:2" x14ac:dyDescent="0.25">
      <c r="A4296" s="52" t="s">
        <v>95</v>
      </c>
      <c r="B4296" s="90" t="s">
        <v>9840</v>
      </c>
    </row>
    <row r="4297" spans="1:2" x14ac:dyDescent="0.25">
      <c r="A4297" s="52" t="s">
        <v>95</v>
      </c>
      <c r="B4297" s="90" t="s">
        <v>9841</v>
      </c>
    </row>
    <row r="4298" spans="1:2" x14ac:dyDescent="0.25">
      <c r="A4298" s="52" t="s">
        <v>95</v>
      </c>
      <c r="B4298" s="90" t="s">
        <v>9842</v>
      </c>
    </row>
    <row r="4299" spans="1:2" x14ac:dyDescent="0.25">
      <c r="A4299" s="52" t="s">
        <v>95</v>
      </c>
      <c r="B4299" s="90" t="s">
        <v>9843</v>
      </c>
    </row>
    <row r="4300" spans="1:2" x14ac:dyDescent="0.25">
      <c r="A4300" s="52" t="s">
        <v>95</v>
      </c>
      <c r="B4300" s="90" t="s">
        <v>9844</v>
      </c>
    </row>
    <row r="4301" spans="1:2" x14ac:dyDescent="0.25">
      <c r="A4301" s="52" t="s">
        <v>95</v>
      </c>
      <c r="B4301" s="90" t="s">
        <v>9845</v>
      </c>
    </row>
    <row r="4302" spans="1:2" x14ac:dyDescent="0.25">
      <c r="A4302" s="52" t="s">
        <v>95</v>
      </c>
      <c r="B4302" s="90" t="s">
        <v>9846</v>
      </c>
    </row>
    <row r="4303" spans="1:2" x14ac:dyDescent="0.25">
      <c r="A4303" s="52" t="s">
        <v>95</v>
      </c>
      <c r="B4303" s="90" t="s">
        <v>9847</v>
      </c>
    </row>
    <row r="4304" spans="1:2" x14ac:dyDescent="0.25">
      <c r="A4304" s="52" t="s">
        <v>95</v>
      </c>
      <c r="B4304" s="90" t="s">
        <v>9848</v>
      </c>
    </row>
    <row r="4305" spans="1:2" x14ac:dyDescent="0.25">
      <c r="A4305" s="52" t="s">
        <v>95</v>
      </c>
      <c r="B4305" s="90" t="s">
        <v>9849</v>
      </c>
    </row>
    <row r="4306" spans="1:2" x14ac:dyDescent="0.25">
      <c r="A4306" s="52" t="s">
        <v>95</v>
      </c>
      <c r="B4306" s="90" t="s">
        <v>9850</v>
      </c>
    </row>
    <row r="4307" spans="1:2" x14ac:dyDescent="0.25">
      <c r="A4307" s="52" t="s">
        <v>95</v>
      </c>
      <c r="B4307" s="90" t="s">
        <v>9851</v>
      </c>
    </row>
    <row r="4308" spans="1:2" x14ac:dyDescent="0.25">
      <c r="A4308" s="52" t="s">
        <v>95</v>
      </c>
      <c r="B4308" s="90" t="s">
        <v>9852</v>
      </c>
    </row>
    <row r="4309" spans="1:2" x14ac:dyDescent="0.25">
      <c r="A4309" s="52" t="s">
        <v>95</v>
      </c>
      <c r="B4309" s="90" t="s">
        <v>9853</v>
      </c>
    </row>
    <row r="4310" spans="1:2" x14ac:dyDescent="0.25">
      <c r="A4310" s="52" t="s">
        <v>95</v>
      </c>
      <c r="B4310" s="90" t="s">
        <v>9854</v>
      </c>
    </row>
    <row r="4311" spans="1:2" x14ac:dyDescent="0.25">
      <c r="A4311" s="52" t="s">
        <v>95</v>
      </c>
      <c r="B4311" s="90" t="s">
        <v>9855</v>
      </c>
    </row>
    <row r="4312" spans="1:2" x14ac:dyDescent="0.25">
      <c r="A4312" s="52" t="s">
        <v>95</v>
      </c>
      <c r="B4312" s="90" t="s">
        <v>9856</v>
      </c>
    </row>
    <row r="4313" spans="1:2" x14ac:dyDescent="0.25">
      <c r="A4313" s="52" t="s">
        <v>95</v>
      </c>
      <c r="B4313" s="90" t="s">
        <v>9857</v>
      </c>
    </row>
    <row r="4314" spans="1:2" x14ac:dyDescent="0.25">
      <c r="A4314" s="52" t="s">
        <v>95</v>
      </c>
      <c r="B4314" s="90" t="s">
        <v>9858</v>
      </c>
    </row>
    <row r="4315" spans="1:2" x14ac:dyDescent="0.25">
      <c r="A4315" s="52" t="s">
        <v>95</v>
      </c>
      <c r="B4315" s="90" t="s">
        <v>9859</v>
      </c>
    </row>
    <row r="4316" spans="1:2" x14ac:dyDescent="0.25">
      <c r="A4316" s="52" t="s">
        <v>95</v>
      </c>
      <c r="B4316" s="90" t="s">
        <v>9860</v>
      </c>
    </row>
    <row r="4317" spans="1:2" x14ac:dyDescent="0.25">
      <c r="A4317" s="52" t="s">
        <v>95</v>
      </c>
      <c r="B4317" s="90" t="s">
        <v>9861</v>
      </c>
    </row>
    <row r="4318" spans="1:2" x14ac:dyDescent="0.25">
      <c r="A4318" s="52" t="s">
        <v>95</v>
      </c>
      <c r="B4318" s="90" t="s">
        <v>9862</v>
      </c>
    </row>
    <row r="4319" spans="1:2" x14ac:dyDescent="0.25">
      <c r="A4319" s="52" t="s">
        <v>95</v>
      </c>
      <c r="B4319" s="90" t="s">
        <v>9863</v>
      </c>
    </row>
    <row r="4320" spans="1:2" x14ac:dyDescent="0.25">
      <c r="A4320" s="52" t="s">
        <v>95</v>
      </c>
      <c r="B4320" s="90" t="s">
        <v>9864</v>
      </c>
    </row>
    <row r="4321" spans="1:2" x14ac:dyDescent="0.25">
      <c r="A4321" s="52" t="s">
        <v>95</v>
      </c>
      <c r="B4321" s="90" t="s">
        <v>9865</v>
      </c>
    </row>
    <row r="4322" spans="1:2" x14ac:dyDescent="0.25">
      <c r="A4322" s="52" t="s">
        <v>95</v>
      </c>
      <c r="B4322" s="90" t="s">
        <v>9866</v>
      </c>
    </row>
    <row r="4323" spans="1:2" x14ac:dyDescent="0.25">
      <c r="A4323" s="52" t="s">
        <v>95</v>
      </c>
      <c r="B4323" s="90" t="s">
        <v>9867</v>
      </c>
    </row>
    <row r="4324" spans="1:2" x14ac:dyDescent="0.25">
      <c r="A4324" s="52" t="s">
        <v>95</v>
      </c>
      <c r="B4324" s="90" t="s">
        <v>9868</v>
      </c>
    </row>
    <row r="4325" spans="1:2" x14ac:dyDescent="0.25">
      <c r="A4325" s="52" t="s">
        <v>95</v>
      </c>
      <c r="B4325" s="90" t="s">
        <v>9869</v>
      </c>
    </row>
    <row r="4326" spans="1:2" x14ac:dyDescent="0.25">
      <c r="A4326" s="52" t="s">
        <v>95</v>
      </c>
      <c r="B4326" s="90" t="s">
        <v>9870</v>
      </c>
    </row>
    <row r="4327" spans="1:2" x14ac:dyDescent="0.25">
      <c r="A4327" s="52" t="s">
        <v>95</v>
      </c>
      <c r="B4327" s="90" t="s">
        <v>9871</v>
      </c>
    </row>
    <row r="4328" spans="1:2" x14ac:dyDescent="0.25">
      <c r="A4328" s="52" t="s">
        <v>95</v>
      </c>
      <c r="B4328" s="90" t="s">
        <v>9872</v>
      </c>
    </row>
    <row r="4329" spans="1:2" x14ac:dyDescent="0.25">
      <c r="A4329" s="52" t="s">
        <v>95</v>
      </c>
      <c r="B4329" s="90" t="s">
        <v>9873</v>
      </c>
    </row>
    <row r="4330" spans="1:2" x14ac:dyDescent="0.25">
      <c r="A4330" s="52" t="s">
        <v>95</v>
      </c>
      <c r="B4330" s="90" t="s">
        <v>9874</v>
      </c>
    </row>
    <row r="4331" spans="1:2" x14ac:dyDescent="0.25">
      <c r="A4331" s="52" t="s">
        <v>95</v>
      </c>
      <c r="B4331" s="90" t="s">
        <v>9875</v>
      </c>
    </row>
    <row r="4332" spans="1:2" x14ac:dyDescent="0.25">
      <c r="A4332" s="52" t="s">
        <v>95</v>
      </c>
      <c r="B4332" s="90" t="s">
        <v>9876</v>
      </c>
    </row>
    <row r="4333" spans="1:2" x14ac:dyDescent="0.25">
      <c r="A4333" s="52" t="s">
        <v>95</v>
      </c>
      <c r="B4333" s="90" t="s">
        <v>9877</v>
      </c>
    </row>
    <row r="4334" spans="1:2" x14ac:dyDescent="0.25">
      <c r="A4334" s="52" t="s">
        <v>95</v>
      </c>
      <c r="B4334" s="90" t="s">
        <v>9878</v>
      </c>
    </row>
    <row r="4335" spans="1:2" x14ac:dyDescent="0.25">
      <c r="A4335" s="52" t="s">
        <v>95</v>
      </c>
      <c r="B4335" s="90" t="s">
        <v>9879</v>
      </c>
    </row>
    <row r="4336" spans="1:2" x14ac:dyDescent="0.25">
      <c r="A4336" s="52" t="s">
        <v>95</v>
      </c>
      <c r="B4336" s="90" t="s">
        <v>9880</v>
      </c>
    </row>
    <row r="4337" spans="1:2" x14ac:dyDescent="0.25">
      <c r="A4337" s="52" t="s">
        <v>95</v>
      </c>
      <c r="B4337" s="90" t="s">
        <v>9880</v>
      </c>
    </row>
    <row r="4338" spans="1:2" x14ac:dyDescent="0.25">
      <c r="A4338" s="52" t="s">
        <v>95</v>
      </c>
      <c r="B4338" s="90" t="s">
        <v>9881</v>
      </c>
    </row>
    <row r="4339" spans="1:2" x14ac:dyDescent="0.25">
      <c r="A4339" s="52" t="s">
        <v>95</v>
      </c>
      <c r="B4339" s="90" t="s">
        <v>9882</v>
      </c>
    </row>
    <row r="4340" spans="1:2" x14ac:dyDescent="0.25">
      <c r="A4340" s="52" t="s">
        <v>95</v>
      </c>
      <c r="B4340" s="90" t="s">
        <v>9883</v>
      </c>
    </row>
    <row r="4341" spans="1:2" x14ac:dyDescent="0.25">
      <c r="A4341" s="52" t="s">
        <v>95</v>
      </c>
      <c r="B4341" s="90" t="s">
        <v>9884</v>
      </c>
    </row>
    <row r="4342" spans="1:2" x14ac:dyDescent="0.25">
      <c r="A4342" s="52" t="s">
        <v>95</v>
      </c>
      <c r="B4342" s="90" t="s">
        <v>9885</v>
      </c>
    </row>
    <row r="4343" spans="1:2" x14ac:dyDescent="0.25">
      <c r="A4343" s="52" t="s">
        <v>95</v>
      </c>
      <c r="B4343" s="90" t="s">
        <v>9886</v>
      </c>
    </row>
    <row r="4344" spans="1:2" x14ac:dyDescent="0.25">
      <c r="A4344" s="52" t="s">
        <v>95</v>
      </c>
      <c r="B4344" s="90" t="s">
        <v>9887</v>
      </c>
    </row>
    <row r="4345" spans="1:2" x14ac:dyDescent="0.25">
      <c r="A4345" s="52" t="s">
        <v>95</v>
      </c>
      <c r="B4345" s="90" t="s">
        <v>9888</v>
      </c>
    </row>
    <row r="4346" spans="1:2" x14ac:dyDescent="0.25">
      <c r="A4346" s="52" t="s">
        <v>95</v>
      </c>
      <c r="B4346" s="90" t="s">
        <v>9889</v>
      </c>
    </row>
    <row r="4347" spans="1:2" x14ac:dyDescent="0.25">
      <c r="A4347" s="52" t="s">
        <v>95</v>
      </c>
      <c r="B4347" s="90" t="s">
        <v>9890</v>
      </c>
    </row>
    <row r="4348" spans="1:2" x14ac:dyDescent="0.25">
      <c r="A4348" s="52" t="s">
        <v>95</v>
      </c>
      <c r="B4348" s="90" t="s">
        <v>9891</v>
      </c>
    </row>
    <row r="4349" spans="1:2" x14ac:dyDescent="0.25">
      <c r="A4349" s="52" t="s">
        <v>95</v>
      </c>
      <c r="B4349" s="90" t="s">
        <v>9892</v>
      </c>
    </row>
    <row r="4350" spans="1:2" x14ac:dyDescent="0.25">
      <c r="A4350" s="52" t="s">
        <v>95</v>
      </c>
      <c r="B4350" s="90" t="s">
        <v>9893</v>
      </c>
    </row>
    <row r="4351" spans="1:2" x14ac:dyDescent="0.25">
      <c r="A4351" s="52" t="s">
        <v>95</v>
      </c>
      <c r="B4351" s="90" t="s">
        <v>9894</v>
      </c>
    </row>
    <row r="4352" spans="1:2" x14ac:dyDescent="0.25">
      <c r="A4352" s="52" t="s">
        <v>95</v>
      </c>
      <c r="B4352" s="90" t="s">
        <v>9895</v>
      </c>
    </row>
    <row r="4353" spans="1:2" x14ac:dyDescent="0.25">
      <c r="A4353" s="52" t="s">
        <v>95</v>
      </c>
      <c r="B4353" s="90" t="s">
        <v>9896</v>
      </c>
    </row>
    <row r="4354" spans="1:2" x14ac:dyDescent="0.25">
      <c r="A4354" s="52" t="s">
        <v>95</v>
      </c>
      <c r="B4354" s="90" t="s">
        <v>9897</v>
      </c>
    </row>
    <row r="4355" spans="1:2" x14ac:dyDescent="0.25">
      <c r="A4355" s="52" t="s">
        <v>95</v>
      </c>
      <c r="B4355" s="90" t="s">
        <v>9898</v>
      </c>
    </row>
    <row r="4356" spans="1:2" x14ac:dyDescent="0.25">
      <c r="A4356" s="52" t="s">
        <v>95</v>
      </c>
      <c r="B4356" s="90" t="s">
        <v>9899</v>
      </c>
    </row>
    <row r="4357" spans="1:2" x14ac:dyDescent="0.25">
      <c r="A4357" s="52" t="s">
        <v>95</v>
      </c>
      <c r="B4357" s="90" t="s">
        <v>9900</v>
      </c>
    </row>
    <row r="4358" spans="1:2" x14ac:dyDescent="0.25">
      <c r="A4358" s="52" t="s">
        <v>95</v>
      </c>
      <c r="B4358" s="90" t="s">
        <v>9901</v>
      </c>
    </row>
    <row r="4359" spans="1:2" x14ac:dyDescent="0.25">
      <c r="A4359" s="52" t="s">
        <v>95</v>
      </c>
      <c r="B4359" s="90" t="s">
        <v>9902</v>
      </c>
    </row>
    <row r="4360" spans="1:2" x14ac:dyDescent="0.25">
      <c r="A4360" s="52" t="s">
        <v>95</v>
      </c>
      <c r="B4360" s="90" t="s">
        <v>9903</v>
      </c>
    </row>
    <row r="4361" spans="1:2" x14ac:dyDescent="0.25">
      <c r="A4361" s="52" t="s">
        <v>95</v>
      </c>
      <c r="B4361" s="90" t="s">
        <v>9904</v>
      </c>
    </row>
    <row r="4362" spans="1:2" x14ac:dyDescent="0.25">
      <c r="A4362" s="52" t="s">
        <v>95</v>
      </c>
      <c r="B4362" s="90" t="s">
        <v>9905</v>
      </c>
    </row>
    <row r="4363" spans="1:2" x14ac:dyDescent="0.25">
      <c r="A4363" s="52" t="s">
        <v>95</v>
      </c>
      <c r="B4363" s="90" t="s">
        <v>9906</v>
      </c>
    </row>
    <row r="4364" spans="1:2" x14ac:dyDescent="0.25">
      <c r="A4364" s="52" t="s">
        <v>95</v>
      </c>
      <c r="B4364" s="90" t="s">
        <v>9907</v>
      </c>
    </row>
    <row r="4365" spans="1:2" x14ac:dyDescent="0.25">
      <c r="A4365" s="52" t="s">
        <v>95</v>
      </c>
      <c r="B4365" s="90" t="s">
        <v>9908</v>
      </c>
    </row>
    <row r="4366" spans="1:2" x14ac:dyDescent="0.25">
      <c r="A4366" s="52" t="s">
        <v>95</v>
      </c>
      <c r="B4366" s="90" t="s">
        <v>9909</v>
      </c>
    </row>
    <row r="4367" spans="1:2" x14ac:dyDescent="0.25">
      <c r="A4367" s="52" t="s">
        <v>95</v>
      </c>
      <c r="B4367" s="90" t="s">
        <v>9910</v>
      </c>
    </row>
    <row r="4368" spans="1:2" x14ac:dyDescent="0.25">
      <c r="A4368" s="52" t="s">
        <v>95</v>
      </c>
      <c r="B4368" s="90" t="s">
        <v>9911</v>
      </c>
    </row>
    <row r="4369" spans="1:2" x14ac:dyDescent="0.25">
      <c r="A4369" s="52" t="s">
        <v>95</v>
      </c>
      <c r="B4369" s="90" t="s">
        <v>9912</v>
      </c>
    </row>
    <row r="4370" spans="1:2" x14ac:dyDescent="0.25">
      <c r="A4370" s="52" t="s">
        <v>95</v>
      </c>
      <c r="B4370" s="90" t="s">
        <v>9913</v>
      </c>
    </row>
    <row r="4371" spans="1:2" x14ac:dyDescent="0.25">
      <c r="A4371" s="52" t="s">
        <v>95</v>
      </c>
      <c r="B4371" s="90" t="s">
        <v>9914</v>
      </c>
    </row>
    <row r="4372" spans="1:2" x14ac:dyDescent="0.25">
      <c r="A4372" s="52" t="s">
        <v>95</v>
      </c>
      <c r="B4372" s="90" t="s">
        <v>9915</v>
      </c>
    </row>
    <row r="4373" spans="1:2" x14ac:dyDescent="0.25">
      <c r="A4373" s="52" t="s">
        <v>95</v>
      </c>
      <c r="B4373" s="90" t="s">
        <v>9916</v>
      </c>
    </row>
    <row r="4374" spans="1:2" x14ac:dyDescent="0.25">
      <c r="A4374" s="52" t="s">
        <v>95</v>
      </c>
      <c r="B4374" s="90" t="s">
        <v>9917</v>
      </c>
    </row>
    <row r="4375" spans="1:2" x14ac:dyDescent="0.25">
      <c r="A4375" s="52" t="s">
        <v>95</v>
      </c>
      <c r="B4375" s="90" t="s">
        <v>9918</v>
      </c>
    </row>
    <row r="4376" spans="1:2" x14ac:dyDescent="0.25">
      <c r="A4376" s="52" t="s">
        <v>95</v>
      </c>
      <c r="B4376" s="90" t="s">
        <v>9919</v>
      </c>
    </row>
    <row r="4377" spans="1:2" x14ac:dyDescent="0.25">
      <c r="A4377" s="52" t="s">
        <v>95</v>
      </c>
      <c r="B4377" s="90" t="s">
        <v>9920</v>
      </c>
    </row>
    <row r="4378" spans="1:2" x14ac:dyDescent="0.25">
      <c r="A4378" s="52" t="s">
        <v>95</v>
      </c>
      <c r="B4378" s="90" t="s">
        <v>9921</v>
      </c>
    </row>
    <row r="4379" spans="1:2" x14ac:dyDescent="0.25">
      <c r="A4379" s="52" t="s">
        <v>95</v>
      </c>
      <c r="B4379" s="90" t="s">
        <v>9922</v>
      </c>
    </row>
    <row r="4380" spans="1:2" x14ac:dyDescent="0.25">
      <c r="A4380" s="52" t="s">
        <v>95</v>
      </c>
      <c r="B4380" s="90" t="s">
        <v>9923</v>
      </c>
    </row>
    <row r="4381" spans="1:2" x14ac:dyDescent="0.25">
      <c r="A4381" s="52" t="s">
        <v>95</v>
      </c>
      <c r="B4381" s="90" t="s">
        <v>9924</v>
      </c>
    </row>
    <row r="4382" spans="1:2" x14ac:dyDescent="0.25">
      <c r="A4382" s="52" t="s">
        <v>95</v>
      </c>
      <c r="B4382" s="90" t="s">
        <v>9925</v>
      </c>
    </row>
    <row r="4383" spans="1:2" x14ac:dyDescent="0.25">
      <c r="A4383" s="52" t="s">
        <v>95</v>
      </c>
      <c r="B4383" s="90" t="s">
        <v>9926</v>
      </c>
    </row>
    <row r="4384" spans="1:2" x14ac:dyDescent="0.25">
      <c r="A4384" s="52" t="s">
        <v>95</v>
      </c>
      <c r="B4384" s="90" t="s">
        <v>9927</v>
      </c>
    </row>
    <row r="4385" spans="1:2" x14ac:dyDescent="0.25">
      <c r="A4385" s="52" t="s">
        <v>95</v>
      </c>
      <c r="B4385" s="90" t="s">
        <v>9928</v>
      </c>
    </row>
    <row r="4386" spans="1:2" x14ac:dyDescent="0.25">
      <c r="A4386" s="52" t="s">
        <v>95</v>
      </c>
      <c r="B4386" s="90" t="s">
        <v>9929</v>
      </c>
    </row>
    <row r="4387" spans="1:2" x14ac:dyDescent="0.25">
      <c r="A4387" s="52" t="s">
        <v>95</v>
      </c>
      <c r="B4387" s="90" t="s">
        <v>9930</v>
      </c>
    </row>
    <row r="4388" spans="1:2" x14ac:dyDescent="0.25">
      <c r="A4388" s="52" t="s">
        <v>95</v>
      </c>
      <c r="B4388" s="90" t="s">
        <v>9931</v>
      </c>
    </row>
    <row r="4389" spans="1:2" x14ac:dyDescent="0.25">
      <c r="A4389" s="52" t="s">
        <v>95</v>
      </c>
      <c r="B4389" s="90" t="s">
        <v>9932</v>
      </c>
    </row>
    <row r="4390" spans="1:2" x14ac:dyDescent="0.25">
      <c r="A4390" s="52" t="s">
        <v>95</v>
      </c>
      <c r="B4390" s="90" t="s">
        <v>9933</v>
      </c>
    </row>
    <row r="4391" spans="1:2" x14ac:dyDescent="0.25">
      <c r="A4391" s="52" t="s">
        <v>95</v>
      </c>
      <c r="B4391" s="90" t="s">
        <v>9934</v>
      </c>
    </row>
    <row r="4392" spans="1:2" x14ac:dyDescent="0.25">
      <c r="A4392" s="52" t="s">
        <v>95</v>
      </c>
      <c r="B4392" s="90" t="s">
        <v>9935</v>
      </c>
    </row>
    <row r="4393" spans="1:2" x14ac:dyDescent="0.25">
      <c r="A4393" s="52" t="s">
        <v>95</v>
      </c>
      <c r="B4393" s="90" t="s">
        <v>9936</v>
      </c>
    </row>
    <row r="4394" spans="1:2" x14ac:dyDescent="0.25">
      <c r="A4394" s="52" t="s">
        <v>95</v>
      </c>
      <c r="B4394" s="90" t="s">
        <v>9937</v>
      </c>
    </row>
    <row r="4395" spans="1:2" x14ac:dyDescent="0.25">
      <c r="A4395" s="52" t="s">
        <v>95</v>
      </c>
      <c r="B4395" s="90" t="s">
        <v>9938</v>
      </c>
    </row>
    <row r="4396" spans="1:2" x14ac:dyDescent="0.25">
      <c r="A4396" s="52" t="s">
        <v>95</v>
      </c>
      <c r="B4396" s="90" t="s">
        <v>9939</v>
      </c>
    </row>
    <row r="4397" spans="1:2" x14ac:dyDescent="0.25">
      <c r="A4397" s="52" t="s">
        <v>95</v>
      </c>
      <c r="B4397" s="90" t="s">
        <v>9940</v>
      </c>
    </row>
    <row r="4398" spans="1:2" x14ac:dyDescent="0.25">
      <c r="A4398" s="52" t="s">
        <v>95</v>
      </c>
      <c r="B4398" s="90" t="s">
        <v>9941</v>
      </c>
    </row>
    <row r="4399" spans="1:2" x14ac:dyDescent="0.25">
      <c r="A4399" s="52" t="s">
        <v>95</v>
      </c>
      <c r="B4399" s="90" t="s">
        <v>9942</v>
      </c>
    </row>
    <row r="4400" spans="1:2" x14ac:dyDescent="0.25">
      <c r="A4400" s="52" t="s">
        <v>95</v>
      </c>
      <c r="B4400" s="90" t="s">
        <v>9943</v>
      </c>
    </row>
    <row r="4401" spans="1:2" x14ac:dyDescent="0.25">
      <c r="A4401" s="52" t="s">
        <v>95</v>
      </c>
      <c r="B4401" s="90" t="s">
        <v>9944</v>
      </c>
    </row>
    <row r="4402" spans="1:2" x14ac:dyDescent="0.25">
      <c r="A4402" s="52" t="s">
        <v>95</v>
      </c>
      <c r="B4402" s="90" t="s">
        <v>9945</v>
      </c>
    </row>
    <row r="4403" spans="1:2" x14ac:dyDescent="0.25">
      <c r="A4403" s="52" t="s">
        <v>95</v>
      </c>
      <c r="B4403" s="90" t="s">
        <v>9946</v>
      </c>
    </row>
    <row r="4404" spans="1:2" x14ac:dyDescent="0.25">
      <c r="A4404" s="52" t="s">
        <v>95</v>
      </c>
      <c r="B4404" s="90" t="s">
        <v>9947</v>
      </c>
    </row>
    <row r="4405" spans="1:2" x14ac:dyDescent="0.25">
      <c r="A4405" s="52" t="s">
        <v>95</v>
      </c>
      <c r="B4405" s="90" t="s">
        <v>9948</v>
      </c>
    </row>
    <row r="4406" spans="1:2" x14ac:dyDescent="0.25">
      <c r="A4406" s="52" t="s">
        <v>95</v>
      </c>
      <c r="B4406" s="90" t="s">
        <v>9949</v>
      </c>
    </row>
    <row r="4407" spans="1:2" x14ac:dyDescent="0.25">
      <c r="A4407" s="52" t="s">
        <v>95</v>
      </c>
      <c r="B4407" s="90" t="s">
        <v>9950</v>
      </c>
    </row>
    <row r="4408" spans="1:2" x14ac:dyDescent="0.25">
      <c r="A4408" s="52" t="s">
        <v>95</v>
      </c>
      <c r="B4408" s="90" t="s">
        <v>9951</v>
      </c>
    </row>
    <row r="4409" spans="1:2" x14ac:dyDescent="0.25">
      <c r="A4409" s="52" t="s">
        <v>95</v>
      </c>
      <c r="B4409" s="90" t="s">
        <v>9952</v>
      </c>
    </row>
    <row r="4410" spans="1:2" x14ac:dyDescent="0.25">
      <c r="A4410" s="52" t="s">
        <v>95</v>
      </c>
      <c r="B4410" s="90" t="s">
        <v>9953</v>
      </c>
    </row>
    <row r="4411" spans="1:2" x14ac:dyDescent="0.25">
      <c r="A4411" s="52" t="s">
        <v>95</v>
      </c>
      <c r="B4411" s="90" t="s">
        <v>9954</v>
      </c>
    </row>
    <row r="4412" spans="1:2" x14ac:dyDescent="0.25">
      <c r="A4412" s="52" t="s">
        <v>95</v>
      </c>
      <c r="B4412" s="90" t="s">
        <v>9955</v>
      </c>
    </row>
    <row r="4413" spans="1:2" x14ac:dyDescent="0.25">
      <c r="A4413" s="52" t="s">
        <v>95</v>
      </c>
      <c r="B4413" s="90" t="s">
        <v>9956</v>
      </c>
    </row>
    <row r="4414" spans="1:2" x14ac:dyDescent="0.25">
      <c r="A4414" s="52" t="s">
        <v>95</v>
      </c>
      <c r="B4414" s="90" t="s">
        <v>9957</v>
      </c>
    </row>
    <row r="4415" spans="1:2" x14ac:dyDescent="0.25">
      <c r="A4415" s="52" t="s">
        <v>95</v>
      </c>
      <c r="B4415" s="90" t="s">
        <v>9958</v>
      </c>
    </row>
    <row r="4416" spans="1:2" x14ac:dyDescent="0.25">
      <c r="A4416" s="52" t="s">
        <v>95</v>
      </c>
      <c r="B4416" s="90" t="s">
        <v>9958</v>
      </c>
    </row>
    <row r="4417" spans="1:2" x14ac:dyDescent="0.25">
      <c r="A4417" s="52" t="s">
        <v>95</v>
      </c>
      <c r="B4417" s="90" t="s">
        <v>9959</v>
      </c>
    </row>
    <row r="4418" spans="1:2" x14ac:dyDescent="0.25">
      <c r="A4418" s="52" t="s">
        <v>95</v>
      </c>
      <c r="B4418" s="90" t="s">
        <v>9960</v>
      </c>
    </row>
    <row r="4419" spans="1:2" x14ac:dyDescent="0.25">
      <c r="A4419" s="52" t="s">
        <v>95</v>
      </c>
      <c r="B4419" s="90" t="s">
        <v>9961</v>
      </c>
    </row>
    <row r="4420" spans="1:2" x14ac:dyDescent="0.25">
      <c r="A4420" s="52" t="s">
        <v>95</v>
      </c>
      <c r="B4420" s="90" t="s">
        <v>9962</v>
      </c>
    </row>
    <row r="4421" spans="1:2" x14ac:dyDescent="0.25">
      <c r="A4421" s="52" t="s">
        <v>95</v>
      </c>
      <c r="B4421" s="90" t="s">
        <v>9963</v>
      </c>
    </row>
    <row r="4422" spans="1:2" x14ac:dyDescent="0.25">
      <c r="A4422" s="52" t="s">
        <v>95</v>
      </c>
      <c r="B4422" s="90" t="s">
        <v>9964</v>
      </c>
    </row>
    <row r="4423" spans="1:2" x14ac:dyDescent="0.25">
      <c r="A4423" s="52" t="s">
        <v>95</v>
      </c>
      <c r="B4423" s="90" t="s">
        <v>9965</v>
      </c>
    </row>
    <row r="4424" spans="1:2" x14ac:dyDescent="0.25">
      <c r="A4424" s="52" t="s">
        <v>95</v>
      </c>
      <c r="B4424" s="90" t="s">
        <v>9966</v>
      </c>
    </row>
    <row r="4425" spans="1:2" x14ac:dyDescent="0.25">
      <c r="A4425" s="52" t="s">
        <v>95</v>
      </c>
      <c r="B4425" s="90" t="s">
        <v>9967</v>
      </c>
    </row>
    <row r="4426" spans="1:2" x14ac:dyDescent="0.25">
      <c r="A4426" s="52" t="s">
        <v>95</v>
      </c>
      <c r="B4426" s="90" t="s">
        <v>9968</v>
      </c>
    </row>
    <row r="4427" spans="1:2" x14ac:dyDescent="0.25">
      <c r="A4427" s="52" t="s">
        <v>95</v>
      </c>
      <c r="B4427" s="90" t="s">
        <v>9969</v>
      </c>
    </row>
    <row r="4428" spans="1:2" x14ac:dyDescent="0.25">
      <c r="A4428" s="52" t="s">
        <v>95</v>
      </c>
      <c r="B4428" s="90" t="s">
        <v>9970</v>
      </c>
    </row>
    <row r="4429" spans="1:2" x14ac:dyDescent="0.25">
      <c r="A4429" s="52" t="s">
        <v>95</v>
      </c>
      <c r="B4429" s="90" t="s">
        <v>9971</v>
      </c>
    </row>
    <row r="4430" spans="1:2" x14ac:dyDescent="0.25">
      <c r="A4430" s="52" t="s">
        <v>95</v>
      </c>
      <c r="B4430" s="90" t="s">
        <v>9972</v>
      </c>
    </row>
    <row r="4431" spans="1:2" x14ac:dyDescent="0.25">
      <c r="A4431" s="52" t="s">
        <v>95</v>
      </c>
      <c r="B4431" s="90" t="s">
        <v>9973</v>
      </c>
    </row>
    <row r="4432" spans="1:2" x14ac:dyDescent="0.25">
      <c r="A4432" s="52" t="s">
        <v>95</v>
      </c>
      <c r="B4432" s="90" t="s">
        <v>9974</v>
      </c>
    </row>
    <row r="4433" spans="1:2" x14ac:dyDescent="0.25">
      <c r="A4433" s="52" t="s">
        <v>95</v>
      </c>
      <c r="B4433" s="90" t="s">
        <v>9975</v>
      </c>
    </row>
    <row r="4434" spans="1:2" x14ac:dyDescent="0.25">
      <c r="A4434" s="52" t="s">
        <v>95</v>
      </c>
      <c r="B4434" s="90" t="s">
        <v>9976</v>
      </c>
    </row>
    <row r="4435" spans="1:2" x14ac:dyDescent="0.25">
      <c r="A4435" s="52" t="s">
        <v>95</v>
      </c>
      <c r="B4435" s="90" t="s">
        <v>9977</v>
      </c>
    </row>
    <row r="4436" spans="1:2" x14ac:dyDescent="0.25">
      <c r="A4436" s="52" t="s">
        <v>95</v>
      </c>
      <c r="B4436" s="90" t="s">
        <v>9978</v>
      </c>
    </row>
    <row r="4437" spans="1:2" x14ac:dyDescent="0.25">
      <c r="A4437" s="52" t="s">
        <v>95</v>
      </c>
      <c r="B4437" s="90" t="s">
        <v>9979</v>
      </c>
    </row>
    <row r="4438" spans="1:2" x14ac:dyDescent="0.25">
      <c r="A4438" s="52" t="s">
        <v>95</v>
      </c>
      <c r="B4438" s="90" t="s">
        <v>9980</v>
      </c>
    </row>
    <row r="4439" spans="1:2" x14ac:dyDescent="0.25">
      <c r="A4439" s="52" t="s">
        <v>95</v>
      </c>
      <c r="B4439" s="90" t="s">
        <v>9981</v>
      </c>
    </row>
    <row r="4440" spans="1:2" x14ac:dyDescent="0.25">
      <c r="A4440" s="52" t="s">
        <v>95</v>
      </c>
      <c r="B4440" s="90" t="s">
        <v>9982</v>
      </c>
    </row>
    <row r="4441" spans="1:2" x14ac:dyDescent="0.25">
      <c r="A4441" s="52" t="s">
        <v>95</v>
      </c>
      <c r="B4441" s="90" t="s">
        <v>5796</v>
      </c>
    </row>
    <row r="4442" spans="1:2" x14ac:dyDescent="0.25">
      <c r="A4442" s="52" t="s">
        <v>95</v>
      </c>
      <c r="B4442" s="90" t="s">
        <v>9983</v>
      </c>
    </row>
    <row r="4443" spans="1:2" x14ac:dyDescent="0.25">
      <c r="A4443" s="52" t="s">
        <v>95</v>
      </c>
      <c r="B4443" s="90" t="s">
        <v>9984</v>
      </c>
    </row>
    <row r="4444" spans="1:2" x14ac:dyDescent="0.25">
      <c r="A4444" s="52" t="s">
        <v>95</v>
      </c>
      <c r="B4444" s="90" t="s">
        <v>9985</v>
      </c>
    </row>
    <row r="4445" spans="1:2" x14ac:dyDescent="0.25">
      <c r="A4445" s="52" t="s">
        <v>95</v>
      </c>
      <c r="B4445" s="90" t="s">
        <v>9986</v>
      </c>
    </row>
    <row r="4446" spans="1:2" x14ac:dyDescent="0.25">
      <c r="A4446" s="52" t="s">
        <v>95</v>
      </c>
      <c r="B4446" s="90" t="s">
        <v>9987</v>
      </c>
    </row>
    <row r="4447" spans="1:2" x14ac:dyDescent="0.25">
      <c r="A4447" s="52" t="s">
        <v>95</v>
      </c>
      <c r="B4447" s="90" t="s">
        <v>9988</v>
      </c>
    </row>
    <row r="4448" spans="1:2" x14ac:dyDescent="0.25">
      <c r="A4448" s="52" t="s">
        <v>95</v>
      </c>
      <c r="B4448" s="90" t="s">
        <v>9989</v>
      </c>
    </row>
    <row r="4449" spans="1:2" x14ac:dyDescent="0.25">
      <c r="A4449" s="52" t="s">
        <v>95</v>
      </c>
      <c r="B4449" s="90" t="s">
        <v>9990</v>
      </c>
    </row>
    <row r="4450" spans="1:2" x14ac:dyDescent="0.25">
      <c r="A4450" s="52" t="s">
        <v>95</v>
      </c>
      <c r="B4450" s="90" t="s">
        <v>9991</v>
      </c>
    </row>
    <row r="4451" spans="1:2" x14ac:dyDescent="0.25">
      <c r="A4451" s="52" t="s">
        <v>95</v>
      </c>
      <c r="B4451" s="90" t="s">
        <v>9992</v>
      </c>
    </row>
    <row r="4452" spans="1:2" x14ac:dyDescent="0.25">
      <c r="A4452" s="52" t="s">
        <v>95</v>
      </c>
      <c r="B4452" s="90" t="s">
        <v>9993</v>
      </c>
    </row>
    <row r="4453" spans="1:2" x14ac:dyDescent="0.25">
      <c r="A4453" s="52" t="s">
        <v>95</v>
      </c>
      <c r="B4453" s="90" t="s">
        <v>9994</v>
      </c>
    </row>
    <row r="4454" spans="1:2" x14ac:dyDescent="0.25">
      <c r="A4454" s="52" t="s">
        <v>95</v>
      </c>
      <c r="B4454" s="90" t="s">
        <v>9995</v>
      </c>
    </row>
    <row r="4455" spans="1:2" x14ac:dyDescent="0.25">
      <c r="A4455" s="52" t="s">
        <v>95</v>
      </c>
      <c r="B4455" s="90" t="s">
        <v>9996</v>
      </c>
    </row>
    <row r="4456" spans="1:2" x14ac:dyDescent="0.25">
      <c r="A4456" s="52" t="s">
        <v>95</v>
      </c>
      <c r="B4456" s="90" t="s">
        <v>9997</v>
      </c>
    </row>
    <row r="4457" spans="1:2" x14ac:dyDescent="0.25">
      <c r="A4457" s="52" t="s">
        <v>95</v>
      </c>
      <c r="B4457" s="90" t="s">
        <v>9998</v>
      </c>
    </row>
    <row r="4458" spans="1:2" x14ac:dyDescent="0.25">
      <c r="A4458" s="52" t="s">
        <v>95</v>
      </c>
      <c r="B4458" s="90" t="s">
        <v>9999</v>
      </c>
    </row>
    <row r="4459" spans="1:2" x14ac:dyDescent="0.25">
      <c r="A4459" s="52" t="s">
        <v>95</v>
      </c>
      <c r="B4459" s="90" t="s">
        <v>10000</v>
      </c>
    </row>
    <row r="4460" spans="1:2" x14ac:dyDescent="0.25">
      <c r="A4460" s="52" t="s">
        <v>95</v>
      </c>
      <c r="B4460" s="90" t="s">
        <v>10001</v>
      </c>
    </row>
    <row r="4461" spans="1:2" x14ac:dyDescent="0.25">
      <c r="A4461" s="52" t="s">
        <v>95</v>
      </c>
      <c r="B4461" s="90" t="s">
        <v>10002</v>
      </c>
    </row>
    <row r="4462" spans="1:2" x14ac:dyDescent="0.25">
      <c r="A4462" s="52" t="s">
        <v>95</v>
      </c>
      <c r="B4462" s="90" t="s">
        <v>10003</v>
      </c>
    </row>
    <row r="4463" spans="1:2" x14ac:dyDescent="0.25">
      <c r="A4463" s="52" t="s">
        <v>95</v>
      </c>
      <c r="B4463" s="90" t="s">
        <v>10004</v>
      </c>
    </row>
    <row r="4464" spans="1:2" x14ac:dyDescent="0.25">
      <c r="A4464" s="52" t="s">
        <v>95</v>
      </c>
      <c r="B4464" s="90" t="s">
        <v>10005</v>
      </c>
    </row>
    <row r="4465" spans="1:2" x14ac:dyDescent="0.25">
      <c r="A4465" s="52" t="s">
        <v>95</v>
      </c>
      <c r="B4465" s="90" t="s">
        <v>10006</v>
      </c>
    </row>
    <row r="4466" spans="1:2" x14ac:dyDescent="0.25">
      <c r="A4466" s="52" t="s">
        <v>95</v>
      </c>
      <c r="B4466" s="90" t="s">
        <v>10007</v>
      </c>
    </row>
    <row r="4467" spans="1:2" x14ac:dyDescent="0.25">
      <c r="A4467" s="52" t="s">
        <v>95</v>
      </c>
      <c r="B4467" s="90" t="s">
        <v>10008</v>
      </c>
    </row>
    <row r="4468" spans="1:2" x14ac:dyDescent="0.25">
      <c r="A4468" s="52" t="s">
        <v>95</v>
      </c>
      <c r="B4468" s="90" t="s">
        <v>10009</v>
      </c>
    </row>
    <row r="4469" spans="1:2" x14ac:dyDescent="0.25">
      <c r="A4469" s="52" t="s">
        <v>95</v>
      </c>
      <c r="B4469" s="90" t="s">
        <v>10010</v>
      </c>
    </row>
    <row r="4470" spans="1:2" x14ac:dyDescent="0.25">
      <c r="A4470" s="52" t="s">
        <v>95</v>
      </c>
      <c r="B4470" s="90" t="s">
        <v>10011</v>
      </c>
    </row>
    <row r="4471" spans="1:2" x14ac:dyDescent="0.25">
      <c r="A4471" s="52" t="s">
        <v>95</v>
      </c>
      <c r="B4471" s="90" t="s">
        <v>10012</v>
      </c>
    </row>
    <row r="4472" spans="1:2" x14ac:dyDescent="0.25">
      <c r="A4472" s="52" t="s">
        <v>95</v>
      </c>
      <c r="B4472" s="90" t="s">
        <v>10013</v>
      </c>
    </row>
    <row r="4473" spans="1:2" x14ac:dyDescent="0.25">
      <c r="A4473" s="52" t="s">
        <v>95</v>
      </c>
      <c r="B4473" s="90" t="s">
        <v>10014</v>
      </c>
    </row>
    <row r="4474" spans="1:2" x14ac:dyDescent="0.25">
      <c r="A4474" s="52" t="s">
        <v>95</v>
      </c>
      <c r="B4474" s="90" t="s">
        <v>10015</v>
      </c>
    </row>
    <row r="4475" spans="1:2" x14ac:dyDescent="0.25">
      <c r="A4475" s="52" t="s">
        <v>95</v>
      </c>
      <c r="B4475" s="90" t="s">
        <v>10016</v>
      </c>
    </row>
    <row r="4476" spans="1:2" x14ac:dyDescent="0.25">
      <c r="A4476" s="52" t="s">
        <v>95</v>
      </c>
      <c r="B4476" s="90" t="s">
        <v>10017</v>
      </c>
    </row>
    <row r="4477" spans="1:2" x14ac:dyDescent="0.25">
      <c r="A4477" s="52" t="s">
        <v>95</v>
      </c>
      <c r="B4477" s="90" t="s">
        <v>10018</v>
      </c>
    </row>
    <row r="4478" spans="1:2" x14ac:dyDescent="0.25">
      <c r="A4478" s="52" t="s">
        <v>95</v>
      </c>
      <c r="B4478" s="90" t="s">
        <v>10019</v>
      </c>
    </row>
    <row r="4479" spans="1:2" x14ac:dyDescent="0.25">
      <c r="A4479" s="52" t="s">
        <v>95</v>
      </c>
      <c r="B4479" s="90" t="s">
        <v>10020</v>
      </c>
    </row>
    <row r="4480" spans="1:2" x14ac:dyDescent="0.25">
      <c r="A4480" s="52" t="s">
        <v>95</v>
      </c>
      <c r="B4480" s="90" t="s">
        <v>10021</v>
      </c>
    </row>
    <row r="4481" spans="1:2" x14ac:dyDescent="0.25">
      <c r="A4481" s="52" t="s">
        <v>95</v>
      </c>
      <c r="B4481" s="90" t="s">
        <v>10022</v>
      </c>
    </row>
    <row r="4482" spans="1:2" x14ac:dyDescent="0.25">
      <c r="A4482" s="52" t="s">
        <v>95</v>
      </c>
      <c r="B4482" s="90" t="s">
        <v>10023</v>
      </c>
    </row>
    <row r="4483" spans="1:2" x14ac:dyDescent="0.25">
      <c r="A4483" s="52" t="s">
        <v>95</v>
      </c>
      <c r="B4483" s="90" t="s">
        <v>10023</v>
      </c>
    </row>
    <row r="4484" spans="1:2" x14ac:dyDescent="0.25">
      <c r="A4484" s="52" t="s">
        <v>95</v>
      </c>
      <c r="B4484" s="90" t="s">
        <v>10024</v>
      </c>
    </row>
    <row r="4485" spans="1:2" x14ac:dyDescent="0.25">
      <c r="A4485" s="52" t="s">
        <v>95</v>
      </c>
      <c r="B4485" s="90" t="s">
        <v>10025</v>
      </c>
    </row>
    <row r="4486" spans="1:2" x14ac:dyDescent="0.25">
      <c r="A4486" s="52" t="s">
        <v>95</v>
      </c>
      <c r="B4486" s="90" t="s">
        <v>10026</v>
      </c>
    </row>
    <row r="4487" spans="1:2" x14ac:dyDescent="0.25">
      <c r="A4487" s="52" t="s">
        <v>95</v>
      </c>
      <c r="B4487" s="90" t="s">
        <v>10027</v>
      </c>
    </row>
    <row r="4488" spans="1:2" x14ac:dyDescent="0.25">
      <c r="A4488" s="52" t="s">
        <v>95</v>
      </c>
      <c r="B4488" s="90" t="s">
        <v>10028</v>
      </c>
    </row>
    <row r="4489" spans="1:2" x14ac:dyDescent="0.25">
      <c r="A4489" s="52" t="s">
        <v>95</v>
      </c>
      <c r="B4489" s="90" t="s">
        <v>10029</v>
      </c>
    </row>
    <row r="4490" spans="1:2" x14ac:dyDescent="0.25">
      <c r="A4490" s="52" t="s">
        <v>95</v>
      </c>
      <c r="B4490" s="90" t="s">
        <v>10030</v>
      </c>
    </row>
    <row r="4491" spans="1:2" x14ac:dyDescent="0.25">
      <c r="A4491" s="52" t="s">
        <v>95</v>
      </c>
      <c r="B4491" s="90" t="s">
        <v>10031</v>
      </c>
    </row>
    <row r="4492" spans="1:2" x14ac:dyDescent="0.25">
      <c r="A4492" s="52" t="s">
        <v>95</v>
      </c>
      <c r="B4492" s="90" t="s">
        <v>10032</v>
      </c>
    </row>
    <row r="4493" spans="1:2" x14ac:dyDescent="0.25">
      <c r="A4493" s="52" t="s">
        <v>95</v>
      </c>
      <c r="B4493" s="90" t="s">
        <v>10032</v>
      </c>
    </row>
    <row r="4494" spans="1:2" x14ac:dyDescent="0.25">
      <c r="A4494" s="52" t="s">
        <v>95</v>
      </c>
      <c r="B4494" s="90" t="s">
        <v>10033</v>
      </c>
    </row>
    <row r="4495" spans="1:2" x14ac:dyDescent="0.25">
      <c r="A4495" s="52" t="s">
        <v>95</v>
      </c>
      <c r="B4495" s="90" t="s">
        <v>10034</v>
      </c>
    </row>
    <row r="4496" spans="1:2" x14ac:dyDescent="0.25">
      <c r="A4496" s="52" t="s">
        <v>95</v>
      </c>
      <c r="B4496" s="90" t="s">
        <v>10035</v>
      </c>
    </row>
    <row r="4497" spans="1:2" x14ac:dyDescent="0.25">
      <c r="A4497" s="52" t="s">
        <v>95</v>
      </c>
      <c r="B4497" s="90" t="s">
        <v>10036</v>
      </c>
    </row>
    <row r="4498" spans="1:2" x14ac:dyDescent="0.25">
      <c r="A4498" s="52" t="s">
        <v>95</v>
      </c>
      <c r="B4498" s="90" t="s">
        <v>10037</v>
      </c>
    </row>
    <row r="4499" spans="1:2" x14ac:dyDescent="0.25">
      <c r="A4499" s="52" t="s">
        <v>95</v>
      </c>
      <c r="B4499" s="90" t="s">
        <v>10038</v>
      </c>
    </row>
    <row r="4500" spans="1:2" x14ac:dyDescent="0.25">
      <c r="A4500" s="52" t="s">
        <v>95</v>
      </c>
      <c r="B4500" s="90" t="s">
        <v>10039</v>
      </c>
    </row>
    <row r="4501" spans="1:2" x14ac:dyDescent="0.25">
      <c r="A4501" s="52" t="s">
        <v>95</v>
      </c>
      <c r="B4501" s="90" t="s">
        <v>10040</v>
      </c>
    </row>
    <row r="4502" spans="1:2" x14ac:dyDescent="0.25">
      <c r="A4502" s="52" t="s">
        <v>95</v>
      </c>
      <c r="B4502" s="90" t="s">
        <v>10041</v>
      </c>
    </row>
    <row r="4503" spans="1:2" x14ac:dyDescent="0.25">
      <c r="A4503" s="52" t="s">
        <v>95</v>
      </c>
      <c r="B4503" s="90" t="s">
        <v>10042</v>
      </c>
    </row>
    <row r="4504" spans="1:2" x14ac:dyDescent="0.25">
      <c r="A4504" s="52" t="s">
        <v>95</v>
      </c>
      <c r="B4504" s="90" t="s">
        <v>10043</v>
      </c>
    </row>
    <row r="4505" spans="1:2" x14ac:dyDescent="0.25">
      <c r="A4505" s="52" t="s">
        <v>95</v>
      </c>
      <c r="B4505" s="90" t="s">
        <v>10044</v>
      </c>
    </row>
    <row r="4506" spans="1:2" x14ac:dyDescent="0.25">
      <c r="A4506" s="52" t="s">
        <v>95</v>
      </c>
      <c r="B4506" s="90" t="s">
        <v>10045</v>
      </c>
    </row>
    <row r="4507" spans="1:2" x14ac:dyDescent="0.25">
      <c r="A4507" s="52" t="s">
        <v>95</v>
      </c>
      <c r="B4507" s="90" t="s">
        <v>10045</v>
      </c>
    </row>
    <row r="4508" spans="1:2" x14ac:dyDescent="0.25">
      <c r="A4508" s="52" t="s">
        <v>95</v>
      </c>
      <c r="B4508" s="90" t="s">
        <v>10046</v>
      </c>
    </row>
    <row r="4509" spans="1:2" x14ac:dyDescent="0.25">
      <c r="A4509" s="52" t="s">
        <v>95</v>
      </c>
      <c r="B4509" s="90" t="s">
        <v>10047</v>
      </c>
    </row>
    <row r="4510" spans="1:2" x14ac:dyDescent="0.25">
      <c r="A4510" s="52" t="s">
        <v>95</v>
      </c>
      <c r="B4510" s="90" t="s">
        <v>10048</v>
      </c>
    </row>
    <row r="4511" spans="1:2" x14ac:dyDescent="0.25">
      <c r="A4511" s="52" t="s">
        <v>95</v>
      </c>
      <c r="B4511" s="90" t="s">
        <v>10049</v>
      </c>
    </row>
    <row r="4512" spans="1:2" x14ac:dyDescent="0.25">
      <c r="A4512" s="52" t="s">
        <v>95</v>
      </c>
      <c r="B4512" s="90" t="s">
        <v>10050</v>
      </c>
    </row>
    <row r="4513" spans="1:2" x14ac:dyDescent="0.25">
      <c r="A4513" s="52" t="s">
        <v>95</v>
      </c>
      <c r="B4513" s="90" t="s">
        <v>10051</v>
      </c>
    </row>
    <row r="4514" spans="1:2" x14ac:dyDescent="0.25">
      <c r="A4514" s="52" t="s">
        <v>95</v>
      </c>
      <c r="B4514" s="90" t="s">
        <v>10052</v>
      </c>
    </row>
    <row r="4515" spans="1:2" x14ac:dyDescent="0.25">
      <c r="A4515" s="52" t="s">
        <v>95</v>
      </c>
      <c r="B4515" s="90" t="s">
        <v>10053</v>
      </c>
    </row>
    <row r="4516" spans="1:2" x14ac:dyDescent="0.25">
      <c r="A4516" s="52" t="s">
        <v>95</v>
      </c>
      <c r="B4516" s="90" t="s">
        <v>10054</v>
      </c>
    </row>
    <row r="4517" spans="1:2" x14ac:dyDescent="0.25">
      <c r="A4517" s="52" t="s">
        <v>95</v>
      </c>
      <c r="B4517" s="90" t="s">
        <v>10055</v>
      </c>
    </row>
    <row r="4518" spans="1:2" x14ac:dyDescent="0.25">
      <c r="A4518" s="52" t="s">
        <v>95</v>
      </c>
      <c r="B4518" s="90" t="s">
        <v>10056</v>
      </c>
    </row>
    <row r="4519" spans="1:2" x14ac:dyDescent="0.25">
      <c r="A4519" s="52" t="s">
        <v>95</v>
      </c>
      <c r="B4519" s="90" t="s">
        <v>10057</v>
      </c>
    </row>
    <row r="4520" spans="1:2" x14ac:dyDescent="0.25">
      <c r="A4520" s="52" t="s">
        <v>95</v>
      </c>
      <c r="B4520" s="90" t="s">
        <v>10058</v>
      </c>
    </row>
    <row r="4521" spans="1:2" x14ac:dyDescent="0.25">
      <c r="A4521" s="52" t="s">
        <v>95</v>
      </c>
      <c r="B4521" s="90" t="s">
        <v>10059</v>
      </c>
    </row>
    <row r="4522" spans="1:2" x14ac:dyDescent="0.25">
      <c r="A4522" s="52" t="s">
        <v>95</v>
      </c>
      <c r="B4522" s="90" t="s">
        <v>10060</v>
      </c>
    </row>
    <row r="4523" spans="1:2" x14ac:dyDescent="0.25">
      <c r="A4523" s="52" t="s">
        <v>95</v>
      </c>
      <c r="B4523" s="90" t="s">
        <v>10061</v>
      </c>
    </row>
    <row r="4524" spans="1:2" x14ac:dyDescent="0.25">
      <c r="A4524" s="52" t="s">
        <v>95</v>
      </c>
      <c r="B4524" s="90" t="s">
        <v>10062</v>
      </c>
    </row>
    <row r="4525" spans="1:2" x14ac:dyDescent="0.25">
      <c r="A4525" s="52" t="s">
        <v>95</v>
      </c>
      <c r="B4525" s="90" t="s">
        <v>10063</v>
      </c>
    </row>
    <row r="4526" spans="1:2" x14ac:dyDescent="0.25">
      <c r="A4526" s="52" t="s">
        <v>95</v>
      </c>
      <c r="B4526" s="90" t="s">
        <v>10064</v>
      </c>
    </row>
    <row r="4527" spans="1:2" x14ac:dyDescent="0.25">
      <c r="A4527" s="52" t="s">
        <v>95</v>
      </c>
      <c r="B4527" s="90" t="s">
        <v>10065</v>
      </c>
    </row>
    <row r="4528" spans="1:2" x14ac:dyDescent="0.25">
      <c r="A4528" s="52" t="s">
        <v>95</v>
      </c>
      <c r="B4528" s="90" t="s">
        <v>10066</v>
      </c>
    </row>
    <row r="4529" spans="1:2" x14ac:dyDescent="0.25">
      <c r="A4529" s="52" t="s">
        <v>95</v>
      </c>
      <c r="B4529" s="90" t="s">
        <v>10067</v>
      </c>
    </row>
    <row r="4530" spans="1:2" x14ac:dyDescent="0.25">
      <c r="A4530" s="52" t="s">
        <v>95</v>
      </c>
      <c r="B4530" s="90" t="s">
        <v>10068</v>
      </c>
    </row>
    <row r="4531" spans="1:2" x14ac:dyDescent="0.25">
      <c r="A4531" s="52" t="s">
        <v>95</v>
      </c>
      <c r="B4531" s="90" t="s">
        <v>10069</v>
      </c>
    </row>
    <row r="4532" spans="1:2" x14ac:dyDescent="0.25">
      <c r="A4532" s="52" t="s">
        <v>95</v>
      </c>
      <c r="B4532" s="90" t="s">
        <v>294</v>
      </c>
    </row>
    <row r="4533" spans="1:2" x14ac:dyDescent="0.25">
      <c r="A4533" s="52" t="s">
        <v>95</v>
      </c>
      <c r="B4533" s="90" t="s">
        <v>10070</v>
      </c>
    </row>
    <row r="4534" spans="1:2" x14ac:dyDescent="0.25">
      <c r="A4534" s="52" t="s">
        <v>95</v>
      </c>
      <c r="B4534" s="90" t="s">
        <v>5797</v>
      </c>
    </row>
    <row r="4535" spans="1:2" x14ac:dyDescent="0.25">
      <c r="A4535" s="52" t="s">
        <v>95</v>
      </c>
      <c r="B4535" s="90" t="s">
        <v>10071</v>
      </c>
    </row>
    <row r="4536" spans="1:2" x14ac:dyDescent="0.25">
      <c r="A4536" s="52" t="s">
        <v>95</v>
      </c>
      <c r="B4536" s="90" t="s">
        <v>10072</v>
      </c>
    </row>
    <row r="4537" spans="1:2" x14ac:dyDescent="0.25">
      <c r="A4537" s="52" t="s">
        <v>95</v>
      </c>
      <c r="B4537" s="90" t="s">
        <v>10073</v>
      </c>
    </row>
    <row r="4538" spans="1:2" x14ac:dyDescent="0.25">
      <c r="A4538" s="52" t="s">
        <v>95</v>
      </c>
      <c r="B4538" s="90" t="s">
        <v>10074</v>
      </c>
    </row>
    <row r="4539" spans="1:2" x14ac:dyDescent="0.25">
      <c r="A4539" s="52" t="s">
        <v>95</v>
      </c>
      <c r="B4539" s="90" t="s">
        <v>10074</v>
      </c>
    </row>
    <row r="4540" spans="1:2" x14ac:dyDescent="0.25">
      <c r="A4540" s="52" t="s">
        <v>95</v>
      </c>
      <c r="B4540" s="90" t="s">
        <v>10075</v>
      </c>
    </row>
    <row r="4541" spans="1:2" x14ac:dyDescent="0.25">
      <c r="A4541" s="52" t="s">
        <v>95</v>
      </c>
      <c r="B4541" s="90" t="s">
        <v>10076</v>
      </c>
    </row>
    <row r="4542" spans="1:2" x14ac:dyDescent="0.25">
      <c r="A4542" s="52" t="s">
        <v>95</v>
      </c>
      <c r="B4542" s="90" t="s">
        <v>10077</v>
      </c>
    </row>
    <row r="4543" spans="1:2" x14ac:dyDescent="0.25">
      <c r="A4543" s="52" t="s">
        <v>95</v>
      </c>
      <c r="B4543" s="90" t="s">
        <v>10078</v>
      </c>
    </row>
    <row r="4544" spans="1:2" x14ac:dyDescent="0.25">
      <c r="A4544" s="52" t="s">
        <v>95</v>
      </c>
      <c r="B4544" s="90" t="s">
        <v>10079</v>
      </c>
    </row>
    <row r="4545" spans="1:2" x14ac:dyDescent="0.25">
      <c r="A4545" s="52" t="s">
        <v>95</v>
      </c>
      <c r="B4545" s="90" t="s">
        <v>10080</v>
      </c>
    </row>
    <row r="4546" spans="1:2" x14ac:dyDescent="0.25">
      <c r="A4546" s="52" t="s">
        <v>95</v>
      </c>
      <c r="B4546" s="90" t="s">
        <v>10081</v>
      </c>
    </row>
    <row r="4547" spans="1:2" x14ac:dyDescent="0.25">
      <c r="A4547" s="52" t="s">
        <v>95</v>
      </c>
      <c r="B4547" s="90" t="s">
        <v>10082</v>
      </c>
    </row>
    <row r="4548" spans="1:2" x14ac:dyDescent="0.25">
      <c r="A4548" s="52" t="s">
        <v>95</v>
      </c>
      <c r="B4548" s="90" t="s">
        <v>10083</v>
      </c>
    </row>
    <row r="4549" spans="1:2" x14ac:dyDescent="0.25">
      <c r="A4549" s="52" t="s">
        <v>95</v>
      </c>
      <c r="B4549" s="90" t="s">
        <v>10084</v>
      </c>
    </row>
    <row r="4550" spans="1:2" x14ac:dyDescent="0.25">
      <c r="A4550" s="52" t="s">
        <v>95</v>
      </c>
      <c r="B4550" s="90" t="s">
        <v>10085</v>
      </c>
    </row>
    <row r="4551" spans="1:2" x14ac:dyDescent="0.25">
      <c r="A4551" s="52" t="s">
        <v>95</v>
      </c>
      <c r="B4551" s="90" t="s">
        <v>10086</v>
      </c>
    </row>
    <row r="4552" spans="1:2" x14ac:dyDescent="0.25">
      <c r="A4552" s="52" t="s">
        <v>95</v>
      </c>
      <c r="B4552" s="90" t="s">
        <v>10087</v>
      </c>
    </row>
    <row r="4553" spans="1:2" x14ac:dyDescent="0.25">
      <c r="A4553" s="52" t="s">
        <v>95</v>
      </c>
      <c r="B4553" s="90" t="s">
        <v>10088</v>
      </c>
    </row>
    <row r="4554" spans="1:2" x14ac:dyDescent="0.25">
      <c r="A4554" s="52" t="s">
        <v>95</v>
      </c>
      <c r="B4554" s="90" t="s">
        <v>10089</v>
      </c>
    </row>
    <row r="4555" spans="1:2" x14ac:dyDescent="0.25">
      <c r="A4555" s="52" t="s">
        <v>95</v>
      </c>
      <c r="B4555" s="90" t="s">
        <v>10090</v>
      </c>
    </row>
    <row r="4556" spans="1:2" x14ac:dyDescent="0.25">
      <c r="A4556" s="52" t="s">
        <v>95</v>
      </c>
      <c r="B4556" s="90" t="s">
        <v>10091</v>
      </c>
    </row>
    <row r="4557" spans="1:2" x14ac:dyDescent="0.25">
      <c r="A4557" s="52" t="s">
        <v>95</v>
      </c>
      <c r="B4557" s="90" t="s">
        <v>10092</v>
      </c>
    </row>
    <row r="4558" spans="1:2" x14ac:dyDescent="0.25">
      <c r="A4558" s="52" t="s">
        <v>95</v>
      </c>
      <c r="B4558" s="90" t="s">
        <v>10093</v>
      </c>
    </row>
    <row r="4559" spans="1:2" x14ac:dyDescent="0.25">
      <c r="A4559" s="52" t="s">
        <v>95</v>
      </c>
      <c r="B4559" s="90" t="s">
        <v>10094</v>
      </c>
    </row>
    <row r="4560" spans="1:2" x14ac:dyDescent="0.25">
      <c r="A4560" s="52" t="s">
        <v>95</v>
      </c>
      <c r="B4560" s="90" t="s">
        <v>10095</v>
      </c>
    </row>
    <row r="4561" spans="1:2" x14ac:dyDescent="0.25">
      <c r="A4561" s="52" t="s">
        <v>95</v>
      </c>
      <c r="B4561" s="90" t="s">
        <v>10096</v>
      </c>
    </row>
    <row r="4562" spans="1:2" x14ac:dyDescent="0.25">
      <c r="A4562" s="52" t="s">
        <v>95</v>
      </c>
      <c r="B4562" s="90" t="s">
        <v>10097</v>
      </c>
    </row>
    <row r="4563" spans="1:2" x14ac:dyDescent="0.25">
      <c r="A4563" s="52" t="s">
        <v>95</v>
      </c>
      <c r="B4563" s="90" t="s">
        <v>10098</v>
      </c>
    </row>
    <row r="4564" spans="1:2" x14ac:dyDescent="0.25">
      <c r="A4564" s="52" t="s">
        <v>95</v>
      </c>
      <c r="B4564" s="90" t="s">
        <v>10099</v>
      </c>
    </row>
    <row r="4565" spans="1:2" x14ac:dyDescent="0.25">
      <c r="A4565" s="52" t="s">
        <v>95</v>
      </c>
      <c r="B4565" s="90" t="s">
        <v>10100</v>
      </c>
    </row>
    <row r="4566" spans="1:2" x14ac:dyDescent="0.25">
      <c r="A4566" s="52" t="s">
        <v>95</v>
      </c>
      <c r="B4566" s="90" t="s">
        <v>10101</v>
      </c>
    </row>
    <row r="4567" spans="1:2" x14ac:dyDescent="0.25">
      <c r="A4567" s="52" t="s">
        <v>95</v>
      </c>
      <c r="B4567" s="90" t="s">
        <v>10102</v>
      </c>
    </row>
    <row r="4568" spans="1:2" x14ac:dyDescent="0.25">
      <c r="A4568" s="52" t="s">
        <v>95</v>
      </c>
      <c r="B4568" s="90" t="s">
        <v>10103</v>
      </c>
    </row>
    <row r="4569" spans="1:2" x14ac:dyDescent="0.25">
      <c r="A4569" s="52" t="s">
        <v>95</v>
      </c>
      <c r="B4569" s="90" t="s">
        <v>10104</v>
      </c>
    </row>
    <row r="4570" spans="1:2" x14ac:dyDescent="0.25">
      <c r="A4570" s="52" t="s">
        <v>95</v>
      </c>
      <c r="B4570" s="90" t="s">
        <v>10105</v>
      </c>
    </row>
    <row r="4571" spans="1:2" x14ac:dyDescent="0.25">
      <c r="A4571" s="52" t="s">
        <v>95</v>
      </c>
      <c r="B4571" s="90" t="s">
        <v>10106</v>
      </c>
    </row>
    <row r="4572" spans="1:2" x14ac:dyDescent="0.25">
      <c r="A4572" s="52" t="s">
        <v>95</v>
      </c>
      <c r="B4572" s="90" t="s">
        <v>10107</v>
      </c>
    </row>
    <row r="4573" spans="1:2" x14ac:dyDescent="0.25">
      <c r="A4573" s="52" t="s">
        <v>95</v>
      </c>
      <c r="B4573" s="90" t="s">
        <v>10108</v>
      </c>
    </row>
    <row r="4574" spans="1:2" x14ac:dyDescent="0.25">
      <c r="A4574" s="52" t="s">
        <v>95</v>
      </c>
      <c r="B4574" s="90" t="s">
        <v>10109</v>
      </c>
    </row>
    <row r="4575" spans="1:2" x14ac:dyDescent="0.25">
      <c r="A4575" s="52" t="s">
        <v>95</v>
      </c>
      <c r="B4575" s="90" t="s">
        <v>10110</v>
      </c>
    </row>
    <row r="4576" spans="1:2" x14ac:dyDescent="0.25">
      <c r="A4576" s="52" t="s">
        <v>95</v>
      </c>
      <c r="B4576" s="90" t="s">
        <v>10111</v>
      </c>
    </row>
    <row r="4577" spans="1:2" x14ac:dyDescent="0.25">
      <c r="A4577" s="52" t="s">
        <v>95</v>
      </c>
      <c r="B4577" s="90" t="s">
        <v>10112</v>
      </c>
    </row>
    <row r="4578" spans="1:2" x14ac:dyDescent="0.25">
      <c r="A4578" s="52" t="s">
        <v>95</v>
      </c>
      <c r="B4578" s="90" t="s">
        <v>10113</v>
      </c>
    </row>
    <row r="4579" spans="1:2" x14ac:dyDescent="0.25">
      <c r="A4579" s="52" t="s">
        <v>95</v>
      </c>
      <c r="B4579" s="90" t="s">
        <v>10114</v>
      </c>
    </row>
    <row r="4580" spans="1:2" x14ac:dyDescent="0.25">
      <c r="A4580" s="52" t="s">
        <v>95</v>
      </c>
      <c r="B4580" s="90" t="s">
        <v>10115</v>
      </c>
    </row>
    <row r="4581" spans="1:2" x14ac:dyDescent="0.25">
      <c r="A4581" s="52" t="s">
        <v>95</v>
      </c>
      <c r="B4581" s="90" t="s">
        <v>10116</v>
      </c>
    </row>
    <row r="4582" spans="1:2" x14ac:dyDescent="0.25">
      <c r="A4582" s="52" t="s">
        <v>95</v>
      </c>
      <c r="B4582" s="90" t="s">
        <v>10117</v>
      </c>
    </row>
    <row r="4583" spans="1:2" x14ac:dyDescent="0.25">
      <c r="A4583" s="52" t="s">
        <v>95</v>
      </c>
      <c r="B4583" s="90" t="s">
        <v>10118</v>
      </c>
    </row>
    <row r="4584" spans="1:2" x14ac:dyDescent="0.25">
      <c r="A4584" s="52" t="s">
        <v>95</v>
      </c>
      <c r="B4584" s="90" t="s">
        <v>10119</v>
      </c>
    </row>
    <row r="4585" spans="1:2" x14ac:dyDescent="0.25">
      <c r="A4585" s="52" t="s">
        <v>95</v>
      </c>
      <c r="B4585" s="90" t="s">
        <v>10120</v>
      </c>
    </row>
    <row r="4586" spans="1:2" x14ac:dyDescent="0.25">
      <c r="A4586" s="52" t="s">
        <v>95</v>
      </c>
      <c r="B4586" s="90" t="s">
        <v>10121</v>
      </c>
    </row>
    <row r="4587" spans="1:2" x14ac:dyDescent="0.25">
      <c r="A4587" s="52" t="s">
        <v>95</v>
      </c>
      <c r="B4587" s="90" t="s">
        <v>10122</v>
      </c>
    </row>
    <row r="4588" spans="1:2" x14ac:dyDescent="0.25">
      <c r="A4588" s="52" t="s">
        <v>95</v>
      </c>
      <c r="B4588" s="90" t="s">
        <v>10123</v>
      </c>
    </row>
    <row r="4589" spans="1:2" x14ac:dyDescent="0.25">
      <c r="A4589" s="52" t="s">
        <v>95</v>
      </c>
      <c r="B4589" s="90" t="s">
        <v>10124</v>
      </c>
    </row>
    <row r="4590" spans="1:2" x14ac:dyDescent="0.25">
      <c r="A4590" s="52" t="s">
        <v>95</v>
      </c>
      <c r="B4590" s="90" t="s">
        <v>10125</v>
      </c>
    </row>
    <row r="4591" spans="1:2" x14ac:dyDescent="0.25">
      <c r="A4591" s="52" t="s">
        <v>95</v>
      </c>
      <c r="B4591" s="90" t="s">
        <v>10126</v>
      </c>
    </row>
    <row r="4592" spans="1:2" x14ac:dyDescent="0.25">
      <c r="A4592" s="52" t="s">
        <v>95</v>
      </c>
      <c r="B4592" s="90" t="s">
        <v>10127</v>
      </c>
    </row>
    <row r="4593" spans="1:2" x14ac:dyDescent="0.25">
      <c r="A4593" s="52" t="s">
        <v>95</v>
      </c>
      <c r="B4593" s="90" t="s">
        <v>10128</v>
      </c>
    </row>
    <row r="4594" spans="1:2" x14ac:dyDescent="0.25">
      <c r="A4594" s="52" t="s">
        <v>95</v>
      </c>
      <c r="B4594" s="90" t="s">
        <v>10129</v>
      </c>
    </row>
    <row r="4595" spans="1:2" x14ac:dyDescent="0.25">
      <c r="A4595" s="52" t="s">
        <v>95</v>
      </c>
      <c r="B4595" s="90" t="s">
        <v>10130</v>
      </c>
    </row>
    <row r="4596" spans="1:2" x14ac:dyDescent="0.25">
      <c r="A4596" s="52" t="s">
        <v>95</v>
      </c>
      <c r="B4596" s="90" t="s">
        <v>10131</v>
      </c>
    </row>
    <row r="4597" spans="1:2" x14ac:dyDescent="0.25">
      <c r="A4597" s="52" t="s">
        <v>95</v>
      </c>
      <c r="B4597" s="90" t="s">
        <v>10132</v>
      </c>
    </row>
    <row r="4598" spans="1:2" x14ac:dyDescent="0.25">
      <c r="A4598" s="52" t="s">
        <v>95</v>
      </c>
      <c r="B4598" s="90" t="s">
        <v>10133</v>
      </c>
    </row>
    <row r="4599" spans="1:2" x14ac:dyDescent="0.25">
      <c r="A4599" s="52" t="s">
        <v>95</v>
      </c>
      <c r="B4599" s="90" t="s">
        <v>10134</v>
      </c>
    </row>
    <row r="4600" spans="1:2" x14ac:dyDescent="0.25">
      <c r="A4600" s="52" t="s">
        <v>95</v>
      </c>
      <c r="B4600" s="90" t="s">
        <v>10135</v>
      </c>
    </row>
    <row r="4601" spans="1:2" x14ac:dyDescent="0.25">
      <c r="A4601" s="52" t="s">
        <v>95</v>
      </c>
      <c r="B4601" s="90" t="s">
        <v>10136</v>
      </c>
    </row>
    <row r="4602" spans="1:2" x14ac:dyDescent="0.25">
      <c r="A4602" s="52" t="s">
        <v>95</v>
      </c>
      <c r="B4602" s="90" t="s">
        <v>10137</v>
      </c>
    </row>
    <row r="4603" spans="1:2" x14ac:dyDescent="0.25">
      <c r="A4603" s="52" t="s">
        <v>95</v>
      </c>
      <c r="B4603" s="90" t="s">
        <v>10138</v>
      </c>
    </row>
    <row r="4604" spans="1:2" x14ac:dyDescent="0.25">
      <c r="A4604" s="52" t="s">
        <v>95</v>
      </c>
      <c r="B4604" s="90" t="s">
        <v>10139</v>
      </c>
    </row>
    <row r="4605" spans="1:2" x14ac:dyDescent="0.25">
      <c r="A4605" s="52" t="s">
        <v>95</v>
      </c>
      <c r="B4605" s="90" t="s">
        <v>10140</v>
      </c>
    </row>
    <row r="4606" spans="1:2" x14ac:dyDescent="0.25">
      <c r="A4606" s="52" t="s">
        <v>95</v>
      </c>
      <c r="B4606" s="90" t="s">
        <v>10141</v>
      </c>
    </row>
    <row r="4607" spans="1:2" x14ac:dyDescent="0.25">
      <c r="A4607" s="52" t="s">
        <v>95</v>
      </c>
      <c r="B4607" s="90" t="s">
        <v>10142</v>
      </c>
    </row>
    <row r="4608" spans="1:2" x14ac:dyDescent="0.25">
      <c r="A4608" s="52" t="s">
        <v>95</v>
      </c>
      <c r="B4608" s="90" t="s">
        <v>10143</v>
      </c>
    </row>
    <row r="4609" spans="1:2" x14ac:dyDescent="0.25">
      <c r="A4609" s="52" t="s">
        <v>95</v>
      </c>
      <c r="B4609" s="90" t="s">
        <v>10144</v>
      </c>
    </row>
    <row r="4610" spans="1:2" x14ac:dyDescent="0.25">
      <c r="A4610" s="52" t="s">
        <v>95</v>
      </c>
      <c r="B4610" s="90" t="s">
        <v>10145</v>
      </c>
    </row>
    <row r="4611" spans="1:2" x14ac:dyDescent="0.25">
      <c r="A4611" s="52" t="s">
        <v>95</v>
      </c>
      <c r="B4611" s="90" t="s">
        <v>10146</v>
      </c>
    </row>
    <row r="4612" spans="1:2" x14ac:dyDescent="0.25">
      <c r="A4612" s="52" t="s">
        <v>95</v>
      </c>
      <c r="B4612" s="90" t="s">
        <v>5202</v>
      </c>
    </row>
    <row r="4613" spans="1:2" x14ac:dyDescent="0.25">
      <c r="A4613" s="52" t="s">
        <v>95</v>
      </c>
      <c r="B4613" s="90" t="s">
        <v>10147</v>
      </c>
    </row>
    <row r="4614" spans="1:2" x14ac:dyDescent="0.25">
      <c r="A4614" s="52" t="s">
        <v>95</v>
      </c>
      <c r="B4614" s="90" t="s">
        <v>10148</v>
      </c>
    </row>
    <row r="4615" spans="1:2" x14ac:dyDescent="0.25">
      <c r="A4615" s="52" t="s">
        <v>95</v>
      </c>
      <c r="B4615" s="90" t="s">
        <v>10149</v>
      </c>
    </row>
    <row r="4616" spans="1:2" x14ac:dyDescent="0.25">
      <c r="A4616" s="52" t="s">
        <v>95</v>
      </c>
      <c r="B4616" s="90" t="s">
        <v>10150</v>
      </c>
    </row>
    <row r="4617" spans="1:2" x14ac:dyDescent="0.25">
      <c r="A4617" s="52" t="s">
        <v>95</v>
      </c>
      <c r="B4617" s="90" t="s">
        <v>10151</v>
      </c>
    </row>
    <row r="4618" spans="1:2" x14ac:dyDescent="0.25">
      <c r="A4618" s="52" t="s">
        <v>95</v>
      </c>
      <c r="B4618" s="90" t="s">
        <v>10152</v>
      </c>
    </row>
    <row r="4619" spans="1:2" x14ac:dyDescent="0.25">
      <c r="A4619" s="52" t="s">
        <v>95</v>
      </c>
      <c r="B4619" s="90" t="s">
        <v>10153</v>
      </c>
    </row>
    <row r="4620" spans="1:2" x14ac:dyDescent="0.25">
      <c r="A4620" s="52" t="s">
        <v>95</v>
      </c>
      <c r="B4620" s="90" t="s">
        <v>10154</v>
      </c>
    </row>
    <row r="4621" spans="1:2" x14ac:dyDescent="0.25">
      <c r="A4621" s="52" t="s">
        <v>95</v>
      </c>
      <c r="B4621" s="90" t="s">
        <v>10155</v>
      </c>
    </row>
    <row r="4622" spans="1:2" x14ac:dyDescent="0.25">
      <c r="A4622" s="52" t="s">
        <v>95</v>
      </c>
      <c r="B4622" s="90" t="s">
        <v>10156</v>
      </c>
    </row>
    <row r="4623" spans="1:2" x14ac:dyDescent="0.25">
      <c r="A4623" s="52" t="s">
        <v>95</v>
      </c>
      <c r="B4623" s="90" t="s">
        <v>10157</v>
      </c>
    </row>
    <row r="4624" spans="1:2" x14ac:dyDescent="0.25">
      <c r="A4624" s="52" t="s">
        <v>95</v>
      </c>
      <c r="B4624" s="90" t="s">
        <v>10158</v>
      </c>
    </row>
    <row r="4625" spans="1:2" x14ac:dyDescent="0.25">
      <c r="A4625" s="52" t="s">
        <v>95</v>
      </c>
      <c r="B4625" s="90" t="s">
        <v>10159</v>
      </c>
    </row>
    <row r="4626" spans="1:2" x14ac:dyDescent="0.25">
      <c r="A4626" s="52" t="s">
        <v>95</v>
      </c>
      <c r="B4626" s="90" t="s">
        <v>10160</v>
      </c>
    </row>
    <row r="4627" spans="1:2" x14ac:dyDescent="0.25">
      <c r="A4627" s="52" t="s">
        <v>95</v>
      </c>
      <c r="B4627" s="90" t="s">
        <v>10161</v>
      </c>
    </row>
    <row r="4628" spans="1:2" x14ac:dyDescent="0.25">
      <c r="A4628" s="52" t="s">
        <v>95</v>
      </c>
      <c r="B4628" s="90" t="s">
        <v>10162</v>
      </c>
    </row>
    <row r="4629" spans="1:2" x14ac:dyDescent="0.25">
      <c r="A4629" s="52" t="s">
        <v>95</v>
      </c>
      <c r="B4629" s="90" t="s">
        <v>10163</v>
      </c>
    </row>
    <row r="4630" spans="1:2" x14ac:dyDescent="0.25">
      <c r="A4630" s="52" t="s">
        <v>95</v>
      </c>
      <c r="B4630" s="90" t="s">
        <v>10164</v>
      </c>
    </row>
    <row r="4631" spans="1:2" x14ac:dyDescent="0.25">
      <c r="A4631" s="52" t="s">
        <v>95</v>
      </c>
      <c r="B4631" s="90" t="s">
        <v>10165</v>
      </c>
    </row>
    <row r="4632" spans="1:2" x14ac:dyDescent="0.25">
      <c r="A4632" s="52" t="s">
        <v>95</v>
      </c>
      <c r="B4632" s="90" t="s">
        <v>10166</v>
      </c>
    </row>
    <row r="4633" spans="1:2" x14ac:dyDescent="0.25">
      <c r="A4633" s="52" t="s">
        <v>95</v>
      </c>
      <c r="B4633" s="90" t="s">
        <v>10167</v>
      </c>
    </row>
    <row r="4634" spans="1:2" x14ac:dyDescent="0.25">
      <c r="A4634" s="52" t="s">
        <v>95</v>
      </c>
      <c r="B4634" s="90" t="s">
        <v>10168</v>
      </c>
    </row>
    <row r="4635" spans="1:2" x14ac:dyDescent="0.25">
      <c r="A4635" s="52" t="s">
        <v>95</v>
      </c>
      <c r="B4635" s="90" t="s">
        <v>10169</v>
      </c>
    </row>
    <row r="4636" spans="1:2" x14ac:dyDescent="0.25">
      <c r="A4636" s="52" t="s">
        <v>95</v>
      </c>
      <c r="B4636" s="90" t="s">
        <v>10170</v>
      </c>
    </row>
    <row r="4637" spans="1:2" x14ac:dyDescent="0.25">
      <c r="A4637" s="52" t="s">
        <v>95</v>
      </c>
      <c r="B4637" s="90" t="s">
        <v>10171</v>
      </c>
    </row>
    <row r="4638" spans="1:2" x14ac:dyDescent="0.25">
      <c r="A4638" s="52" t="s">
        <v>95</v>
      </c>
      <c r="B4638" s="90" t="s">
        <v>10172</v>
      </c>
    </row>
    <row r="4639" spans="1:2" x14ac:dyDescent="0.25">
      <c r="A4639" s="52" t="s">
        <v>95</v>
      </c>
      <c r="B4639" s="90" t="s">
        <v>10173</v>
      </c>
    </row>
    <row r="4640" spans="1:2" x14ac:dyDescent="0.25">
      <c r="A4640" s="52" t="s">
        <v>95</v>
      </c>
      <c r="B4640" s="90" t="s">
        <v>10174</v>
      </c>
    </row>
    <row r="4641" spans="1:2" x14ac:dyDescent="0.25">
      <c r="A4641" s="52" t="s">
        <v>95</v>
      </c>
      <c r="B4641" s="90" t="s">
        <v>10175</v>
      </c>
    </row>
    <row r="4642" spans="1:2" x14ac:dyDescent="0.25">
      <c r="A4642" s="52" t="s">
        <v>95</v>
      </c>
      <c r="B4642" s="90" t="s">
        <v>10176</v>
      </c>
    </row>
    <row r="4643" spans="1:2" x14ac:dyDescent="0.25">
      <c r="A4643" s="52" t="s">
        <v>95</v>
      </c>
      <c r="B4643" s="90" t="s">
        <v>10177</v>
      </c>
    </row>
    <row r="4644" spans="1:2" x14ac:dyDescent="0.25">
      <c r="A4644" s="52" t="s">
        <v>95</v>
      </c>
      <c r="B4644" s="90" t="s">
        <v>10178</v>
      </c>
    </row>
    <row r="4645" spans="1:2" x14ac:dyDescent="0.25">
      <c r="A4645" s="52" t="s">
        <v>95</v>
      </c>
      <c r="B4645" s="90" t="s">
        <v>10179</v>
      </c>
    </row>
    <row r="4646" spans="1:2" x14ac:dyDescent="0.25">
      <c r="A4646" s="52" t="s">
        <v>95</v>
      </c>
      <c r="B4646" s="90" t="s">
        <v>10180</v>
      </c>
    </row>
    <row r="4647" spans="1:2" x14ac:dyDescent="0.25">
      <c r="A4647" s="52" t="s">
        <v>95</v>
      </c>
      <c r="B4647" s="90" t="s">
        <v>10181</v>
      </c>
    </row>
    <row r="4648" spans="1:2" x14ac:dyDescent="0.25">
      <c r="A4648" s="52" t="s">
        <v>95</v>
      </c>
      <c r="B4648" s="90" t="s">
        <v>10182</v>
      </c>
    </row>
    <row r="4649" spans="1:2" x14ac:dyDescent="0.25">
      <c r="A4649" s="52" t="s">
        <v>95</v>
      </c>
      <c r="B4649" s="90" t="s">
        <v>10183</v>
      </c>
    </row>
    <row r="4650" spans="1:2" x14ac:dyDescent="0.25">
      <c r="A4650" s="52" t="s">
        <v>95</v>
      </c>
      <c r="B4650" s="90" t="s">
        <v>10184</v>
      </c>
    </row>
    <row r="4651" spans="1:2" x14ac:dyDescent="0.25">
      <c r="A4651" s="52" t="s">
        <v>95</v>
      </c>
      <c r="B4651" s="90" t="s">
        <v>10185</v>
      </c>
    </row>
    <row r="4652" spans="1:2" x14ac:dyDescent="0.25">
      <c r="A4652" s="52" t="s">
        <v>95</v>
      </c>
      <c r="B4652" s="90" t="s">
        <v>10186</v>
      </c>
    </row>
    <row r="4653" spans="1:2" x14ac:dyDescent="0.25">
      <c r="A4653" s="52" t="s">
        <v>95</v>
      </c>
      <c r="B4653" s="90" t="s">
        <v>10187</v>
      </c>
    </row>
    <row r="4654" spans="1:2" x14ac:dyDescent="0.25">
      <c r="A4654" s="52" t="s">
        <v>95</v>
      </c>
      <c r="B4654" s="90" t="s">
        <v>10188</v>
      </c>
    </row>
    <row r="4655" spans="1:2" x14ac:dyDescent="0.25">
      <c r="A4655" s="52" t="s">
        <v>95</v>
      </c>
      <c r="B4655" s="90" t="s">
        <v>10189</v>
      </c>
    </row>
    <row r="4656" spans="1:2" x14ac:dyDescent="0.25">
      <c r="A4656" s="52" t="s">
        <v>95</v>
      </c>
      <c r="B4656" s="90" t="s">
        <v>10190</v>
      </c>
    </row>
    <row r="4657" spans="1:2" x14ac:dyDescent="0.25">
      <c r="A4657" s="52" t="s">
        <v>95</v>
      </c>
      <c r="B4657" s="90" t="s">
        <v>10191</v>
      </c>
    </row>
    <row r="4658" spans="1:2" x14ac:dyDescent="0.25">
      <c r="A4658" s="52" t="s">
        <v>95</v>
      </c>
      <c r="B4658" s="90" t="s">
        <v>10191</v>
      </c>
    </row>
    <row r="4659" spans="1:2" x14ac:dyDescent="0.25">
      <c r="A4659" s="52" t="s">
        <v>95</v>
      </c>
      <c r="B4659" s="90" t="s">
        <v>10192</v>
      </c>
    </row>
    <row r="4660" spans="1:2" x14ac:dyDescent="0.25">
      <c r="A4660" s="52" t="s">
        <v>95</v>
      </c>
      <c r="B4660" s="90" t="s">
        <v>10193</v>
      </c>
    </row>
    <row r="4661" spans="1:2" x14ac:dyDescent="0.25">
      <c r="A4661" s="52" t="s">
        <v>95</v>
      </c>
      <c r="B4661" s="90" t="s">
        <v>10194</v>
      </c>
    </row>
    <row r="4662" spans="1:2" x14ac:dyDescent="0.25">
      <c r="A4662" s="52" t="s">
        <v>95</v>
      </c>
      <c r="B4662" s="90" t="s">
        <v>10195</v>
      </c>
    </row>
    <row r="4663" spans="1:2" x14ac:dyDescent="0.25">
      <c r="A4663" s="52" t="s">
        <v>95</v>
      </c>
      <c r="B4663" s="90" t="s">
        <v>10196</v>
      </c>
    </row>
    <row r="4664" spans="1:2" x14ac:dyDescent="0.25">
      <c r="A4664" s="52" t="s">
        <v>95</v>
      </c>
      <c r="B4664" s="90" t="s">
        <v>10197</v>
      </c>
    </row>
    <row r="4665" spans="1:2" x14ac:dyDescent="0.25">
      <c r="A4665" s="52" t="s">
        <v>95</v>
      </c>
      <c r="B4665" s="90" t="s">
        <v>10198</v>
      </c>
    </row>
    <row r="4666" spans="1:2" x14ac:dyDescent="0.25">
      <c r="A4666" s="52" t="s">
        <v>95</v>
      </c>
      <c r="B4666" s="90" t="s">
        <v>10199</v>
      </c>
    </row>
    <row r="4667" spans="1:2" x14ac:dyDescent="0.25">
      <c r="A4667" s="52" t="s">
        <v>95</v>
      </c>
      <c r="B4667" s="90" t="s">
        <v>10200</v>
      </c>
    </row>
    <row r="4668" spans="1:2" x14ac:dyDescent="0.25">
      <c r="A4668" s="52" t="s">
        <v>95</v>
      </c>
      <c r="B4668" s="90" t="s">
        <v>10201</v>
      </c>
    </row>
    <row r="4669" spans="1:2" x14ac:dyDescent="0.25">
      <c r="A4669" s="52" t="s">
        <v>95</v>
      </c>
      <c r="B4669" s="90" t="s">
        <v>10202</v>
      </c>
    </row>
    <row r="4670" spans="1:2" x14ac:dyDescent="0.25">
      <c r="A4670" s="52" t="s">
        <v>95</v>
      </c>
      <c r="B4670" s="90" t="s">
        <v>10203</v>
      </c>
    </row>
    <row r="4671" spans="1:2" x14ac:dyDescent="0.25">
      <c r="A4671" s="52" t="s">
        <v>95</v>
      </c>
      <c r="B4671" s="90" t="s">
        <v>10204</v>
      </c>
    </row>
    <row r="4672" spans="1:2" x14ac:dyDescent="0.25">
      <c r="A4672" s="52" t="s">
        <v>95</v>
      </c>
      <c r="B4672" s="90" t="s">
        <v>10205</v>
      </c>
    </row>
    <row r="4673" spans="1:2" x14ac:dyDescent="0.25">
      <c r="A4673" s="52" t="s">
        <v>95</v>
      </c>
      <c r="B4673" s="90" t="s">
        <v>10206</v>
      </c>
    </row>
    <row r="4674" spans="1:2" x14ac:dyDescent="0.25">
      <c r="A4674" s="52" t="s">
        <v>95</v>
      </c>
      <c r="B4674" s="90" t="s">
        <v>10207</v>
      </c>
    </row>
    <row r="4675" spans="1:2" x14ac:dyDescent="0.25">
      <c r="A4675" s="52" t="s">
        <v>95</v>
      </c>
      <c r="B4675" s="90" t="s">
        <v>10208</v>
      </c>
    </row>
    <row r="4676" spans="1:2" x14ac:dyDescent="0.25">
      <c r="A4676" s="52" t="s">
        <v>95</v>
      </c>
      <c r="B4676" s="90" t="s">
        <v>5798</v>
      </c>
    </row>
    <row r="4677" spans="1:2" x14ac:dyDescent="0.25">
      <c r="A4677" s="52" t="s">
        <v>95</v>
      </c>
      <c r="B4677" s="90" t="s">
        <v>10209</v>
      </c>
    </row>
    <row r="4678" spans="1:2" x14ac:dyDescent="0.25">
      <c r="A4678" s="52" t="s">
        <v>95</v>
      </c>
      <c r="B4678" s="90" t="s">
        <v>10210</v>
      </c>
    </row>
    <row r="4679" spans="1:2" x14ac:dyDescent="0.25">
      <c r="A4679" s="52" t="s">
        <v>95</v>
      </c>
      <c r="B4679" s="90" t="s">
        <v>10211</v>
      </c>
    </row>
    <row r="4680" spans="1:2" x14ac:dyDescent="0.25">
      <c r="A4680" s="52" t="s">
        <v>95</v>
      </c>
      <c r="B4680" s="90" t="s">
        <v>10212</v>
      </c>
    </row>
    <row r="4681" spans="1:2" x14ac:dyDescent="0.25">
      <c r="A4681" s="52" t="s">
        <v>95</v>
      </c>
      <c r="B4681" s="90" t="s">
        <v>10213</v>
      </c>
    </row>
    <row r="4682" spans="1:2" x14ac:dyDescent="0.25">
      <c r="A4682" s="52" t="s">
        <v>95</v>
      </c>
      <c r="B4682" s="90" t="s">
        <v>10214</v>
      </c>
    </row>
    <row r="4683" spans="1:2" x14ac:dyDescent="0.25">
      <c r="A4683" s="52" t="s">
        <v>95</v>
      </c>
      <c r="B4683" s="90" t="s">
        <v>10215</v>
      </c>
    </row>
    <row r="4684" spans="1:2" x14ac:dyDescent="0.25">
      <c r="A4684" s="52" t="s">
        <v>95</v>
      </c>
      <c r="B4684" s="90" t="s">
        <v>10216</v>
      </c>
    </row>
    <row r="4685" spans="1:2" x14ac:dyDescent="0.25">
      <c r="A4685" s="52" t="s">
        <v>95</v>
      </c>
      <c r="B4685" s="90" t="s">
        <v>10217</v>
      </c>
    </row>
    <row r="4686" spans="1:2" x14ac:dyDescent="0.25">
      <c r="A4686" s="52" t="s">
        <v>95</v>
      </c>
      <c r="B4686" s="90" t="s">
        <v>10217</v>
      </c>
    </row>
    <row r="4687" spans="1:2" x14ac:dyDescent="0.25">
      <c r="A4687" s="52" t="s">
        <v>95</v>
      </c>
      <c r="B4687" s="90" t="s">
        <v>10218</v>
      </c>
    </row>
    <row r="4688" spans="1:2" x14ac:dyDescent="0.25">
      <c r="A4688" s="52" t="s">
        <v>95</v>
      </c>
      <c r="B4688" s="90" t="s">
        <v>10219</v>
      </c>
    </row>
    <row r="4689" spans="1:2" x14ac:dyDescent="0.25">
      <c r="A4689" s="52" t="s">
        <v>95</v>
      </c>
      <c r="B4689" s="90" t="s">
        <v>10220</v>
      </c>
    </row>
    <row r="4690" spans="1:2" x14ac:dyDescent="0.25">
      <c r="A4690" s="52" t="s">
        <v>95</v>
      </c>
      <c r="B4690" s="90" t="s">
        <v>10221</v>
      </c>
    </row>
    <row r="4691" spans="1:2" x14ac:dyDescent="0.25">
      <c r="A4691" s="52" t="s">
        <v>95</v>
      </c>
      <c r="B4691" s="90" t="s">
        <v>10222</v>
      </c>
    </row>
    <row r="4692" spans="1:2" x14ac:dyDescent="0.25">
      <c r="A4692" s="52" t="s">
        <v>95</v>
      </c>
      <c r="B4692" s="90" t="s">
        <v>10223</v>
      </c>
    </row>
    <row r="4693" spans="1:2" x14ac:dyDescent="0.25">
      <c r="A4693" s="52" t="s">
        <v>95</v>
      </c>
      <c r="B4693" s="90" t="s">
        <v>10224</v>
      </c>
    </row>
    <row r="4694" spans="1:2" x14ac:dyDescent="0.25">
      <c r="A4694" s="52" t="s">
        <v>95</v>
      </c>
      <c r="B4694" s="90" t="s">
        <v>10225</v>
      </c>
    </row>
    <row r="4695" spans="1:2" x14ac:dyDescent="0.25">
      <c r="A4695" s="52" t="s">
        <v>95</v>
      </c>
      <c r="B4695" s="90" t="s">
        <v>10226</v>
      </c>
    </row>
    <row r="4696" spans="1:2" x14ac:dyDescent="0.25">
      <c r="A4696" s="52" t="s">
        <v>95</v>
      </c>
      <c r="B4696" s="90" t="s">
        <v>10227</v>
      </c>
    </row>
    <row r="4697" spans="1:2" x14ac:dyDescent="0.25">
      <c r="A4697" s="52" t="s">
        <v>95</v>
      </c>
      <c r="B4697" s="90" t="s">
        <v>10228</v>
      </c>
    </row>
    <row r="4698" spans="1:2" x14ac:dyDescent="0.25">
      <c r="A4698" s="52" t="s">
        <v>95</v>
      </c>
      <c r="B4698" s="90" t="s">
        <v>10229</v>
      </c>
    </row>
    <row r="4699" spans="1:2" x14ac:dyDescent="0.25">
      <c r="A4699" s="52" t="s">
        <v>95</v>
      </c>
      <c r="B4699" s="90" t="s">
        <v>10230</v>
      </c>
    </row>
    <row r="4700" spans="1:2" x14ac:dyDescent="0.25">
      <c r="A4700" s="52" t="s">
        <v>95</v>
      </c>
      <c r="B4700" s="90" t="s">
        <v>10231</v>
      </c>
    </row>
    <row r="4701" spans="1:2" x14ac:dyDescent="0.25">
      <c r="A4701" s="52" t="s">
        <v>95</v>
      </c>
      <c r="B4701" s="90" t="s">
        <v>10232</v>
      </c>
    </row>
    <row r="4702" spans="1:2" x14ac:dyDescent="0.25">
      <c r="A4702" s="52" t="s">
        <v>95</v>
      </c>
      <c r="B4702" s="90" t="s">
        <v>10233</v>
      </c>
    </row>
    <row r="4703" spans="1:2" x14ac:dyDescent="0.25">
      <c r="A4703" s="52" t="s">
        <v>95</v>
      </c>
      <c r="B4703" s="90" t="s">
        <v>10234</v>
      </c>
    </row>
    <row r="4704" spans="1:2" x14ac:dyDescent="0.25">
      <c r="A4704" s="52" t="s">
        <v>95</v>
      </c>
      <c r="B4704" s="90" t="s">
        <v>10235</v>
      </c>
    </row>
    <row r="4705" spans="1:2" x14ac:dyDescent="0.25">
      <c r="A4705" s="52" t="s">
        <v>95</v>
      </c>
      <c r="B4705" s="90" t="s">
        <v>10236</v>
      </c>
    </row>
    <row r="4706" spans="1:2" x14ac:dyDescent="0.25">
      <c r="A4706" s="52" t="s">
        <v>95</v>
      </c>
      <c r="B4706" s="90" t="s">
        <v>10237</v>
      </c>
    </row>
    <row r="4707" spans="1:2" x14ac:dyDescent="0.25">
      <c r="A4707" s="52" t="s">
        <v>95</v>
      </c>
      <c r="B4707" s="90" t="s">
        <v>10238</v>
      </c>
    </row>
    <row r="4708" spans="1:2" x14ac:dyDescent="0.25">
      <c r="A4708" s="52" t="s">
        <v>95</v>
      </c>
      <c r="B4708" s="90" t="s">
        <v>10239</v>
      </c>
    </row>
    <row r="4709" spans="1:2" x14ac:dyDescent="0.25">
      <c r="A4709" s="52" t="s">
        <v>95</v>
      </c>
      <c r="B4709" s="90" t="s">
        <v>10240</v>
      </c>
    </row>
    <row r="4710" spans="1:2" x14ac:dyDescent="0.25">
      <c r="A4710" s="52" t="s">
        <v>95</v>
      </c>
      <c r="B4710" s="90" t="s">
        <v>10241</v>
      </c>
    </row>
    <row r="4711" spans="1:2" x14ac:dyDescent="0.25">
      <c r="A4711" s="52" t="s">
        <v>95</v>
      </c>
      <c r="B4711" s="90" t="s">
        <v>10242</v>
      </c>
    </row>
    <row r="4712" spans="1:2" x14ac:dyDescent="0.25">
      <c r="A4712" s="52" t="s">
        <v>95</v>
      </c>
      <c r="B4712" s="90" t="s">
        <v>10243</v>
      </c>
    </row>
    <row r="4713" spans="1:2" x14ac:dyDescent="0.25">
      <c r="A4713" s="52" t="s">
        <v>95</v>
      </c>
      <c r="B4713" s="90" t="s">
        <v>10244</v>
      </c>
    </row>
    <row r="4714" spans="1:2" x14ac:dyDescent="0.25">
      <c r="A4714" s="52" t="s">
        <v>95</v>
      </c>
      <c r="B4714" s="90" t="s">
        <v>10245</v>
      </c>
    </row>
    <row r="4715" spans="1:2" x14ac:dyDescent="0.25">
      <c r="A4715" s="52" t="s">
        <v>95</v>
      </c>
      <c r="B4715" s="90" t="s">
        <v>10246</v>
      </c>
    </row>
    <row r="4716" spans="1:2" x14ac:dyDescent="0.25">
      <c r="A4716" s="52" t="s">
        <v>95</v>
      </c>
      <c r="B4716" s="90" t="s">
        <v>10247</v>
      </c>
    </row>
    <row r="4717" spans="1:2" x14ac:dyDescent="0.25">
      <c r="A4717" s="52" t="s">
        <v>95</v>
      </c>
      <c r="B4717" s="90" t="s">
        <v>10248</v>
      </c>
    </row>
    <row r="4718" spans="1:2" x14ac:dyDescent="0.25">
      <c r="A4718" s="52" t="s">
        <v>95</v>
      </c>
      <c r="B4718" s="90" t="s">
        <v>10249</v>
      </c>
    </row>
    <row r="4719" spans="1:2" x14ac:dyDescent="0.25">
      <c r="A4719" s="52" t="s">
        <v>95</v>
      </c>
      <c r="B4719" s="90" t="s">
        <v>10250</v>
      </c>
    </row>
    <row r="4720" spans="1:2" x14ac:dyDescent="0.25">
      <c r="A4720" s="52" t="s">
        <v>95</v>
      </c>
      <c r="B4720" s="90" t="s">
        <v>10251</v>
      </c>
    </row>
    <row r="4721" spans="1:2" x14ac:dyDescent="0.25">
      <c r="A4721" s="52" t="s">
        <v>95</v>
      </c>
      <c r="B4721" s="90" t="s">
        <v>10252</v>
      </c>
    </row>
    <row r="4722" spans="1:2" x14ac:dyDescent="0.25">
      <c r="A4722" s="52" t="s">
        <v>95</v>
      </c>
      <c r="B4722" s="90" t="s">
        <v>10253</v>
      </c>
    </row>
    <row r="4723" spans="1:2" x14ac:dyDescent="0.25">
      <c r="A4723" s="52" t="s">
        <v>95</v>
      </c>
      <c r="B4723" s="90" t="s">
        <v>10254</v>
      </c>
    </row>
    <row r="4724" spans="1:2" x14ac:dyDescent="0.25">
      <c r="A4724" s="52" t="s">
        <v>95</v>
      </c>
      <c r="B4724" s="90" t="s">
        <v>10255</v>
      </c>
    </row>
    <row r="4725" spans="1:2" x14ac:dyDescent="0.25">
      <c r="A4725" s="52" t="s">
        <v>95</v>
      </c>
      <c r="B4725" s="90" t="s">
        <v>10256</v>
      </c>
    </row>
    <row r="4726" spans="1:2" x14ac:dyDescent="0.25">
      <c r="A4726" s="52" t="s">
        <v>95</v>
      </c>
      <c r="B4726" s="90" t="s">
        <v>10257</v>
      </c>
    </row>
    <row r="4727" spans="1:2" x14ac:dyDescent="0.25">
      <c r="A4727" s="52" t="s">
        <v>95</v>
      </c>
      <c r="B4727" s="90" t="s">
        <v>10258</v>
      </c>
    </row>
    <row r="4728" spans="1:2" x14ac:dyDescent="0.25">
      <c r="A4728" s="52" t="s">
        <v>95</v>
      </c>
      <c r="B4728" s="90" t="s">
        <v>10259</v>
      </c>
    </row>
    <row r="4729" spans="1:2" x14ac:dyDescent="0.25">
      <c r="A4729" s="52" t="s">
        <v>95</v>
      </c>
      <c r="B4729" s="90" t="s">
        <v>10260</v>
      </c>
    </row>
    <row r="4730" spans="1:2" x14ac:dyDescent="0.25">
      <c r="A4730" s="52" t="s">
        <v>95</v>
      </c>
      <c r="B4730" s="90" t="s">
        <v>10261</v>
      </c>
    </row>
    <row r="4731" spans="1:2" x14ac:dyDescent="0.25">
      <c r="A4731" s="52" t="s">
        <v>95</v>
      </c>
      <c r="B4731" s="90" t="s">
        <v>10262</v>
      </c>
    </row>
    <row r="4732" spans="1:2" x14ac:dyDescent="0.25">
      <c r="A4732" s="52" t="s">
        <v>95</v>
      </c>
      <c r="B4732" s="90" t="s">
        <v>10263</v>
      </c>
    </row>
    <row r="4733" spans="1:2" x14ac:dyDescent="0.25">
      <c r="A4733" s="52" t="s">
        <v>95</v>
      </c>
      <c r="B4733" s="90" t="s">
        <v>10264</v>
      </c>
    </row>
    <row r="4734" spans="1:2" x14ac:dyDescent="0.25">
      <c r="A4734" s="52" t="s">
        <v>95</v>
      </c>
      <c r="B4734" s="90" t="s">
        <v>10265</v>
      </c>
    </row>
    <row r="4735" spans="1:2" x14ac:dyDescent="0.25">
      <c r="A4735" s="52" t="s">
        <v>95</v>
      </c>
      <c r="B4735" s="90" t="s">
        <v>10266</v>
      </c>
    </row>
    <row r="4736" spans="1:2" x14ac:dyDescent="0.25">
      <c r="A4736" s="52" t="s">
        <v>95</v>
      </c>
      <c r="B4736" s="90" t="s">
        <v>10267</v>
      </c>
    </row>
    <row r="4737" spans="1:2" x14ac:dyDescent="0.25">
      <c r="A4737" s="52" t="s">
        <v>95</v>
      </c>
      <c r="B4737" s="90" t="s">
        <v>10268</v>
      </c>
    </row>
    <row r="4738" spans="1:2" x14ac:dyDescent="0.25">
      <c r="A4738" s="52" t="s">
        <v>95</v>
      </c>
      <c r="B4738" s="90" t="s">
        <v>10269</v>
      </c>
    </row>
    <row r="4739" spans="1:2" x14ac:dyDescent="0.25">
      <c r="A4739" s="52" t="s">
        <v>95</v>
      </c>
      <c r="B4739" s="90" t="s">
        <v>10270</v>
      </c>
    </row>
    <row r="4740" spans="1:2" x14ac:dyDescent="0.25">
      <c r="A4740" s="52" t="s">
        <v>95</v>
      </c>
      <c r="B4740" s="90" t="s">
        <v>10271</v>
      </c>
    </row>
    <row r="4741" spans="1:2" x14ac:dyDescent="0.25">
      <c r="A4741" s="52" t="s">
        <v>95</v>
      </c>
      <c r="B4741" s="90" t="s">
        <v>10272</v>
      </c>
    </row>
    <row r="4742" spans="1:2" x14ac:dyDescent="0.25">
      <c r="A4742" s="52" t="s">
        <v>95</v>
      </c>
      <c r="B4742" s="90" t="s">
        <v>10273</v>
      </c>
    </row>
    <row r="4743" spans="1:2" x14ac:dyDescent="0.25">
      <c r="A4743" s="52" t="s">
        <v>95</v>
      </c>
      <c r="B4743" s="90" t="s">
        <v>10274</v>
      </c>
    </row>
    <row r="4744" spans="1:2" x14ac:dyDescent="0.25">
      <c r="A4744" s="52" t="s">
        <v>95</v>
      </c>
      <c r="B4744" s="90" t="s">
        <v>10275</v>
      </c>
    </row>
    <row r="4745" spans="1:2" x14ac:dyDescent="0.25">
      <c r="A4745" s="52" t="s">
        <v>95</v>
      </c>
      <c r="B4745" s="90" t="s">
        <v>10276</v>
      </c>
    </row>
    <row r="4746" spans="1:2" x14ac:dyDescent="0.25">
      <c r="A4746" s="52" t="s">
        <v>95</v>
      </c>
      <c r="B4746" s="90" t="s">
        <v>10277</v>
      </c>
    </row>
    <row r="4747" spans="1:2" x14ac:dyDescent="0.25">
      <c r="A4747" s="52" t="s">
        <v>95</v>
      </c>
      <c r="B4747" s="90" t="s">
        <v>10278</v>
      </c>
    </row>
    <row r="4748" spans="1:2" x14ac:dyDescent="0.25">
      <c r="A4748" s="52" t="s">
        <v>95</v>
      </c>
      <c r="B4748" s="90" t="s">
        <v>10279</v>
      </c>
    </row>
    <row r="4749" spans="1:2" x14ac:dyDescent="0.25">
      <c r="A4749" s="52" t="s">
        <v>95</v>
      </c>
      <c r="B4749" s="90" t="s">
        <v>10280</v>
      </c>
    </row>
    <row r="4750" spans="1:2" x14ac:dyDescent="0.25">
      <c r="A4750" s="52" t="s">
        <v>95</v>
      </c>
      <c r="B4750" s="90" t="s">
        <v>10281</v>
      </c>
    </row>
    <row r="4751" spans="1:2" x14ac:dyDescent="0.25">
      <c r="A4751" s="52" t="s">
        <v>95</v>
      </c>
      <c r="B4751" s="90" t="s">
        <v>10282</v>
      </c>
    </row>
    <row r="4752" spans="1:2" x14ac:dyDescent="0.25">
      <c r="A4752" s="52" t="s">
        <v>95</v>
      </c>
      <c r="B4752" s="90" t="s">
        <v>10283</v>
      </c>
    </row>
    <row r="4753" spans="1:2" x14ac:dyDescent="0.25">
      <c r="A4753" s="52" t="s">
        <v>95</v>
      </c>
      <c r="B4753" s="90" t="s">
        <v>10284</v>
      </c>
    </row>
    <row r="4754" spans="1:2" x14ac:dyDescent="0.25">
      <c r="A4754" s="52" t="s">
        <v>95</v>
      </c>
      <c r="B4754" s="90" t="s">
        <v>10285</v>
      </c>
    </row>
    <row r="4755" spans="1:2" x14ac:dyDescent="0.25">
      <c r="A4755" s="52" t="s">
        <v>95</v>
      </c>
      <c r="B4755" s="90" t="s">
        <v>10286</v>
      </c>
    </row>
    <row r="4756" spans="1:2" x14ac:dyDescent="0.25">
      <c r="A4756" s="52" t="s">
        <v>95</v>
      </c>
      <c r="B4756" s="90" t="s">
        <v>10287</v>
      </c>
    </row>
    <row r="4757" spans="1:2" x14ac:dyDescent="0.25">
      <c r="A4757" s="52" t="s">
        <v>95</v>
      </c>
      <c r="B4757" s="90" t="s">
        <v>10288</v>
      </c>
    </row>
    <row r="4758" spans="1:2" x14ac:dyDescent="0.25">
      <c r="A4758" s="52" t="s">
        <v>95</v>
      </c>
      <c r="B4758" s="90" t="s">
        <v>10289</v>
      </c>
    </row>
    <row r="4759" spans="1:2" x14ac:dyDescent="0.25">
      <c r="A4759" s="52" t="s">
        <v>95</v>
      </c>
      <c r="B4759" s="90" t="s">
        <v>10290</v>
      </c>
    </row>
    <row r="4760" spans="1:2" x14ac:dyDescent="0.25">
      <c r="A4760" s="52" t="s">
        <v>95</v>
      </c>
      <c r="B4760" s="90" t="s">
        <v>10291</v>
      </c>
    </row>
    <row r="4761" spans="1:2" x14ac:dyDescent="0.25">
      <c r="A4761" s="52" t="s">
        <v>95</v>
      </c>
      <c r="B4761" s="90" t="s">
        <v>10292</v>
      </c>
    </row>
    <row r="4762" spans="1:2" x14ac:dyDescent="0.25">
      <c r="A4762" s="52" t="s">
        <v>95</v>
      </c>
      <c r="B4762" s="90" t="s">
        <v>10293</v>
      </c>
    </row>
    <row r="4763" spans="1:2" x14ac:dyDescent="0.25">
      <c r="A4763" s="52" t="s">
        <v>95</v>
      </c>
      <c r="B4763" s="90" t="s">
        <v>10294</v>
      </c>
    </row>
    <row r="4764" spans="1:2" x14ac:dyDescent="0.25">
      <c r="A4764" s="52" t="s">
        <v>95</v>
      </c>
      <c r="B4764" s="90" t="s">
        <v>10295</v>
      </c>
    </row>
    <row r="4765" spans="1:2" x14ac:dyDescent="0.25">
      <c r="A4765" s="52" t="s">
        <v>95</v>
      </c>
      <c r="B4765" s="90" t="s">
        <v>10296</v>
      </c>
    </row>
    <row r="4766" spans="1:2" x14ac:dyDescent="0.25">
      <c r="A4766" s="52" t="s">
        <v>95</v>
      </c>
      <c r="B4766" s="90" t="s">
        <v>10297</v>
      </c>
    </row>
    <row r="4767" spans="1:2" x14ac:dyDescent="0.25">
      <c r="A4767" s="52" t="s">
        <v>95</v>
      </c>
      <c r="B4767" s="90" t="s">
        <v>10298</v>
      </c>
    </row>
    <row r="4768" spans="1:2" x14ac:dyDescent="0.25">
      <c r="A4768" s="52" t="s">
        <v>95</v>
      </c>
      <c r="B4768" s="90" t="s">
        <v>10299</v>
      </c>
    </row>
    <row r="4769" spans="1:2" x14ac:dyDescent="0.25">
      <c r="A4769" s="52" t="s">
        <v>95</v>
      </c>
      <c r="B4769" s="90" t="s">
        <v>10300</v>
      </c>
    </row>
    <row r="4770" spans="1:2" x14ac:dyDescent="0.25">
      <c r="A4770" s="52" t="s">
        <v>95</v>
      </c>
      <c r="B4770" s="90" t="s">
        <v>10301</v>
      </c>
    </row>
    <row r="4771" spans="1:2" x14ac:dyDescent="0.25">
      <c r="A4771" s="52" t="s">
        <v>95</v>
      </c>
      <c r="B4771" s="90" t="s">
        <v>10302</v>
      </c>
    </row>
    <row r="4772" spans="1:2" x14ac:dyDescent="0.25">
      <c r="A4772" s="52" t="s">
        <v>95</v>
      </c>
      <c r="B4772" s="90" t="s">
        <v>10303</v>
      </c>
    </row>
    <row r="4773" spans="1:2" x14ac:dyDescent="0.25">
      <c r="A4773" s="52" t="s">
        <v>95</v>
      </c>
      <c r="B4773" s="90" t="s">
        <v>10304</v>
      </c>
    </row>
    <row r="4774" spans="1:2" x14ac:dyDescent="0.25">
      <c r="A4774" s="52" t="s">
        <v>95</v>
      </c>
      <c r="B4774" s="90" t="s">
        <v>10305</v>
      </c>
    </row>
    <row r="4775" spans="1:2" x14ac:dyDescent="0.25">
      <c r="A4775" s="52" t="s">
        <v>95</v>
      </c>
      <c r="B4775" s="90" t="s">
        <v>10306</v>
      </c>
    </row>
    <row r="4776" spans="1:2" x14ac:dyDescent="0.25">
      <c r="A4776" s="52" t="s">
        <v>95</v>
      </c>
      <c r="B4776" s="90" t="s">
        <v>10307</v>
      </c>
    </row>
    <row r="4777" spans="1:2" x14ac:dyDescent="0.25">
      <c r="A4777" s="52" t="s">
        <v>95</v>
      </c>
      <c r="B4777" s="90" t="s">
        <v>10308</v>
      </c>
    </row>
    <row r="4778" spans="1:2" x14ac:dyDescent="0.25">
      <c r="A4778" s="52" t="s">
        <v>95</v>
      </c>
      <c r="B4778" s="90" t="s">
        <v>10309</v>
      </c>
    </row>
    <row r="4779" spans="1:2" x14ac:dyDescent="0.25">
      <c r="A4779" s="52" t="s">
        <v>95</v>
      </c>
      <c r="B4779" s="90" t="s">
        <v>10310</v>
      </c>
    </row>
    <row r="4780" spans="1:2" x14ac:dyDescent="0.25">
      <c r="A4780" s="52" t="s">
        <v>95</v>
      </c>
      <c r="B4780" s="90" t="s">
        <v>10311</v>
      </c>
    </row>
    <row r="4781" spans="1:2" x14ac:dyDescent="0.25">
      <c r="A4781" s="52" t="s">
        <v>95</v>
      </c>
      <c r="B4781" s="90" t="s">
        <v>10312</v>
      </c>
    </row>
    <row r="4782" spans="1:2" x14ac:dyDescent="0.25">
      <c r="A4782" s="52" t="s">
        <v>95</v>
      </c>
      <c r="B4782" s="90" t="s">
        <v>10313</v>
      </c>
    </row>
    <row r="4783" spans="1:2" x14ac:dyDescent="0.25">
      <c r="A4783" s="52" t="s">
        <v>95</v>
      </c>
      <c r="B4783" s="90" t="s">
        <v>10314</v>
      </c>
    </row>
    <row r="4784" spans="1:2" x14ac:dyDescent="0.25">
      <c r="A4784" s="52" t="s">
        <v>95</v>
      </c>
      <c r="B4784" s="90" t="s">
        <v>10315</v>
      </c>
    </row>
    <row r="4785" spans="1:2" x14ac:dyDescent="0.25">
      <c r="A4785" s="52" t="s">
        <v>95</v>
      </c>
      <c r="B4785" s="90" t="s">
        <v>10316</v>
      </c>
    </row>
    <row r="4786" spans="1:2" x14ac:dyDescent="0.25">
      <c r="A4786" s="52" t="s">
        <v>95</v>
      </c>
      <c r="B4786" s="90" t="s">
        <v>10317</v>
      </c>
    </row>
    <row r="4787" spans="1:2" x14ac:dyDescent="0.25">
      <c r="A4787" s="52" t="s">
        <v>95</v>
      </c>
      <c r="B4787" s="90" t="s">
        <v>10318</v>
      </c>
    </row>
    <row r="4788" spans="1:2" x14ac:dyDescent="0.25">
      <c r="A4788" s="52" t="s">
        <v>95</v>
      </c>
      <c r="B4788" s="90" t="s">
        <v>10319</v>
      </c>
    </row>
    <row r="4789" spans="1:2" x14ac:dyDescent="0.25">
      <c r="A4789" s="52" t="s">
        <v>95</v>
      </c>
      <c r="B4789" s="90" t="s">
        <v>10320</v>
      </c>
    </row>
    <row r="4790" spans="1:2" x14ac:dyDescent="0.25">
      <c r="A4790" s="52" t="s">
        <v>95</v>
      </c>
      <c r="B4790" s="90" t="s">
        <v>10321</v>
      </c>
    </row>
    <row r="4791" spans="1:2" x14ac:dyDescent="0.25">
      <c r="A4791" s="52" t="s">
        <v>95</v>
      </c>
      <c r="B4791" s="90" t="s">
        <v>10322</v>
      </c>
    </row>
    <row r="4792" spans="1:2" x14ac:dyDescent="0.25">
      <c r="A4792" s="52" t="s">
        <v>95</v>
      </c>
      <c r="B4792" s="90" t="s">
        <v>10323</v>
      </c>
    </row>
    <row r="4793" spans="1:2" x14ac:dyDescent="0.25">
      <c r="A4793" s="52" t="s">
        <v>95</v>
      </c>
      <c r="B4793" s="90" t="s">
        <v>10324</v>
      </c>
    </row>
    <row r="4794" spans="1:2" x14ac:dyDescent="0.25">
      <c r="A4794" s="52" t="s">
        <v>95</v>
      </c>
      <c r="B4794" s="90" t="s">
        <v>10325</v>
      </c>
    </row>
    <row r="4795" spans="1:2" x14ac:dyDescent="0.25">
      <c r="A4795" s="52" t="s">
        <v>95</v>
      </c>
      <c r="B4795" s="90" t="s">
        <v>10326</v>
      </c>
    </row>
    <row r="4796" spans="1:2" x14ac:dyDescent="0.25">
      <c r="A4796" s="52" t="s">
        <v>95</v>
      </c>
      <c r="B4796" s="90" t="s">
        <v>10327</v>
      </c>
    </row>
    <row r="4797" spans="1:2" x14ac:dyDescent="0.25">
      <c r="A4797" s="52" t="s">
        <v>95</v>
      </c>
      <c r="B4797" s="90" t="s">
        <v>10328</v>
      </c>
    </row>
    <row r="4798" spans="1:2" x14ac:dyDescent="0.25">
      <c r="A4798" s="52" t="s">
        <v>95</v>
      </c>
      <c r="B4798" s="90" t="s">
        <v>10329</v>
      </c>
    </row>
    <row r="4799" spans="1:2" x14ac:dyDescent="0.25">
      <c r="A4799" s="52" t="s">
        <v>95</v>
      </c>
      <c r="B4799" s="90" t="s">
        <v>10330</v>
      </c>
    </row>
    <row r="4800" spans="1:2" x14ac:dyDescent="0.25">
      <c r="A4800" s="52" t="s">
        <v>95</v>
      </c>
      <c r="B4800" s="90" t="s">
        <v>10331</v>
      </c>
    </row>
    <row r="4801" spans="1:2" x14ac:dyDescent="0.25">
      <c r="A4801" s="52" t="s">
        <v>95</v>
      </c>
      <c r="B4801" s="90" t="s">
        <v>10332</v>
      </c>
    </row>
    <row r="4802" spans="1:2" x14ac:dyDescent="0.25">
      <c r="A4802" s="52" t="s">
        <v>95</v>
      </c>
      <c r="B4802" s="90" t="s">
        <v>10333</v>
      </c>
    </row>
    <row r="4803" spans="1:2" x14ac:dyDescent="0.25">
      <c r="A4803" s="52" t="s">
        <v>95</v>
      </c>
      <c r="B4803" s="90" t="s">
        <v>10334</v>
      </c>
    </row>
    <row r="4804" spans="1:2" x14ac:dyDescent="0.25">
      <c r="A4804" s="52" t="s">
        <v>95</v>
      </c>
      <c r="B4804" s="90" t="s">
        <v>10335</v>
      </c>
    </row>
    <row r="4805" spans="1:2" x14ac:dyDescent="0.25">
      <c r="A4805" s="52" t="s">
        <v>95</v>
      </c>
      <c r="B4805" s="90" t="s">
        <v>10336</v>
      </c>
    </row>
    <row r="4806" spans="1:2" x14ac:dyDescent="0.25">
      <c r="A4806" s="52" t="s">
        <v>95</v>
      </c>
      <c r="B4806" s="90" t="s">
        <v>10337</v>
      </c>
    </row>
    <row r="4807" spans="1:2" x14ac:dyDescent="0.25">
      <c r="A4807" s="52" t="s">
        <v>95</v>
      </c>
      <c r="B4807" s="90" t="s">
        <v>10338</v>
      </c>
    </row>
    <row r="4808" spans="1:2" x14ac:dyDescent="0.25">
      <c r="A4808" s="52" t="s">
        <v>95</v>
      </c>
      <c r="B4808" s="90" t="s">
        <v>10339</v>
      </c>
    </row>
    <row r="4809" spans="1:2" x14ac:dyDescent="0.25">
      <c r="A4809" s="52" t="s">
        <v>95</v>
      </c>
      <c r="B4809" s="90" t="s">
        <v>10340</v>
      </c>
    </row>
    <row r="4810" spans="1:2" x14ac:dyDescent="0.25">
      <c r="A4810" s="52" t="s">
        <v>95</v>
      </c>
      <c r="B4810" s="90" t="s">
        <v>10341</v>
      </c>
    </row>
    <row r="4811" spans="1:2" x14ac:dyDescent="0.25">
      <c r="A4811" s="52" t="s">
        <v>95</v>
      </c>
      <c r="B4811" s="90" t="s">
        <v>10342</v>
      </c>
    </row>
    <row r="4812" spans="1:2" x14ac:dyDescent="0.25">
      <c r="A4812" s="52" t="s">
        <v>95</v>
      </c>
      <c r="B4812" s="90" t="s">
        <v>10343</v>
      </c>
    </row>
    <row r="4813" spans="1:2" x14ac:dyDescent="0.25">
      <c r="A4813" s="52" t="s">
        <v>95</v>
      </c>
      <c r="B4813" s="90" t="s">
        <v>10344</v>
      </c>
    </row>
    <row r="4814" spans="1:2" x14ac:dyDescent="0.25">
      <c r="A4814" s="52" t="s">
        <v>95</v>
      </c>
      <c r="B4814" s="90" t="s">
        <v>10345</v>
      </c>
    </row>
    <row r="4815" spans="1:2" x14ac:dyDescent="0.25">
      <c r="A4815" s="52" t="s">
        <v>95</v>
      </c>
      <c r="B4815" s="90" t="s">
        <v>10346</v>
      </c>
    </row>
    <row r="4816" spans="1:2" x14ac:dyDescent="0.25">
      <c r="A4816" s="52" t="s">
        <v>95</v>
      </c>
      <c r="B4816" s="90" t="s">
        <v>10347</v>
      </c>
    </row>
    <row r="4817" spans="1:2" x14ac:dyDescent="0.25">
      <c r="A4817" s="52" t="s">
        <v>95</v>
      </c>
      <c r="B4817" s="90" t="s">
        <v>10348</v>
      </c>
    </row>
    <row r="4818" spans="1:2" x14ac:dyDescent="0.25">
      <c r="A4818" s="52" t="s">
        <v>95</v>
      </c>
      <c r="B4818" s="90" t="s">
        <v>10349</v>
      </c>
    </row>
    <row r="4819" spans="1:2" x14ac:dyDescent="0.25">
      <c r="A4819" s="52" t="s">
        <v>95</v>
      </c>
      <c r="B4819" s="90" t="s">
        <v>10350</v>
      </c>
    </row>
    <row r="4820" spans="1:2" x14ac:dyDescent="0.25">
      <c r="A4820" s="52" t="s">
        <v>95</v>
      </c>
      <c r="B4820" s="90" t="s">
        <v>10351</v>
      </c>
    </row>
    <row r="4821" spans="1:2" x14ac:dyDescent="0.25">
      <c r="A4821" s="52" t="s">
        <v>95</v>
      </c>
      <c r="B4821" s="90" t="s">
        <v>10352</v>
      </c>
    </row>
    <row r="4822" spans="1:2" x14ac:dyDescent="0.25">
      <c r="A4822" s="52" t="s">
        <v>95</v>
      </c>
      <c r="B4822" s="90" t="s">
        <v>10353</v>
      </c>
    </row>
    <row r="4823" spans="1:2" x14ac:dyDescent="0.25">
      <c r="A4823" s="52" t="s">
        <v>95</v>
      </c>
      <c r="B4823" s="90" t="s">
        <v>10353</v>
      </c>
    </row>
    <row r="4824" spans="1:2" x14ac:dyDescent="0.25">
      <c r="A4824" s="52" t="s">
        <v>95</v>
      </c>
      <c r="B4824" s="90" t="s">
        <v>10354</v>
      </c>
    </row>
    <row r="4825" spans="1:2" x14ac:dyDescent="0.25">
      <c r="A4825" s="52" t="s">
        <v>95</v>
      </c>
      <c r="B4825" s="90" t="s">
        <v>10355</v>
      </c>
    </row>
    <row r="4826" spans="1:2" x14ac:dyDescent="0.25">
      <c r="A4826" s="52" t="s">
        <v>95</v>
      </c>
      <c r="B4826" s="90" t="s">
        <v>10356</v>
      </c>
    </row>
    <row r="4827" spans="1:2" x14ac:dyDescent="0.25">
      <c r="A4827" s="52" t="s">
        <v>95</v>
      </c>
      <c r="B4827" s="90" t="s">
        <v>10357</v>
      </c>
    </row>
    <row r="4828" spans="1:2" x14ac:dyDescent="0.25">
      <c r="A4828" s="52" t="s">
        <v>95</v>
      </c>
      <c r="B4828" s="90" t="s">
        <v>10358</v>
      </c>
    </row>
    <row r="4829" spans="1:2" x14ac:dyDescent="0.25">
      <c r="A4829" s="52" t="s">
        <v>95</v>
      </c>
      <c r="B4829" s="90" t="s">
        <v>10359</v>
      </c>
    </row>
    <row r="4830" spans="1:2" x14ac:dyDescent="0.25">
      <c r="A4830" s="52" t="s">
        <v>95</v>
      </c>
      <c r="B4830" s="90" t="s">
        <v>10360</v>
      </c>
    </row>
    <row r="4831" spans="1:2" x14ac:dyDescent="0.25">
      <c r="A4831" s="52" t="s">
        <v>95</v>
      </c>
      <c r="B4831" s="90" t="s">
        <v>10361</v>
      </c>
    </row>
    <row r="4832" spans="1:2" x14ac:dyDescent="0.25">
      <c r="A4832" s="52" t="s">
        <v>95</v>
      </c>
      <c r="B4832" s="90" t="s">
        <v>10362</v>
      </c>
    </row>
    <row r="4833" spans="1:2" x14ac:dyDescent="0.25">
      <c r="A4833" s="52" t="s">
        <v>95</v>
      </c>
      <c r="B4833" s="90" t="s">
        <v>10363</v>
      </c>
    </row>
    <row r="4834" spans="1:2" x14ac:dyDescent="0.25">
      <c r="A4834" s="52" t="s">
        <v>95</v>
      </c>
      <c r="B4834" s="90" t="s">
        <v>10364</v>
      </c>
    </row>
    <row r="4835" spans="1:2" x14ac:dyDescent="0.25">
      <c r="A4835" s="52" t="s">
        <v>95</v>
      </c>
      <c r="B4835" s="90" t="s">
        <v>10365</v>
      </c>
    </row>
    <row r="4836" spans="1:2" x14ac:dyDescent="0.25">
      <c r="A4836" s="52" t="s">
        <v>95</v>
      </c>
      <c r="B4836" s="90" t="s">
        <v>10366</v>
      </c>
    </row>
    <row r="4837" spans="1:2" x14ac:dyDescent="0.25">
      <c r="A4837" s="52" t="s">
        <v>95</v>
      </c>
      <c r="B4837" s="90" t="s">
        <v>10367</v>
      </c>
    </row>
    <row r="4838" spans="1:2" x14ac:dyDescent="0.25">
      <c r="A4838" s="52" t="s">
        <v>95</v>
      </c>
      <c r="B4838" s="90" t="s">
        <v>5799</v>
      </c>
    </row>
    <row r="4839" spans="1:2" x14ac:dyDescent="0.25">
      <c r="A4839" s="52" t="s">
        <v>95</v>
      </c>
      <c r="B4839" s="90" t="s">
        <v>10368</v>
      </c>
    </row>
    <row r="4840" spans="1:2" x14ac:dyDescent="0.25">
      <c r="A4840" s="52" t="s">
        <v>95</v>
      </c>
      <c r="B4840" s="90" t="s">
        <v>10369</v>
      </c>
    </row>
    <row r="4841" spans="1:2" x14ac:dyDescent="0.25">
      <c r="A4841" s="52" t="s">
        <v>95</v>
      </c>
      <c r="B4841" s="90" t="s">
        <v>10370</v>
      </c>
    </row>
    <row r="4842" spans="1:2" x14ac:dyDescent="0.25">
      <c r="A4842" s="52" t="s">
        <v>95</v>
      </c>
      <c r="B4842" s="90" t="s">
        <v>10371</v>
      </c>
    </row>
    <row r="4843" spans="1:2" x14ac:dyDescent="0.25">
      <c r="A4843" s="52" t="s">
        <v>95</v>
      </c>
      <c r="B4843" s="90" t="s">
        <v>10372</v>
      </c>
    </row>
    <row r="4844" spans="1:2" x14ac:dyDescent="0.25">
      <c r="A4844" s="52" t="s">
        <v>95</v>
      </c>
      <c r="B4844" s="90" t="s">
        <v>10373</v>
      </c>
    </row>
    <row r="4845" spans="1:2" x14ac:dyDescent="0.25">
      <c r="A4845" s="52" t="s">
        <v>95</v>
      </c>
      <c r="B4845" s="90" t="s">
        <v>10374</v>
      </c>
    </row>
    <row r="4846" spans="1:2" x14ac:dyDescent="0.25">
      <c r="A4846" s="52" t="s">
        <v>95</v>
      </c>
      <c r="B4846" s="90" t="s">
        <v>10375</v>
      </c>
    </row>
    <row r="4847" spans="1:2" x14ac:dyDescent="0.25">
      <c r="A4847" s="52" t="s">
        <v>95</v>
      </c>
      <c r="B4847" s="90" t="s">
        <v>10376</v>
      </c>
    </row>
    <row r="4848" spans="1:2" x14ac:dyDescent="0.25">
      <c r="A4848" s="52" t="s">
        <v>95</v>
      </c>
      <c r="B4848" s="90" t="s">
        <v>10377</v>
      </c>
    </row>
    <row r="4849" spans="1:2" x14ac:dyDescent="0.25">
      <c r="A4849" s="52" t="s">
        <v>95</v>
      </c>
      <c r="B4849" s="90" t="s">
        <v>10378</v>
      </c>
    </row>
    <row r="4850" spans="1:2" x14ac:dyDescent="0.25">
      <c r="A4850" s="52" t="s">
        <v>95</v>
      </c>
      <c r="B4850" s="90" t="s">
        <v>10379</v>
      </c>
    </row>
    <row r="4851" spans="1:2" x14ac:dyDescent="0.25">
      <c r="A4851" s="52" t="s">
        <v>95</v>
      </c>
      <c r="B4851" s="90" t="s">
        <v>10380</v>
      </c>
    </row>
    <row r="4852" spans="1:2" x14ac:dyDescent="0.25">
      <c r="A4852" s="52" t="s">
        <v>95</v>
      </c>
      <c r="B4852" s="90" t="s">
        <v>10381</v>
      </c>
    </row>
    <row r="4853" spans="1:2" x14ac:dyDescent="0.25">
      <c r="A4853" s="52" t="s">
        <v>95</v>
      </c>
      <c r="B4853" s="90" t="s">
        <v>10382</v>
      </c>
    </row>
    <row r="4854" spans="1:2" x14ac:dyDescent="0.25">
      <c r="A4854" s="52" t="s">
        <v>95</v>
      </c>
      <c r="B4854" s="90" t="s">
        <v>10383</v>
      </c>
    </row>
    <row r="4855" spans="1:2" x14ac:dyDescent="0.25">
      <c r="A4855" s="52" t="s">
        <v>95</v>
      </c>
      <c r="B4855" s="90" t="s">
        <v>10384</v>
      </c>
    </row>
    <row r="4856" spans="1:2" x14ac:dyDescent="0.25">
      <c r="A4856" s="52" t="s">
        <v>95</v>
      </c>
      <c r="B4856" s="90" t="s">
        <v>10385</v>
      </c>
    </row>
    <row r="4857" spans="1:2" x14ac:dyDescent="0.25">
      <c r="A4857" s="52" t="s">
        <v>95</v>
      </c>
      <c r="B4857" s="90" t="s">
        <v>10386</v>
      </c>
    </row>
    <row r="4858" spans="1:2" x14ac:dyDescent="0.25">
      <c r="A4858" s="52" t="s">
        <v>95</v>
      </c>
      <c r="B4858" s="90" t="s">
        <v>10387</v>
      </c>
    </row>
    <row r="4859" spans="1:2" x14ac:dyDescent="0.25">
      <c r="A4859" s="52" t="s">
        <v>95</v>
      </c>
      <c r="B4859" s="90" t="s">
        <v>10388</v>
      </c>
    </row>
    <row r="4860" spans="1:2" x14ac:dyDescent="0.25">
      <c r="A4860" s="52" t="s">
        <v>95</v>
      </c>
      <c r="B4860" s="90" t="s">
        <v>10389</v>
      </c>
    </row>
    <row r="4861" spans="1:2" x14ac:dyDescent="0.25">
      <c r="A4861" s="52" t="s">
        <v>95</v>
      </c>
      <c r="B4861" s="90" t="s">
        <v>10390</v>
      </c>
    </row>
    <row r="4862" spans="1:2" x14ac:dyDescent="0.25">
      <c r="A4862" s="52" t="s">
        <v>95</v>
      </c>
      <c r="B4862" s="90" t="s">
        <v>10391</v>
      </c>
    </row>
    <row r="4863" spans="1:2" x14ac:dyDescent="0.25">
      <c r="A4863" s="52" t="s">
        <v>95</v>
      </c>
      <c r="B4863" s="90" t="s">
        <v>10392</v>
      </c>
    </row>
    <row r="4864" spans="1:2" x14ac:dyDescent="0.25">
      <c r="A4864" s="52" t="s">
        <v>95</v>
      </c>
      <c r="B4864" s="90" t="s">
        <v>10393</v>
      </c>
    </row>
    <row r="4865" spans="1:2" x14ac:dyDescent="0.25">
      <c r="A4865" s="52" t="s">
        <v>95</v>
      </c>
      <c r="B4865" s="90" t="s">
        <v>10394</v>
      </c>
    </row>
    <row r="4866" spans="1:2" x14ac:dyDescent="0.25">
      <c r="A4866" s="52" t="s">
        <v>95</v>
      </c>
      <c r="B4866" s="90" t="s">
        <v>10395</v>
      </c>
    </row>
    <row r="4867" spans="1:2" x14ac:dyDescent="0.25">
      <c r="A4867" s="52" t="s">
        <v>95</v>
      </c>
      <c r="B4867" s="90" t="s">
        <v>10396</v>
      </c>
    </row>
    <row r="4868" spans="1:2" x14ac:dyDescent="0.25">
      <c r="A4868" s="52" t="s">
        <v>95</v>
      </c>
      <c r="B4868" s="90" t="s">
        <v>10397</v>
      </c>
    </row>
    <row r="4869" spans="1:2" x14ac:dyDescent="0.25">
      <c r="A4869" s="52" t="s">
        <v>95</v>
      </c>
      <c r="B4869" s="90" t="s">
        <v>10398</v>
      </c>
    </row>
    <row r="4870" spans="1:2" x14ac:dyDescent="0.25">
      <c r="A4870" s="52" t="s">
        <v>95</v>
      </c>
      <c r="B4870" s="90" t="s">
        <v>10399</v>
      </c>
    </row>
    <row r="4871" spans="1:2" x14ac:dyDescent="0.25">
      <c r="A4871" s="52" t="s">
        <v>95</v>
      </c>
      <c r="B4871" s="90" t="s">
        <v>10400</v>
      </c>
    </row>
    <row r="4872" spans="1:2" x14ac:dyDescent="0.25">
      <c r="A4872" s="52" t="s">
        <v>95</v>
      </c>
      <c r="B4872" s="90" t="s">
        <v>10401</v>
      </c>
    </row>
    <row r="4873" spans="1:2" x14ac:dyDescent="0.25">
      <c r="A4873" s="52" t="s">
        <v>95</v>
      </c>
      <c r="B4873" s="90" t="s">
        <v>10402</v>
      </c>
    </row>
    <row r="4874" spans="1:2" x14ac:dyDescent="0.25">
      <c r="A4874" s="52" t="s">
        <v>95</v>
      </c>
      <c r="B4874" s="90" t="s">
        <v>10403</v>
      </c>
    </row>
    <row r="4875" spans="1:2" x14ac:dyDescent="0.25">
      <c r="A4875" s="52" t="s">
        <v>95</v>
      </c>
      <c r="B4875" s="90" t="s">
        <v>10404</v>
      </c>
    </row>
    <row r="4876" spans="1:2" x14ac:dyDescent="0.25">
      <c r="A4876" s="52" t="s">
        <v>95</v>
      </c>
      <c r="B4876" s="90" t="s">
        <v>10405</v>
      </c>
    </row>
    <row r="4877" spans="1:2" x14ac:dyDescent="0.25">
      <c r="A4877" s="52" t="s">
        <v>95</v>
      </c>
      <c r="B4877" s="90" t="s">
        <v>10406</v>
      </c>
    </row>
    <row r="4878" spans="1:2" x14ac:dyDescent="0.25">
      <c r="A4878" s="52" t="s">
        <v>95</v>
      </c>
      <c r="B4878" s="90" t="s">
        <v>10407</v>
      </c>
    </row>
    <row r="4879" spans="1:2" x14ac:dyDescent="0.25">
      <c r="A4879" s="52" t="s">
        <v>95</v>
      </c>
      <c r="B4879" s="90" t="s">
        <v>10408</v>
      </c>
    </row>
    <row r="4880" spans="1:2" x14ac:dyDescent="0.25">
      <c r="A4880" s="52" t="s">
        <v>95</v>
      </c>
      <c r="B4880" s="90" t="s">
        <v>10409</v>
      </c>
    </row>
    <row r="4881" spans="1:2" x14ac:dyDescent="0.25">
      <c r="A4881" s="52" t="s">
        <v>95</v>
      </c>
      <c r="B4881" s="90" t="s">
        <v>10410</v>
      </c>
    </row>
    <row r="4882" spans="1:2" x14ac:dyDescent="0.25">
      <c r="A4882" s="52" t="s">
        <v>95</v>
      </c>
      <c r="B4882" s="90" t="s">
        <v>10411</v>
      </c>
    </row>
    <row r="4883" spans="1:2" x14ac:dyDescent="0.25">
      <c r="A4883" s="52" t="s">
        <v>95</v>
      </c>
      <c r="B4883" s="90" t="s">
        <v>10412</v>
      </c>
    </row>
    <row r="4884" spans="1:2" x14ac:dyDescent="0.25">
      <c r="A4884" s="52" t="s">
        <v>95</v>
      </c>
      <c r="B4884" s="90" t="s">
        <v>10413</v>
      </c>
    </row>
    <row r="4885" spans="1:2" x14ac:dyDescent="0.25">
      <c r="A4885" s="52" t="s">
        <v>95</v>
      </c>
      <c r="B4885" s="90" t="s">
        <v>10414</v>
      </c>
    </row>
    <row r="4886" spans="1:2" x14ac:dyDescent="0.25">
      <c r="A4886" s="52" t="s">
        <v>95</v>
      </c>
      <c r="B4886" s="90" t="s">
        <v>10415</v>
      </c>
    </row>
    <row r="4887" spans="1:2" x14ac:dyDescent="0.25">
      <c r="A4887" s="52" t="s">
        <v>95</v>
      </c>
      <c r="B4887" s="90" t="s">
        <v>10416</v>
      </c>
    </row>
    <row r="4888" spans="1:2" x14ac:dyDescent="0.25">
      <c r="A4888" s="52" t="s">
        <v>95</v>
      </c>
      <c r="B4888" s="90" t="s">
        <v>10417</v>
      </c>
    </row>
    <row r="4889" spans="1:2" x14ac:dyDescent="0.25">
      <c r="A4889" s="52" t="s">
        <v>95</v>
      </c>
      <c r="B4889" s="90" t="s">
        <v>10418</v>
      </c>
    </row>
    <row r="4890" spans="1:2" x14ac:dyDescent="0.25">
      <c r="A4890" s="52" t="s">
        <v>95</v>
      </c>
      <c r="B4890" s="90" t="s">
        <v>10419</v>
      </c>
    </row>
    <row r="4891" spans="1:2" x14ac:dyDescent="0.25">
      <c r="A4891" s="52" t="s">
        <v>95</v>
      </c>
      <c r="B4891" s="90" t="s">
        <v>10420</v>
      </c>
    </row>
    <row r="4892" spans="1:2" x14ac:dyDescent="0.25">
      <c r="A4892" s="52" t="s">
        <v>95</v>
      </c>
      <c r="B4892" s="90" t="s">
        <v>10421</v>
      </c>
    </row>
    <row r="4893" spans="1:2" x14ac:dyDescent="0.25">
      <c r="A4893" s="52" t="s">
        <v>95</v>
      </c>
      <c r="B4893" s="90" t="s">
        <v>10422</v>
      </c>
    </row>
    <row r="4894" spans="1:2" x14ac:dyDescent="0.25">
      <c r="A4894" s="52" t="s">
        <v>95</v>
      </c>
      <c r="B4894" s="90" t="s">
        <v>10423</v>
      </c>
    </row>
    <row r="4895" spans="1:2" x14ac:dyDescent="0.25">
      <c r="A4895" s="52" t="s">
        <v>95</v>
      </c>
      <c r="B4895" s="90" t="s">
        <v>10424</v>
      </c>
    </row>
    <row r="4896" spans="1:2" x14ac:dyDescent="0.25">
      <c r="A4896" s="52" t="s">
        <v>95</v>
      </c>
      <c r="B4896" s="90" t="s">
        <v>10425</v>
      </c>
    </row>
    <row r="4897" spans="1:2" x14ac:dyDescent="0.25">
      <c r="A4897" s="52" t="s">
        <v>95</v>
      </c>
      <c r="B4897" s="90" t="s">
        <v>10426</v>
      </c>
    </row>
    <row r="4898" spans="1:2" x14ac:dyDescent="0.25">
      <c r="A4898" s="52" t="s">
        <v>95</v>
      </c>
      <c r="B4898" s="90" t="s">
        <v>10427</v>
      </c>
    </row>
    <row r="4899" spans="1:2" x14ac:dyDescent="0.25">
      <c r="A4899" s="52" t="s">
        <v>95</v>
      </c>
      <c r="B4899" s="90" t="s">
        <v>10428</v>
      </c>
    </row>
    <row r="4900" spans="1:2" x14ac:dyDescent="0.25">
      <c r="A4900" s="52" t="s">
        <v>95</v>
      </c>
      <c r="B4900" s="90" t="s">
        <v>10429</v>
      </c>
    </row>
    <row r="4901" spans="1:2" x14ac:dyDescent="0.25">
      <c r="A4901" s="52" t="s">
        <v>95</v>
      </c>
      <c r="B4901" s="90" t="s">
        <v>10430</v>
      </c>
    </row>
    <row r="4902" spans="1:2" x14ac:dyDescent="0.25">
      <c r="A4902" s="52" t="s">
        <v>95</v>
      </c>
      <c r="B4902" s="90" t="s">
        <v>10431</v>
      </c>
    </row>
    <row r="4903" spans="1:2" x14ac:dyDescent="0.25">
      <c r="A4903" s="52" t="s">
        <v>95</v>
      </c>
      <c r="B4903" s="90" t="s">
        <v>10432</v>
      </c>
    </row>
    <row r="4904" spans="1:2" x14ac:dyDescent="0.25">
      <c r="A4904" s="52" t="s">
        <v>95</v>
      </c>
      <c r="B4904" s="90" t="s">
        <v>10433</v>
      </c>
    </row>
    <row r="4905" spans="1:2" x14ac:dyDescent="0.25">
      <c r="A4905" s="52" t="s">
        <v>95</v>
      </c>
      <c r="B4905" s="90" t="s">
        <v>10434</v>
      </c>
    </row>
    <row r="4906" spans="1:2" x14ac:dyDescent="0.25">
      <c r="A4906" s="52" t="s">
        <v>95</v>
      </c>
      <c r="B4906" s="90" t="s">
        <v>10435</v>
      </c>
    </row>
    <row r="4907" spans="1:2" x14ac:dyDescent="0.25">
      <c r="A4907" s="52" t="s">
        <v>95</v>
      </c>
      <c r="B4907" s="90" t="s">
        <v>10436</v>
      </c>
    </row>
    <row r="4908" spans="1:2" x14ac:dyDescent="0.25">
      <c r="A4908" s="52" t="s">
        <v>95</v>
      </c>
      <c r="B4908" s="90" t="s">
        <v>10437</v>
      </c>
    </row>
    <row r="4909" spans="1:2" x14ac:dyDescent="0.25">
      <c r="A4909" s="52" t="s">
        <v>95</v>
      </c>
      <c r="B4909" s="90" t="s">
        <v>10438</v>
      </c>
    </row>
    <row r="4910" spans="1:2" x14ac:dyDescent="0.25">
      <c r="A4910" s="52" t="s">
        <v>95</v>
      </c>
      <c r="B4910" s="90" t="s">
        <v>10439</v>
      </c>
    </row>
    <row r="4911" spans="1:2" x14ac:dyDescent="0.25">
      <c r="A4911" s="52" t="s">
        <v>95</v>
      </c>
      <c r="B4911" s="90" t="s">
        <v>10440</v>
      </c>
    </row>
    <row r="4912" spans="1:2" x14ac:dyDescent="0.25">
      <c r="A4912" s="52" t="s">
        <v>95</v>
      </c>
      <c r="B4912" s="90" t="s">
        <v>10441</v>
      </c>
    </row>
    <row r="4913" spans="1:2" x14ac:dyDescent="0.25">
      <c r="A4913" s="52" t="s">
        <v>95</v>
      </c>
      <c r="B4913" s="90" t="s">
        <v>10442</v>
      </c>
    </row>
    <row r="4914" spans="1:2" x14ac:dyDescent="0.25">
      <c r="A4914" s="52" t="s">
        <v>95</v>
      </c>
      <c r="B4914" s="90" t="s">
        <v>10443</v>
      </c>
    </row>
    <row r="4915" spans="1:2" x14ac:dyDescent="0.25">
      <c r="A4915" s="52" t="s">
        <v>95</v>
      </c>
      <c r="B4915" s="90" t="s">
        <v>10444</v>
      </c>
    </row>
    <row r="4916" spans="1:2" x14ac:dyDescent="0.25">
      <c r="A4916" s="52" t="s">
        <v>95</v>
      </c>
      <c r="B4916" s="90" t="s">
        <v>10445</v>
      </c>
    </row>
    <row r="4917" spans="1:2" x14ac:dyDescent="0.25">
      <c r="A4917" s="52" t="s">
        <v>95</v>
      </c>
      <c r="B4917" s="90" t="s">
        <v>10446</v>
      </c>
    </row>
    <row r="4918" spans="1:2" x14ac:dyDescent="0.25">
      <c r="A4918" s="52" t="s">
        <v>95</v>
      </c>
      <c r="B4918" s="90" t="s">
        <v>10447</v>
      </c>
    </row>
    <row r="4919" spans="1:2" x14ac:dyDescent="0.25">
      <c r="A4919" s="52" t="s">
        <v>95</v>
      </c>
      <c r="B4919" s="90" t="s">
        <v>10448</v>
      </c>
    </row>
    <row r="4920" spans="1:2" x14ac:dyDescent="0.25">
      <c r="A4920" s="52" t="s">
        <v>95</v>
      </c>
      <c r="B4920" s="90" t="s">
        <v>10449</v>
      </c>
    </row>
    <row r="4921" spans="1:2" x14ac:dyDescent="0.25">
      <c r="A4921" s="52" t="s">
        <v>95</v>
      </c>
      <c r="B4921" s="90" t="s">
        <v>10450</v>
      </c>
    </row>
    <row r="4922" spans="1:2" x14ac:dyDescent="0.25">
      <c r="A4922" s="52" t="s">
        <v>95</v>
      </c>
      <c r="B4922" s="90" t="s">
        <v>10451</v>
      </c>
    </row>
    <row r="4923" spans="1:2" x14ac:dyDescent="0.25">
      <c r="A4923" s="52" t="s">
        <v>95</v>
      </c>
      <c r="B4923" s="90" t="s">
        <v>10452</v>
      </c>
    </row>
    <row r="4924" spans="1:2" x14ac:dyDescent="0.25">
      <c r="A4924" s="52" t="s">
        <v>95</v>
      </c>
      <c r="B4924" s="90" t="s">
        <v>10453</v>
      </c>
    </row>
    <row r="4925" spans="1:2" x14ac:dyDescent="0.25">
      <c r="A4925" s="52" t="s">
        <v>95</v>
      </c>
      <c r="B4925" s="90" t="s">
        <v>10454</v>
      </c>
    </row>
    <row r="4926" spans="1:2" x14ac:dyDescent="0.25">
      <c r="A4926" s="52" t="s">
        <v>95</v>
      </c>
      <c r="B4926" s="90" t="s">
        <v>10455</v>
      </c>
    </row>
    <row r="4927" spans="1:2" x14ac:dyDescent="0.25">
      <c r="A4927" s="52" t="s">
        <v>95</v>
      </c>
      <c r="B4927" s="90" t="s">
        <v>10456</v>
      </c>
    </row>
    <row r="4928" spans="1:2" x14ac:dyDescent="0.25">
      <c r="A4928" s="52" t="s">
        <v>95</v>
      </c>
      <c r="B4928" s="90" t="s">
        <v>10457</v>
      </c>
    </row>
    <row r="4929" spans="1:2" x14ac:dyDescent="0.25">
      <c r="A4929" s="52" t="s">
        <v>95</v>
      </c>
      <c r="B4929" s="90" t="s">
        <v>10458</v>
      </c>
    </row>
    <row r="4930" spans="1:2" x14ac:dyDescent="0.25">
      <c r="A4930" s="52" t="s">
        <v>95</v>
      </c>
      <c r="B4930" s="90" t="s">
        <v>10459</v>
      </c>
    </row>
    <row r="4931" spans="1:2" x14ac:dyDescent="0.25">
      <c r="A4931" s="52" t="s">
        <v>95</v>
      </c>
      <c r="B4931" s="90" t="s">
        <v>10460</v>
      </c>
    </row>
    <row r="4932" spans="1:2" x14ac:dyDescent="0.25">
      <c r="A4932" s="52" t="s">
        <v>95</v>
      </c>
      <c r="B4932" s="90" t="s">
        <v>10461</v>
      </c>
    </row>
    <row r="4933" spans="1:2" x14ac:dyDescent="0.25">
      <c r="A4933" s="52" t="s">
        <v>95</v>
      </c>
      <c r="B4933" s="90" t="s">
        <v>10462</v>
      </c>
    </row>
    <row r="4934" spans="1:2" x14ac:dyDescent="0.25">
      <c r="A4934" s="52" t="s">
        <v>95</v>
      </c>
      <c r="B4934" s="90" t="s">
        <v>10463</v>
      </c>
    </row>
    <row r="4935" spans="1:2" x14ac:dyDescent="0.25">
      <c r="A4935" s="52" t="s">
        <v>95</v>
      </c>
      <c r="B4935" s="90" t="s">
        <v>10464</v>
      </c>
    </row>
    <row r="4936" spans="1:2" x14ac:dyDescent="0.25">
      <c r="A4936" s="52" t="s">
        <v>95</v>
      </c>
      <c r="B4936" s="90" t="s">
        <v>10465</v>
      </c>
    </row>
    <row r="4937" spans="1:2" x14ac:dyDescent="0.25">
      <c r="A4937" s="52" t="s">
        <v>95</v>
      </c>
      <c r="B4937" s="90" t="s">
        <v>10466</v>
      </c>
    </row>
    <row r="4938" spans="1:2" x14ac:dyDescent="0.25">
      <c r="A4938" s="52" t="s">
        <v>95</v>
      </c>
      <c r="B4938" s="90" t="s">
        <v>10467</v>
      </c>
    </row>
    <row r="4939" spans="1:2" x14ac:dyDescent="0.25">
      <c r="A4939" s="52" t="s">
        <v>95</v>
      </c>
      <c r="B4939" s="90" t="s">
        <v>10468</v>
      </c>
    </row>
    <row r="4940" spans="1:2" x14ac:dyDescent="0.25">
      <c r="A4940" s="52" t="s">
        <v>95</v>
      </c>
      <c r="B4940" s="90" t="s">
        <v>10469</v>
      </c>
    </row>
    <row r="4941" spans="1:2" x14ac:dyDescent="0.25">
      <c r="A4941" s="52" t="s">
        <v>95</v>
      </c>
      <c r="B4941" s="90" t="s">
        <v>10470</v>
      </c>
    </row>
    <row r="4942" spans="1:2" x14ac:dyDescent="0.25">
      <c r="A4942" s="52" t="s">
        <v>95</v>
      </c>
      <c r="B4942" s="90" t="s">
        <v>10471</v>
      </c>
    </row>
    <row r="4943" spans="1:2" x14ac:dyDescent="0.25">
      <c r="A4943" s="52" t="s">
        <v>95</v>
      </c>
      <c r="B4943" s="90" t="s">
        <v>10471</v>
      </c>
    </row>
    <row r="4944" spans="1:2" x14ac:dyDescent="0.25">
      <c r="A4944" s="52" t="s">
        <v>95</v>
      </c>
      <c r="B4944" s="90" t="s">
        <v>10472</v>
      </c>
    </row>
    <row r="4945" spans="1:2" x14ac:dyDescent="0.25">
      <c r="A4945" s="52" t="s">
        <v>95</v>
      </c>
      <c r="B4945" s="90" t="s">
        <v>10473</v>
      </c>
    </row>
    <row r="4946" spans="1:2" x14ac:dyDescent="0.25">
      <c r="A4946" s="52" t="s">
        <v>95</v>
      </c>
      <c r="B4946" s="90" t="s">
        <v>10474</v>
      </c>
    </row>
    <row r="4947" spans="1:2" x14ac:dyDescent="0.25">
      <c r="A4947" s="52" t="s">
        <v>95</v>
      </c>
      <c r="B4947" s="90" t="s">
        <v>10475</v>
      </c>
    </row>
    <row r="4948" spans="1:2" x14ac:dyDescent="0.25">
      <c r="A4948" s="52" t="s">
        <v>95</v>
      </c>
      <c r="B4948" s="90" t="s">
        <v>10476</v>
      </c>
    </row>
    <row r="4949" spans="1:2" x14ac:dyDescent="0.25">
      <c r="A4949" s="52" t="s">
        <v>95</v>
      </c>
      <c r="B4949" s="90" t="s">
        <v>10477</v>
      </c>
    </row>
    <row r="4950" spans="1:2" x14ac:dyDescent="0.25">
      <c r="A4950" s="52" t="s">
        <v>95</v>
      </c>
      <c r="B4950" s="90" t="s">
        <v>10478</v>
      </c>
    </row>
    <row r="4951" spans="1:2" x14ac:dyDescent="0.25">
      <c r="A4951" s="52" t="s">
        <v>95</v>
      </c>
      <c r="B4951" s="90" t="s">
        <v>10479</v>
      </c>
    </row>
    <row r="4952" spans="1:2" x14ac:dyDescent="0.25">
      <c r="A4952" s="52" t="s">
        <v>95</v>
      </c>
      <c r="B4952" s="90" t="s">
        <v>10480</v>
      </c>
    </row>
    <row r="4953" spans="1:2" x14ac:dyDescent="0.25">
      <c r="A4953" s="52" t="s">
        <v>95</v>
      </c>
      <c r="B4953" s="90" t="s">
        <v>10481</v>
      </c>
    </row>
    <row r="4954" spans="1:2" x14ac:dyDescent="0.25">
      <c r="A4954" s="52" t="s">
        <v>95</v>
      </c>
      <c r="B4954" s="90" t="s">
        <v>10482</v>
      </c>
    </row>
    <row r="4955" spans="1:2" x14ac:dyDescent="0.25">
      <c r="A4955" s="52" t="s">
        <v>95</v>
      </c>
      <c r="B4955" s="90" t="s">
        <v>10483</v>
      </c>
    </row>
    <row r="4956" spans="1:2" x14ac:dyDescent="0.25">
      <c r="A4956" s="52" t="s">
        <v>95</v>
      </c>
      <c r="B4956" s="90" t="s">
        <v>10484</v>
      </c>
    </row>
    <row r="4957" spans="1:2" x14ac:dyDescent="0.25">
      <c r="A4957" s="52" t="s">
        <v>95</v>
      </c>
      <c r="B4957" s="90" t="s">
        <v>10485</v>
      </c>
    </row>
    <row r="4958" spans="1:2" x14ac:dyDescent="0.25">
      <c r="A4958" s="52" t="s">
        <v>95</v>
      </c>
      <c r="B4958" s="90" t="s">
        <v>10486</v>
      </c>
    </row>
    <row r="4959" spans="1:2" x14ac:dyDescent="0.25">
      <c r="A4959" s="52" t="s">
        <v>95</v>
      </c>
      <c r="B4959" s="90" t="s">
        <v>10487</v>
      </c>
    </row>
    <row r="4960" spans="1:2" x14ac:dyDescent="0.25">
      <c r="A4960" s="52" t="s">
        <v>95</v>
      </c>
      <c r="B4960" s="90" t="s">
        <v>10488</v>
      </c>
    </row>
    <row r="4961" spans="1:2" x14ac:dyDescent="0.25">
      <c r="A4961" s="52" t="s">
        <v>95</v>
      </c>
      <c r="B4961" s="90" t="s">
        <v>10489</v>
      </c>
    </row>
    <row r="4962" spans="1:2" x14ac:dyDescent="0.25">
      <c r="A4962" s="52" t="s">
        <v>95</v>
      </c>
      <c r="B4962" s="90" t="s">
        <v>10490</v>
      </c>
    </row>
    <row r="4963" spans="1:2" x14ac:dyDescent="0.25">
      <c r="A4963" s="52" t="s">
        <v>95</v>
      </c>
      <c r="B4963" s="90" t="s">
        <v>10491</v>
      </c>
    </row>
    <row r="4964" spans="1:2" x14ac:dyDescent="0.25">
      <c r="A4964" s="52" t="s">
        <v>95</v>
      </c>
      <c r="B4964" s="90" t="s">
        <v>10492</v>
      </c>
    </row>
    <row r="4965" spans="1:2" x14ac:dyDescent="0.25">
      <c r="A4965" s="52" t="s">
        <v>95</v>
      </c>
      <c r="B4965" s="90" t="s">
        <v>10493</v>
      </c>
    </row>
    <row r="4966" spans="1:2" x14ac:dyDescent="0.25">
      <c r="A4966" s="52" t="s">
        <v>95</v>
      </c>
      <c r="B4966" s="90" t="s">
        <v>10494</v>
      </c>
    </row>
    <row r="4967" spans="1:2" x14ac:dyDescent="0.25">
      <c r="A4967" s="52" t="s">
        <v>95</v>
      </c>
      <c r="B4967" s="90" t="s">
        <v>10495</v>
      </c>
    </row>
    <row r="4968" spans="1:2" x14ac:dyDescent="0.25">
      <c r="A4968" s="52" t="s">
        <v>95</v>
      </c>
      <c r="B4968" s="90" t="s">
        <v>10496</v>
      </c>
    </row>
    <row r="4969" spans="1:2" x14ac:dyDescent="0.25">
      <c r="A4969" s="52" t="s">
        <v>95</v>
      </c>
      <c r="B4969" s="90" t="s">
        <v>10497</v>
      </c>
    </row>
    <row r="4970" spans="1:2" x14ac:dyDescent="0.25">
      <c r="A4970" s="52" t="s">
        <v>95</v>
      </c>
      <c r="B4970" s="90" t="s">
        <v>10498</v>
      </c>
    </row>
    <row r="4971" spans="1:2" x14ac:dyDescent="0.25">
      <c r="A4971" s="52" t="s">
        <v>95</v>
      </c>
      <c r="B4971" s="90" t="s">
        <v>10499</v>
      </c>
    </row>
    <row r="4972" spans="1:2" x14ac:dyDescent="0.25">
      <c r="A4972" s="52" t="s">
        <v>95</v>
      </c>
      <c r="B4972" s="90" t="s">
        <v>10500</v>
      </c>
    </row>
    <row r="4973" spans="1:2" x14ac:dyDescent="0.25">
      <c r="A4973" s="52" t="s">
        <v>95</v>
      </c>
      <c r="B4973" s="90" t="s">
        <v>10501</v>
      </c>
    </row>
    <row r="4974" spans="1:2" x14ac:dyDescent="0.25">
      <c r="A4974" s="52" t="s">
        <v>95</v>
      </c>
      <c r="B4974" s="90" t="s">
        <v>10502</v>
      </c>
    </row>
    <row r="4975" spans="1:2" x14ac:dyDescent="0.25">
      <c r="A4975" s="52" t="s">
        <v>95</v>
      </c>
      <c r="B4975" s="90" t="s">
        <v>10503</v>
      </c>
    </row>
    <row r="4976" spans="1:2" x14ac:dyDescent="0.25">
      <c r="A4976" s="52" t="s">
        <v>95</v>
      </c>
      <c r="B4976" s="90" t="s">
        <v>10504</v>
      </c>
    </row>
    <row r="4977" spans="1:2" x14ac:dyDescent="0.25">
      <c r="A4977" s="52" t="s">
        <v>95</v>
      </c>
      <c r="B4977" s="90" t="s">
        <v>10505</v>
      </c>
    </row>
    <row r="4978" spans="1:2" x14ac:dyDescent="0.25">
      <c r="A4978" s="52" t="s">
        <v>95</v>
      </c>
      <c r="B4978" s="90" t="s">
        <v>10506</v>
      </c>
    </row>
    <row r="4979" spans="1:2" x14ac:dyDescent="0.25">
      <c r="A4979" s="52" t="s">
        <v>95</v>
      </c>
      <c r="B4979" s="90" t="s">
        <v>10507</v>
      </c>
    </row>
    <row r="4980" spans="1:2" x14ac:dyDescent="0.25">
      <c r="A4980" s="52" t="s">
        <v>95</v>
      </c>
      <c r="B4980" s="90" t="s">
        <v>10508</v>
      </c>
    </row>
    <row r="4981" spans="1:2" x14ac:dyDescent="0.25">
      <c r="A4981" s="52" t="s">
        <v>95</v>
      </c>
      <c r="B4981" s="90" t="s">
        <v>10509</v>
      </c>
    </row>
    <row r="4982" spans="1:2" x14ac:dyDescent="0.25">
      <c r="A4982" s="52" t="s">
        <v>95</v>
      </c>
      <c r="B4982" s="90" t="s">
        <v>10510</v>
      </c>
    </row>
    <row r="4983" spans="1:2" x14ac:dyDescent="0.25">
      <c r="A4983" s="52" t="s">
        <v>95</v>
      </c>
      <c r="B4983" s="90" t="s">
        <v>10511</v>
      </c>
    </row>
    <row r="4984" spans="1:2" x14ac:dyDescent="0.25">
      <c r="A4984" s="52" t="s">
        <v>95</v>
      </c>
      <c r="B4984" s="90" t="s">
        <v>10512</v>
      </c>
    </row>
    <row r="4985" spans="1:2" x14ac:dyDescent="0.25">
      <c r="A4985" s="52" t="s">
        <v>95</v>
      </c>
      <c r="B4985" s="90" t="s">
        <v>10513</v>
      </c>
    </row>
    <row r="4986" spans="1:2" x14ac:dyDescent="0.25">
      <c r="A4986" s="52" t="s">
        <v>95</v>
      </c>
      <c r="B4986" s="90" t="s">
        <v>10514</v>
      </c>
    </row>
    <row r="4987" spans="1:2" x14ac:dyDescent="0.25">
      <c r="A4987" s="52" t="s">
        <v>95</v>
      </c>
      <c r="B4987" s="90" t="s">
        <v>10515</v>
      </c>
    </row>
    <row r="4988" spans="1:2" x14ac:dyDescent="0.25">
      <c r="A4988" s="52" t="s">
        <v>95</v>
      </c>
      <c r="B4988" s="90" t="s">
        <v>10516</v>
      </c>
    </row>
    <row r="4989" spans="1:2" x14ac:dyDescent="0.25">
      <c r="A4989" s="52" t="s">
        <v>95</v>
      </c>
      <c r="B4989" s="90" t="s">
        <v>10517</v>
      </c>
    </row>
    <row r="4990" spans="1:2" x14ac:dyDescent="0.25">
      <c r="A4990" s="52" t="s">
        <v>95</v>
      </c>
      <c r="B4990" s="90" t="s">
        <v>10518</v>
      </c>
    </row>
    <row r="4991" spans="1:2" x14ac:dyDescent="0.25">
      <c r="A4991" s="52" t="s">
        <v>95</v>
      </c>
      <c r="B4991" s="90" t="s">
        <v>10519</v>
      </c>
    </row>
    <row r="4992" spans="1:2" x14ac:dyDescent="0.25">
      <c r="A4992" s="52" t="s">
        <v>95</v>
      </c>
      <c r="B4992" s="90" t="s">
        <v>10520</v>
      </c>
    </row>
    <row r="4993" spans="1:2" x14ac:dyDescent="0.25">
      <c r="A4993" s="52" t="s">
        <v>95</v>
      </c>
      <c r="B4993" s="90" t="s">
        <v>10521</v>
      </c>
    </row>
    <row r="4994" spans="1:2" x14ac:dyDescent="0.25">
      <c r="A4994" s="52" t="s">
        <v>95</v>
      </c>
      <c r="B4994" s="90" t="s">
        <v>10522</v>
      </c>
    </row>
    <row r="4995" spans="1:2" x14ac:dyDescent="0.25">
      <c r="A4995" s="52" t="s">
        <v>95</v>
      </c>
      <c r="B4995" s="90" t="s">
        <v>10523</v>
      </c>
    </row>
    <row r="4996" spans="1:2" x14ac:dyDescent="0.25">
      <c r="A4996" s="52" t="s">
        <v>95</v>
      </c>
      <c r="B4996" s="90" t="s">
        <v>10524</v>
      </c>
    </row>
    <row r="4997" spans="1:2" x14ac:dyDescent="0.25">
      <c r="A4997" s="52" t="s">
        <v>95</v>
      </c>
      <c r="B4997" s="90" t="s">
        <v>10525</v>
      </c>
    </row>
    <row r="4998" spans="1:2" x14ac:dyDescent="0.25">
      <c r="A4998" s="52" t="s">
        <v>95</v>
      </c>
      <c r="B4998" s="90" t="s">
        <v>10526</v>
      </c>
    </row>
    <row r="4999" spans="1:2" x14ac:dyDescent="0.25">
      <c r="A4999" s="52" t="s">
        <v>95</v>
      </c>
      <c r="B4999" s="90" t="s">
        <v>10527</v>
      </c>
    </row>
    <row r="5000" spans="1:2" x14ac:dyDescent="0.25">
      <c r="A5000" s="52" t="s">
        <v>95</v>
      </c>
      <c r="B5000" s="90" t="s">
        <v>10528</v>
      </c>
    </row>
    <row r="5001" spans="1:2" x14ac:dyDescent="0.25">
      <c r="A5001" s="52" t="s">
        <v>95</v>
      </c>
      <c r="B5001" s="90" t="s">
        <v>10529</v>
      </c>
    </row>
    <row r="5002" spans="1:2" x14ac:dyDescent="0.25">
      <c r="A5002" s="52" t="s">
        <v>95</v>
      </c>
      <c r="B5002" s="90" t="s">
        <v>10530</v>
      </c>
    </row>
    <row r="5003" spans="1:2" x14ac:dyDescent="0.25">
      <c r="A5003" s="52" t="s">
        <v>95</v>
      </c>
      <c r="B5003" s="90" t="s">
        <v>10531</v>
      </c>
    </row>
    <row r="5004" spans="1:2" x14ac:dyDescent="0.25">
      <c r="A5004" s="52" t="s">
        <v>95</v>
      </c>
      <c r="B5004" s="90" t="s">
        <v>10532</v>
      </c>
    </row>
    <row r="5005" spans="1:2" x14ac:dyDescent="0.25">
      <c r="A5005" s="52" t="s">
        <v>95</v>
      </c>
      <c r="B5005" s="90" t="s">
        <v>10533</v>
      </c>
    </row>
    <row r="5006" spans="1:2" x14ac:dyDescent="0.25">
      <c r="A5006" s="52" t="s">
        <v>95</v>
      </c>
      <c r="B5006" s="90" t="s">
        <v>10534</v>
      </c>
    </row>
    <row r="5007" spans="1:2" x14ac:dyDescent="0.25">
      <c r="A5007" s="52" t="s">
        <v>95</v>
      </c>
      <c r="B5007" s="90" t="s">
        <v>10535</v>
      </c>
    </row>
    <row r="5008" spans="1:2" x14ac:dyDescent="0.25">
      <c r="A5008" s="52" t="s">
        <v>95</v>
      </c>
      <c r="B5008" s="90" t="s">
        <v>10536</v>
      </c>
    </row>
    <row r="5009" spans="1:2" x14ac:dyDescent="0.25">
      <c r="A5009" s="52" t="s">
        <v>95</v>
      </c>
      <c r="B5009" s="90" t="s">
        <v>10537</v>
      </c>
    </row>
    <row r="5010" spans="1:2" x14ac:dyDescent="0.25">
      <c r="A5010" s="52" t="s">
        <v>95</v>
      </c>
      <c r="B5010" s="90" t="s">
        <v>10538</v>
      </c>
    </row>
    <row r="5011" spans="1:2" x14ac:dyDescent="0.25">
      <c r="A5011" s="52" t="s">
        <v>95</v>
      </c>
      <c r="B5011" s="90" t="s">
        <v>10539</v>
      </c>
    </row>
    <row r="5012" spans="1:2" x14ac:dyDescent="0.25">
      <c r="A5012" s="52" t="s">
        <v>95</v>
      </c>
      <c r="B5012" s="90" t="s">
        <v>10540</v>
      </c>
    </row>
    <row r="5013" spans="1:2" x14ac:dyDescent="0.25">
      <c r="A5013" s="52" t="s">
        <v>95</v>
      </c>
      <c r="B5013" s="90" t="s">
        <v>10541</v>
      </c>
    </row>
    <row r="5014" spans="1:2" x14ac:dyDescent="0.25">
      <c r="A5014" s="52" t="s">
        <v>95</v>
      </c>
      <c r="B5014" s="90" t="s">
        <v>10542</v>
      </c>
    </row>
    <row r="5015" spans="1:2" x14ac:dyDescent="0.25">
      <c r="A5015" s="52" t="s">
        <v>95</v>
      </c>
      <c r="B5015" s="90" t="s">
        <v>10543</v>
      </c>
    </row>
    <row r="5016" spans="1:2" x14ac:dyDescent="0.25">
      <c r="A5016" s="52" t="s">
        <v>95</v>
      </c>
      <c r="B5016" s="90" t="s">
        <v>10544</v>
      </c>
    </row>
    <row r="5017" spans="1:2" x14ac:dyDescent="0.25">
      <c r="A5017" s="52" t="s">
        <v>95</v>
      </c>
      <c r="B5017" s="90" t="s">
        <v>10545</v>
      </c>
    </row>
    <row r="5018" spans="1:2" x14ac:dyDescent="0.25">
      <c r="A5018" s="52" t="s">
        <v>95</v>
      </c>
      <c r="B5018" s="90" t="s">
        <v>10546</v>
      </c>
    </row>
    <row r="5019" spans="1:2" x14ac:dyDescent="0.25">
      <c r="A5019" s="52" t="s">
        <v>95</v>
      </c>
      <c r="B5019" s="90" t="s">
        <v>10547</v>
      </c>
    </row>
    <row r="5020" spans="1:2" x14ac:dyDescent="0.25">
      <c r="A5020" s="52" t="s">
        <v>95</v>
      </c>
      <c r="B5020" s="90" t="s">
        <v>10548</v>
      </c>
    </row>
    <row r="5021" spans="1:2" x14ac:dyDescent="0.25">
      <c r="A5021" s="52" t="s">
        <v>95</v>
      </c>
      <c r="B5021" s="90" t="s">
        <v>10549</v>
      </c>
    </row>
    <row r="5022" spans="1:2" x14ac:dyDescent="0.25">
      <c r="A5022" s="52" t="s">
        <v>95</v>
      </c>
      <c r="B5022" s="90" t="s">
        <v>10550</v>
      </c>
    </row>
    <row r="5023" spans="1:2" x14ac:dyDescent="0.25">
      <c r="A5023" s="52" t="s">
        <v>95</v>
      </c>
      <c r="B5023" s="90" t="s">
        <v>10551</v>
      </c>
    </row>
    <row r="5024" spans="1:2" x14ac:dyDescent="0.25">
      <c r="A5024" s="52" t="s">
        <v>95</v>
      </c>
      <c r="B5024" s="90" t="s">
        <v>10552</v>
      </c>
    </row>
    <row r="5025" spans="1:2" x14ac:dyDescent="0.25">
      <c r="A5025" s="52" t="s">
        <v>95</v>
      </c>
      <c r="B5025" s="90" t="s">
        <v>10553</v>
      </c>
    </row>
    <row r="5026" spans="1:2" x14ac:dyDescent="0.25">
      <c r="A5026" s="52" t="s">
        <v>95</v>
      </c>
      <c r="B5026" s="90" t="s">
        <v>10554</v>
      </c>
    </row>
    <row r="5027" spans="1:2" x14ac:dyDescent="0.25">
      <c r="A5027" s="52" t="s">
        <v>95</v>
      </c>
      <c r="B5027" s="90" t="s">
        <v>10555</v>
      </c>
    </row>
    <row r="5028" spans="1:2" x14ac:dyDescent="0.25">
      <c r="A5028" s="52" t="s">
        <v>95</v>
      </c>
      <c r="B5028" s="90" t="s">
        <v>10555</v>
      </c>
    </row>
    <row r="5029" spans="1:2" x14ac:dyDescent="0.25">
      <c r="A5029" s="52" t="s">
        <v>95</v>
      </c>
      <c r="B5029" s="90" t="s">
        <v>5800</v>
      </c>
    </row>
    <row r="5030" spans="1:2" x14ac:dyDescent="0.25">
      <c r="A5030" s="52" t="s">
        <v>95</v>
      </c>
      <c r="B5030" s="90" t="s">
        <v>10556</v>
      </c>
    </row>
    <row r="5031" spans="1:2" x14ac:dyDescent="0.25">
      <c r="A5031" s="52" t="s">
        <v>95</v>
      </c>
      <c r="B5031" s="90" t="s">
        <v>10557</v>
      </c>
    </row>
    <row r="5032" spans="1:2" x14ac:dyDescent="0.25">
      <c r="A5032" s="52" t="s">
        <v>95</v>
      </c>
      <c r="B5032" s="90" t="s">
        <v>10558</v>
      </c>
    </row>
    <row r="5033" spans="1:2" x14ac:dyDescent="0.25">
      <c r="A5033" s="52" t="s">
        <v>95</v>
      </c>
      <c r="B5033" s="90" t="s">
        <v>10559</v>
      </c>
    </row>
    <row r="5034" spans="1:2" x14ac:dyDescent="0.25">
      <c r="A5034" s="52" t="s">
        <v>95</v>
      </c>
      <c r="B5034" s="90" t="s">
        <v>10560</v>
      </c>
    </row>
    <row r="5035" spans="1:2" x14ac:dyDescent="0.25">
      <c r="A5035" s="52" t="s">
        <v>95</v>
      </c>
      <c r="B5035" s="90" t="s">
        <v>10561</v>
      </c>
    </row>
    <row r="5036" spans="1:2" x14ac:dyDescent="0.25">
      <c r="A5036" s="52" t="s">
        <v>95</v>
      </c>
      <c r="B5036" s="90" t="s">
        <v>10562</v>
      </c>
    </row>
    <row r="5037" spans="1:2" x14ac:dyDescent="0.25">
      <c r="A5037" s="52" t="s">
        <v>95</v>
      </c>
      <c r="B5037" s="90" t="s">
        <v>10563</v>
      </c>
    </row>
    <row r="5038" spans="1:2" x14ac:dyDescent="0.25">
      <c r="A5038" s="52" t="s">
        <v>95</v>
      </c>
      <c r="B5038" s="90" t="s">
        <v>10564</v>
      </c>
    </row>
    <row r="5039" spans="1:2" x14ac:dyDescent="0.25">
      <c r="A5039" s="52" t="s">
        <v>95</v>
      </c>
      <c r="B5039" s="90" t="s">
        <v>10565</v>
      </c>
    </row>
    <row r="5040" spans="1:2" x14ac:dyDescent="0.25">
      <c r="A5040" s="52" t="s">
        <v>95</v>
      </c>
      <c r="B5040" s="90" t="s">
        <v>10566</v>
      </c>
    </row>
    <row r="5041" spans="1:2" x14ac:dyDescent="0.25">
      <c r="A5041" s="52" t="s">
        <v>95</v>
      </c>
      <c r="B5041" s="90" t="s">
        <v>10567</v>
      </c>
    </row>
    <row r="5042" spans="1:2" x14ac:dyDescent="0.25">
      <c r="A5042" s="52" t="s">
        <v>95</v>
      </c>
      <c r="B5042" s="90" t="s">
        <v>10568</v>
      </c>
    </row>
    <row r="5043" spans="1:2" x14ac:dyDescent="0.25">
      <c r="A5043" s="52" t="s">
        <v>95</v>
      </c>
      <c r="B5043" s="90" t="s">
        <v>10569</v>
      </c>
    </row>
    <row r="5044" spans="1:2" x14ac:dyDescent="0.25">
      <c r="A5044" s="52" t="s">
        <v>95</v>
      </c>
      <c r="B5044" s="90" t="s">
        <v>10570</v>
      </c>
    </row>
    <row r="5045" spans="1:2" x14ac:dyDescent="0.25">
      <c r="A5045" s="52" t="s">
        <v>95</v>
      </c>
      <c r="B5045" s="90" t="s">
        <v>10571</v>
      </c>
    </row>
    <row r="5046" spans="1:2" x14ac:dyDescent="0.25">
      <c r="A5046" s="52" t="s">
        <v>95</v>
      </c>
      <c r="B5046" s="90" t="s">
        <v>10572</v>
      </c>
    </row>
    <row r="5047" spans="1:2" x14ac:dyDescent="0.25">
      <c r="A5047" s="52" t="s">
        <v>95</v>
      </c>
      <c r="B5047" s="90" t="s">
        <v>10573</v>
      </c>
    </row>
    <row r="5048" spans="1:2" x14ac:dyDescent="0.25">
      <c r="A5048" s="52" t="s">
        <v>95</v>
      </c>
      <c r="B5048" s="90" t="s">
        <v>10574</v>
      </c>
    </row>
    <row r="5049" spans="1:2" x14ac:dyDescent="0.25">
      <c r="A5049" s="52" t="s">
        <v>95</v>
      </c>
      <c r="B5049" s="90" t="s">
        <v>10575</v>
      </c>
    </row>
    <row r="5050" spans="1:2" x14ac:dyDescent="0.25">
      <c r="A5050" s="52" t="s">
        <v>95</v>
      </c>
      <c r="B5050" s="90" t="s">
        <v>10576</v>
      </c>
    </row>
    <row r="5051" spans="1:2" x14ac:dyDescent="0.25">
      <c r="A5051" s="52" t="s">
        <v>95</v>
      </c>
      <c r="B5051" s="90" t="s">
        <v>10577</v>
      </c>
    </row>
    <row r="5052" spans="1:2" x14ac:dyDescent="0.25">
      <c r="A5052" s="52" t="s">
        <v>95</v>
      </c>
      <c r="B5052" s="90" t="s">
        <v>10578</v>
      </c>
    </row>
    <row r="5053" spans="1:2" x14ac:dyDescent="0.25">
      <c r="A5053" s="52" t="s">
        <v>95</v>
      </c>
      <c r="B5053" s="90" t="s">
        <v>10579</v>
      </c>
    </row>
    <row r="5054" spans="1:2" x14ac:dyDescent="0.25">
      <c r="A5054" s="52" t="s">
        <v>95</v>
      </c>
      <c r="B5054" s="90" t="s">
        <v>10580</v>
      </c>
    </row>
    <row r="5055" spans="1:2" x14ac:dyDescent="0.25">
      <c r="A5055" s="52" t="s">
        <v>95</v>
      </c>
      <c r="B5055" s="90" t="s">
        <v>10581</v>
      </c>
    </row>
    <row r="5056" spans="1:2" x14ac:dyDescent="0.25">
      <c r="A5056" s="52" t="s">
        <v>95</v>
      </c>
      <c r="B5056" s="90" t="s">
        <v>10582</v>
      </c>
    </row>
    <row r="5057" spans="1:2" x14ac:dyDescent="0.25">
      <c r="A5057" s="52" t="s">
        <v>95</v>
      </c>
      <c r="B5057" s="90" t="s">
        <v>10583</v>
      </c>
    </row>
    <row r="5058" spans="1:2" x14ac:dyDescent="0.25">
      <c r="A5058" s="52" t="s">
        <v>95</v>
      </c>
      <c r="B5058" s="90" t="s">
        <v>10584</v>
      </c>
    </row>
    <row r="5059" spans="1:2" x14ac:dyDescent="0.25">
      <c r="A5059" s="52" t="s">
        <v>95</v>
      </c>
      <c r="B5059" s="90" t="s">
        <v>10585</v>
      </c>
    </row>
    <row r="5060" spans="1:2" x14ac:dyDescent="0.25">
      <c r="A5060" s="52" t="s">
        <v>95</v>
      </c>
      <c r="B5060" s="90" t="s">
        <v>10586</v>
      </c>
    </row>
    <row r="5061" spans="1:2" x14ac:dyDescent="0.25">
      <c r="A5061" s="52" t="s">
        <v>95</v>
      </c>
      <c r="B5061" s="90" t="s">
        <v>10587</v>
      </c>
    </row>
    <row r="5062" spans="1:2" x14ac:dyDescent="0.25">
      <c r="A5062" s="52" t="s">
        <v>95</v>
      </c>
      <c r="B5062" s="90" t="s">
        <v>10588</v>
      </c>
    </row>
    <row r="5063" spans="1:2" x14ac:dyDescent="0.25">
      <c r="A5063" s="52" t="s">
        <v>95</v>
      </c>
      <c r="B5063" s="90" t="s">
        <v>10589</v>
      </c>
    </row>
    <row r="5064" spans="1:2" x14ac:dyDescent="0.25">
      <c r="A5064" s="52" t="s">
        <v>95</v>
      </c>
      <c r="B5064" s="90" t="s">
        <v>10590</v>
      </c>
    </row>
    <row r="5065" spans="1:2" x14ac:dyDescent="0.25">
      <c r="A5065" s="52" t="s">
        <v>95</v>
      </c>
      <c r="B5065" s="90" t="s">
        <v>10591</v>
      </c>
    </row>
    <row r="5066" spans="1:2" x14ac:dyDescent="0.25">
      <c r="A5066" s="52" t="s">
        <v>95</v>
      </c>
      <c r="B5066" s="90" t="s">
        <v>10592</v>
      </c>
    </row>
    <row r="5067" spans="1:2" x14ac:dyDescent="0.25">
      <c r="A5067" s="52" t="s">
        <v>95</v>
      </c>
      <c r="B5067" s="90" t="s">
        <v>10593</v>
      </c>
    </row>
    <row r="5068" spans="1:2" x14ac:dyDescent="0.25">
      <c r="A5068" s="52" t="s">
        <v>95</v>
      </c>
      <c r="B5068" s="90" t="s">
        <v>10594</v>
      </c>
    </row>
    <row r="5069" spans="1:2" x14ac:dyDescent="0.25">
      <c r="A5069" s="52" t="s">
        <v>95</v>
      </c>
      <c r="B5069" s="90" t="s">
        <v>10595</v>
      </c>
    </row>
    <row r="5070" spans="1:2" x14ac:dyDescent="0.25">
      <c r="A5070" s="52" t="s">
        <v>95</v>
      </c>
      <c r="B5070" s="90" t="s">
        <v>10595</v>
      </c>
    </row>
    <row r="5071" spans="1:2" x14ac:dyDescent="0.25">
      <c r="A5071" s="52" t="s">
        <v>95</v>
      </c>
      <c r="B5071" s="90" t="s">
        <v>10596</v>
      </c>
    </row>
    <row r="5072" spans="1:2" x14ac:dyDescent="0.25">
      <c r="A5072" s="52" t="s">
        <v>95</v>
      </c>
      <c r="B5072" s="90" t="s">
        <v>10597</v>
      </c>
    </row>
    <row r="5073" spans="1:2" x14ac:dyDescent="0.25">
      <c r="A5073" s="52" t="s">
        <v>95</v>
      </c>
      <c r="B5073" s="90" t="s">
        <v>10598</v>
      </c>
    </row>
    <row r="5074" spans="1:2" x14ac:dyDescent="0.25">
      <c r="A5074" s="52" t="s">
        <v>95</v>
      </c>
      <c r="B5074" s="90" t="s">
        <v>10599</v>
      </c>
    </row>
    <row r="5075" spans="1:2" x14ac:dyDescent="0.25">
      <c r="A5075" s="52" t="s">
        <v>95</v>
      </c>
      <c r="B5075" s="90" t="s">
        <v>10600</v>
      </c>
    </row>
    <row r="5076" spans="1:2" x14ac:dyDescent="0.25">
      <c r="A5076" s="52" t="s">
        <v>95</v>
      </c>
      <c r="B5076" s="90" t="s">
        <v>10601</v>
      </c>
    </row>
    <row r="5077" spans="1:2" x14ac:dyDescent="0.25">
      <c r="A5077" s="52" t="s">
        <v>95</v>
      </c>
      <c r="B5077" s="90" t="s">
        <v>10602</v>
      </c>
    </row>
    <row r="5078" spans="1:2" x14ac:dyDescent="0.25">
      <c r="A5078" s="52" t="s">
        <v>95</v>
      </c>
      <c r="B5078" s="90" t="s">
        <v>10603</v>
      </c>
    </row>
    <row r="5079" spans="1:2" x14ac:dyDescent="0.25">
      <c r="A5079" s="52" t="s">
        <v>95</v>
      </c>
      <c r="B5079" s="90" t="s">
        <v>10604</v>
      </c>
    </row>
    <row r="5080" spans="1:2" x14ac:dyDescent="0.25">
      <c r="A5080" s="52" t="s">
        <v>95</v>
      </c>
      <c r="B5080" s="90" t="s">
        <v>10605</v>
      </c>
    </row>
    <row r="5081" spans="1:2" x14ac:dyDescent="0.25">
      <c r="A5081" s="52" t="s">
        <v>95</v>
      </c>
      <c r="B5081" s="90" t="s">
        <v>10606</v>
      </c>
    </row>
    <row r="5082" spans="1:2" x14ac:dyDescent="0.25">
      <c r="A5082" s="52" t="s">
        <v>95</v>
      </c>
      <c r="B5082" s="90" t="s">
        <v>10607</v>
      </c>
    </row>
    <row r="5083" spans="1:2" x14ac:dyDescent="0.25">
      <c r="A5083" s="52" t="s">
        <v>95</v>
      </c>
      <c r="B5083" s="90" t="s">
        <v>10608</v>
      </c>
    </row>
    <row r="5084" spans="1:2" x14ac:dyDescent="0.25">
      <c r="A5084" s="52" t="s">
        <v>95</v>
      </c>
      <c r="B5084" s="90" t="s">
        <v>10609</v>
      </c>
    </row>
    <row r="5085" spans="1:2" x14ac:dyDescent="0.25">
      <c r="A5085" s="52" t="s">
        <v>95</v>
      </c>
      <c r="B5085" s="90" t="s">
        <v>10610</v>
      </c>
    </row>
    <row r="5086" spans="1:2" x14ac:dyDescent="0.25">
      <c r="A5086" s="52" t="s">
        <v>95</v>
      </c>
      <c r="B5086" s="90" t="s">
        <v>10611</v>
      </c>
    </row>
    <row r="5087" spans="1:2" x14ac:dyDescent="0.25">
      <c r="A5087" s="52" t="s">
        <v>95</v>
      </c>
      <c r="B5087" s="90" t="s">
        <v>10612</v>
      </c>
    </row>
    <row r="5088" spans="1:2" x14ac:dyDescent="0.25">
      <c r="A5088" s="52" t="s">
        <v>95</v>
      </c>
      <c r="B5088" s="90" t="s">
        <v>10613</v>
      </c>
    </row>
    <row r="5089" spans="1:2" x14ac:dyDescent="0.25">
      <c r="A5089" s="52" t="s">
        <v>95</v>
      </c>
      <c r="B5089" s="90" t="s">
        <v>10614</v>
      </c>
    </row>
    <row r="5090" spans="1:2" x14ac:dyDescent="0.25">
      <c r="A5090" s="52" t="s">
        <v>95</v>
      </c>
      <c r="B5090" s="90" t="s">
        <v>10615</v>
      </c>
    </row>
    <row r="5091" spans="1:2" x14ac:dyDescent="0.25">
      <c r="A5091" s="52" t="s">
        <v>95</v>
      </c>
      <c r="B5091" s="90" t="s">
        <v>10616</v>
      </c>
    </row>
    <row r="5092" spans="1:2" x14ac:dyDescent="0.25">
      <c r="A5092" s="52" t="s">
        <v>95</v>
      </c>
      <c r="B5092" s="90" t="s">
        <v>10617</v>
      </c>
    </row>
    <row r="5093" spans="1:2" x14ac:dyDescent="0.25">
      <c r="A5093" s="52" t="s">
        <v>95</v>
      </c>
      <c r="B5093" s="90" t="s">
        <v>10618</v>
      </c>
    </row>
    <row r="5094" spans="1:2" x14ac:dyDescent="0.25">
      <c r="A5094" s="52" t="s">
        <v>95</v>
      </c>
      <c r="B5094" s="90" t="s">
        <v>10619</v>
      </c>
    </row>
    <row r="5095" spans="1:2" x14ac:dyDescent="0.25">
      <c r="A5095" s="52" t="s">
        <v>95</v>
      </c>
      <c r="B5095" s="90" t="s">
        <v>10620</v>
      </c>
    </row>
    <row r="5096" spans="1:2" x14ac:dyDescent="0.25">
      <c r="A5096" s="52" t="s">
        <v>95</v>
      </c>
      <c r="B5096" s="90" t="s">
        <v>10621</v>
      </c>
    </row>
    <row r="5097" spans="1:2" x14ac:dyDescent="0.25">
      <c r="A5097" s="52" t="s">
        <v>95</v>
      </c>
      <c r="B5097" s="90" t="s">
        <v>5801</v>
      </c>
    </row>
    <row r="5098" spans="1:2" x14ac:dyDescent="0.25">
      <c r="A5098" s="52" t="s">
        <v>95</v>
      </c>
      <c r="B5098" s="90" t="s">
        <v>10622</v>
      </c>
    </row>
    <row r="5099" spans="1:2" x14ac:dyDescent="0.25">
      <c r="A5099" s="52" t="s">
        <v>95</v>
      </c>
      <c r="B5099" s="90" t="s">
        <v>10623</v>
      </c>
    </row>
    <row r="5100" spans="1:2" x14ac:dyDescent="0.25">
      <c r="A5100" s="52" t="s">
        <v>95</v>
      </c>
      <c r="B5100" s="90" t="s">
        <v>10624</v>
      </c>
    </row>
    <row r="5101" spans="1:2" x14ac:dyDescent="0.25">
      <c r="A5101" s="52" t="s">
        <v>95</v>
      </c>
      <c r="B5101" s="90" t="s">
        <v>10625</v>
      </c>
    </row>
    <row r="5102" spans="1:2" x14ac:dyDescent="0.25">
      <c r="A5102" s="52" t="s">
        <v>95</v>
      </c>
      <c r="B5102" s="90" t="s">
        <v>10626</v>
      </c>
    </row>
    <row r="5103" spans="1:2" x14ac:dyDescent="0.25">
      <c r="A5103" s="52" t="s">
        <v>95</v>
      </c>
      <c r="B5103" s="90" t="s">
        <v>10627</v>
      </c>
    </row>
    <row r="5104" spans="1:2" x14ac:dyDescent="0.25">
      <c r="A5104" s="52" t="s">
        <v>95</v>
      </c>
      <c r="B5104" s="90" t="s">
        <v>10628</v>
      </c>
    </row>
    <row r="5105" spans="1:2" x14ac:dyDescent="0.25">
      <c r="A5105" s="52" t="s">
        <v>95</v>
      </c>
      <c r="B5105" s="90" t="s">
        <v>10629</v>
      </c>
    </row>
    <row r="5106" spans="1:2" x14ac:dyDescent="0.25">
      <c r="A5106" s="52" t="s">
        <v>95</v>
      </c>
      <c r="B5106" s="90" t="s">
        <v>10630</v>
      </c>
    </row>
    <row r="5107" spans="1:2" x14ac:dyDescent="0.25">
      <c r="A5107" s="52" t="s">
        <v>95</v>
      </c>
      <c r="B5107" s="90" t="s">
        <v>10631</v>
      </c>
    </row>
    <row r="5108" spans="1:2" x14ac:dyDescent="0.25">
      <c r="A5108" s="52" t="s">
        <v>95</v>
      </c>
      <c r="B5108" s="90" t="s">
        <v>10632</v>
      </c>
    </row>
    <row r="5109" spans="1:2" x14ac:dyDescent="0.25">
      <c r="A5109" s="52" t="s">
        <v>95</v>
      </c>
      <c r="B5109" s="90" t="s">
        <v>10633</v>
      </c>
    </row>
    <row r="5110" spans="1:2" x14ac:dyDescent="0.25">
      <c r="A5110" s="52" t="s">
        <v>95</v>
      </c>
      <c r="B5110" s="90" t="s">
        <v>10634</v>
      </c>
    </row>
    <row r="5111" spans="1:2" x14ac:dyDescent="0.25">
      <c r="A5111" s="52" t="s">
        <v>95</v>
      </c>
      <c r="B5111" s="90" t="s">
        <v>10635</v>
      </c>
    </row>
    <row r="5112" spans="1:2" x14ac:dyDescent="0.25">
      <c r="A5112" s="52" t="s">
        <v>95</v>
      </c>
      <c r="B5112" s="90" t="s">
        <v>10635</v>
      </c>
    </row>
    <row r="5113" spans="1:2" x14ac:dyDescent="0.25">
      <c r="A5113" s="52" t="s">
        <v>95</v>
      </c>
      <c r="B5113" s="90" t="s">
        <v>10636</v>
      </c>
    </row>
    <row r="5114" spans="1:2" x14ac:dyDescent="0.25">
      <c r="A5114" s="52" t="s">
        <v>95</v>
      </c>
      <c r="B5114" s="90" t="s">
        <v>10637</v>
      </c>
    </row>
    <row r="5115" spans="1:2" x14ac:dyDescent="0.25">
      <c r="A5115" s="52" t="s">
        <v>95</v>
      </c>
      <c r="B5115" s="90" t="s">
        <v>10638</v>
      </c>
    </row>
    <row r="5116" spans="1:2" x14ac:dyDescent="0.25">
      <c r="A5116" s="52" t="s">
        <v>95</v>
      </c>
      <c r="B5116" s="90" t="s">
        <v>10639</v>
      </c>
    </row>
    <row r="5117" spans="1:2" x14ac:dyDescent="0.25">
      <c r="A5117" s="52" t="s">
        <v>95</v>
      </c>
      <c r="B5117" s="90" t="s">
        <v>10640</v>
      </c>
    </row>
    <row r="5118" spans="1:2" x14ac:dyDescent="0.25">
      <c r="A5118" s="52" t="s">
        <v>95</v>
      </c>
      <c r="B5118" s="90" t="s">
        <v>10641</v>
      </c>
    </row>
    <row r="5119" spans="1:2" x14ac:dyDescent="0.25">
      <c r="A5119" s="52" t="s">
        <v>95</v>
      </c>
      <c r="B5119" s="90" t="s">
        <v>10642</v>
      </c>
    </row>
    <row r="5120" spans="1:2" x14ac:dyDescent="0.25">
      <c r="A5120" s="52" t="s">
        <v>95</v>
      </c>
      <c r="B5120" s="90" t="s">
        <v>10643</v>
      </c>
    </row>
    <row r="5121" spans="1:2" x14ac:dyDescent="0.25">
      <c r="A5121" s="52" t="s">
        <v>95</v>
      </c>
      <c r="B5121" s="90" t="s">
        <v>10644</v>
      </c>
    </row>
    <row r="5122" spans="1:2" x14ac:dyDescent="0.25">
      <c r="A5122" s="52" t="s">
        <v>95</v>
      </c>
      <c r="B5122" s="90" t="s">
        <v>10645</v>
      </c>
    </row>
    <row r="5123" spans="1:2" x14ac:dyDescent="0.25">
      <c r="A5123" s="52" t="s">
        <v>95</v>
      </c>
      <c r="B5123" s="90" t="s">
        <v>10646</v>
      </c>
    </row>
    <row r="5124" spans="1:2" x14ac:dyDescent="0.25">
      <c r="A5124" s="52" t="s">
        <v>95</v>
      </c>
      <c r="B5124" s="90" t="s">
        <v>10647</v>
      </c>
    </row>
    <row r="5125" spans="1:2" x14ac:dyDescent="0.25">
      <c r="A5125" s="52" t="s">
        <v>95</v>
      </c>
      <c r="B5125" s="90" t="s">
        <v>10648</v>
      </c>
    </row>
    <row r="5126" spans="1:2" x14ac:dyDescent="0.25">
      <c r="A5126" s="52" t="s">
        <v>95</v>
      </c>
      <c r="B5126" s="90" t="s">
        <v>10649</v>
      </c>
    </row>
    <row r="5127" spans="1:2" x14ac:dyDescent="0.25">
      <c r="A5127" s="52" t="s">
        <v>95</v>
      </c>
      <c r="B5127" s="90" t="s">
        <v>10650</v>
      </c>
    </row>
    <row r="5128" spans="1:2" x14ac:dyDescent="0.25">
      <c r="A5128" s="52" t="s">
        <v>95</v>
      </c>
      <c r="B5128" s="90" t="s">
        <v>10651</v>
      </c>
    </row>
    <row r="5129" spans="1:2" x14ac:dyDescent="0.25">
      <c r="A5129" s="52" t="s">
        <v>95</v>
      </c>
      <c r="B5129" s="90" t="s">
        <v>10652</v>
      </c>
    </row>
    <row r="5130" spans="1:2" x14ac:dyDescent="0.25">
      <c r="A5130" s="52" t="s">
        <v>95</v>
      </c>
      <c r="B5130" s="90" t="s">
        <v>10653</v>
      </c>
    </row>
    <row r="5131" spans="1:2" x14ac:dyDescent="0.25">
      <c r="A5131" s="52" t="s">
        <v>95</v>
      </c>
      <c r="B5131" s="90" t="s">
        <v>10654</v>
      </c>
    </row>
    <row r="5132" spans="1:2" x14ac:dyDescent="0.25">
      <c r="A5132" s="52" t="s">
        <v>95</v>
      </c>
      <c r="B5132" s="90" t="s">
        <v>10655</v>
      </c>
    </row>
    <row r="5133" spans="1:2" x14ac:dyDescent="0.25">
      <c r="A5133" s="52" t="s">
        <v>95</v>
      </c>
      <c r="B5133" s="90" t="s">
        <v>10656</v>
      </c>
    </row>
    <row r="5134" spans="1:2" x14ac:dyDescent="0.25">
      <c r="A5134" s="52" t="s">
        <v>95</v>
      </c>
      <c r="B5134" s="90" t="s">
        <v>10657</v>
      </c>
    </row>
    <row r="5135" spans="1:2" x14ac:dyDescent="0.25">
      <c r="A5135" s="52" t="s">
        <v>95</v>
      </c>
      <c r="B5135" s="90" t="s">
        <v>10658</v>
      </c>
    </row>
    <row r="5136" spans="1:2" x14ac:dyDescent="0.25">
      <c r="A5136" s="52" t="s">
        <v>95</v>
      </c>
      <c r="B5136" s="90" t="s">
        <v>10659</v>
      </c>
    </row>
    <row r="5137" spans="1:2" x14ac:dyDescent="0.25">
      <c r="A5137" s="52" t="s">
        <v>95</v>
      </c>
      <c r="B5137" s="90" t="s">
        <v>10660</v>
      </c>
    </row>
    <row r="5138" spans="1:2" x14ac:dyDescent="0.25">
      <c r="A5138" s="52" t="s">
        <v>95</v>
      </c>
      <c r="B5138" s="90" t="s">
        <v>10661</v>
      </c>
    </row>
    <row r="5139" spans="1:2" x14ac:dyDescent="0.25">
      <c r="A5139" s="52" t="s">
        <v>95</v>
      </c>
      <c r="B5139" s="90" t="s">
        <v>10662</v>
      </c>
    </row>
    <row r="5140" spans="1:2" x14ac:dyDescent="0.25">
      <c r="A5140" s="52" t="s">
        <v>95</v>
      </c>
      <c r="B5140" s="90" t="s">
        <v>10663</v>
      </c>
    </row>
    <row r="5141" spans="1:2" x14ac:dyDescent="0.25">
      <c r="A5141" s="52" t="s">
        <v>95</v>
      </c>
      <c r="B5141" s="90" t="s">
        <v>10664</v>
      </c>
    </row>
    <row r="5142" spans="1:2" x14ac:dyDescent="0.25">
      <c r="A5142" s="52" t="s">
        <v>95</v>
      </c>
      <c r="B5142" s="90" t="s">
        <v>10665</v>
      </c>
    </row>
    <row r="5143" spans="1:2" x14ac:dyDescent="0.25">
      <c r="A5143" s="52" t="s">
        <v>95</v>
      </c>
      <c r="B5143" s="90" t="s">
        <v>10666</v>
      </c>
    </row>
    <row r="5144" spans="1:2" x14ac:dyDescent="0.25">
      <c r="A5144" s="52" t="s">
        <v>95</v>
      </c>
      <c r="B5144" s="90" t="s">
        <v>10667</v>
      </c>
    </row>
    <row r="5145" spans="1:2" x14ac:dyDescent="0.25">
      <c r="A5145" s="52" t="s">
        <v>95</v>
      </c>
      <c r="B5145" s="90" t="s">
        <v>10668</v>
      </c>
    </row>
    <row r="5146" spans="1:2" x14ac:dyDescent="0.25">
      <c r="A5146" s="52" t="s">
        <v>95</v>
      </c>
      <c r="B5146" s="90" t="s">
        <v>10669</v>
      </c>
    </row>
    <row r="5147" spans="1:2" x14ac:dyDescent="0.25">
      <c r="A5147" s="52" t="s">
        <v>95</v>
      </c>
      <c r="B5147" s="90" t="s">
        <v>10670</v>
      </c>
    </row>
    <row r="5148" spans="1:2" x14ac:dyDescent="0.25">
      <c r="A5148" s="52" t="s">
        <v>95</v>
      </c>
      <c r="B5148" s="90" t="s">
        <v>10671</v>
      </c>
    </row>
    <row r="5149" spans="1:2" x14ac:dyDescent="0.25">
      <c r="A5149" s="52" t="s">
        <v>95</v>
      </c>
      <c r="B5149" s="90" t="s">
        <v>10672</v>
      </c>
    </row>
    <row r="5150" spans="1:2" x14ac:dyDescent="0.25">
      <c r="A5150" s="52" t="s">
        <v>95</v>
      </c>
      <c r="B5150" s="90" t="s">
        <v>10673</v>
      </c>
    </row>
    <row r="5151" spans="1:2" x14ac:dyDescent="0.25">
      <c r="A5151" s="52" t="s">
        <v>95</v>
      </c>
      <c r="B5151" s="90" t="s">
        <v>10674</v>
      </c>
    </row>
    <row r="5152" spans="1:2" x14ac:dyDescent="0.25">
      <c r="A5152" s="52" t="s">
        <v>95</v>
      </c>
      <c r="B5152" s="90" t="s">
        <v>10675</v>
      </c>
    </row>
    <row r="5153" spans="1:2" x14ac:dyDescent="0.25">
      <c r="A5153" s="52" t="s">
        <v>95</v>
      </c>
      <c r="B5153" s="90" t="s">
        <v>10676</v>
      </c>
    </row>
    <row r="5154" spans="1:2" x14ac:dyDescent="0.25">
      <c r="A5154" s="52" t="s">
        <v>95</v>
      </c>
      <c r="B5154" s="90" t="s">
        <v>10677</v>
      </c>
    </row>
    <row r="5155" spans="1:2" x14ac:dyDescent="0.25">
      <c r="A5155" s="52" t="s">
        <v>95</v>
      </c>
      <c r="B5155" s="90" t="s">
        <v>10678</v>
      </c>
    </row>
    <row r="5156" spans="1:2" x14ac:dyDescent="0.25">
      <c r="A5156" s="52" t="s">
        <v>95</v>
      </c>
      <c r="B5156" s="90" t="s">
        <v>10679</v>
      </c>
    </row>
    <row r="5157" spans="1:2" x14ac:dyDescent="0.25">
      <c r="A5157" s="52" t="s">
        <v>95</v>
      </c>
      <c r="B5157" s="90" t="s">
        <v>10680</v>
      </c>
    </row>
    <row r="5158" spans="1:2" x14ac:dyDescent="0.25">
      <c r="A5158" s="52" t="s">
        <v>95</v>
      </c>
      <c r="B5158" s="90" t="s">
        <v>10681</v>
      </c>
    </row>
    <row r="5159" spans="1:2" x14ac:dyDescent="0.25">
      <c r="A5159" s="52" t="s">
        <v>95</v>
      </c>
      <c r="B5159" s="90" t="s">
        <v>10682</v>
      </c>
    </row>
    <row r="5160" spans="1:2" x14ac:dyDescent="0.25">
      <c r="A5160" s="52" t="s">
        <v>95</v>
      </c>
      <c r="B5160" s="90" t="s">
        <v>10683</v>
      </c>
    </row>
    <row r="5161" spans="1:2" x14ac:dyDescent="0.25">
      <c r="A5161" s="52" t="s">
        <v>95</v>
      </c>
      <c r="B5161" s="90" t="s">
        <v>10684</v>
      </c>
    </row>
    <row r="5162" spans="1:2" x14ac:dyDescent="0.25">
      <c r="A5162" s="52" t="s">
        <v>95</v>
      </c>
      <c r="B5162" s="90" t="s">
        <v>10685</v>
      </c>
    </row>
    <row r="5163" spans="1:2" x14ac:dyDescent="0.25">
      <c r="A5163" s="52" t="s">
        <v>95</v>
      </c>
      <c r="B5163" s="90" t="s">
        <v>10686</v>
      </c>
    </row>
    <row r="5164" spans="1:2" x14ac:dyDescent="0.25">
      <c r="A5164" s="52" t="s">
        <v>95</v>
      </c>
      <c r="B5164" s="90" t="s">
        <v>10687</v>
      </c>
    </row>
    <row r="5165" spans="1:2" x14ac:dyDescent="0.25">
      <c r="A5165" s="52" t="s">
        <v>95</v>
      </c>
      <c r="B5165" s="90" t="s">
        <v>2459</v>
      </c>
    </row>
    <row r="5166" spans="1:2" x14ac:dyDescent="0.25">
      <c r="A5166" s="52" t="s">
        <v>95</v>
      </c>
      <c r="B5166" s="90" t="s">
        <v>10688</v>
      </c>
    </row>
    <row r="5167" spans="1:2" x14ac:dyDescent="0.25">
      <c r="A5167" s="52" t="s">
        <v>95</v>
      </c>
      <c r="B5167" s="90" t="s">
        <v>10689</v>
      </c>
    </row>
    <row r="5168" spans="1:2" x14ac:dyDescent="0.25">
      <c r="A5168" s="52" t="s">
        <v>95</v>
      </c>
      <c r="B5168" s="90" t="s">
        <v>10690</v>
      </c>
    </row>
    <row r="5169" spans="1:2" x14ac:dyDescent="0.25">
      <c r="A5169" s="52" t="s">
        <v>95</v>
      </c>
      <c r="B5169" s="90" t="s">
        <v>10691</v>
      </c>
    </row>
    <row r="5170" spans="1:2" x14ac:dyDescent="0.25">
      <c r="A5170" s="52" t="s">
        <v>95</v>
      </c>
      <c r="B5170" s="90" t="s">
        <v>10692</v>
      </c>
    </row>
    <row r="5171" spans="1:2" x14ac:dyDescent="0.25">
      <c r="A5171" s="52" t="s">
        <v>95</v>
      </c>
      <c r="B5171" s="90" t="s">
        <v>5236</v>
      </c>
    </row>
    <row r="5172" spans="1:2" x14ac:dyDescent="0.25">
      <c r="A5172" s="52" t="s">
        <v>95</v>
      </c>
      <c r="B5172" s="90" t="s">
        <v>10693</v>
      </c>
    </row>
    <row r="5173" spans="1:2" x14ac:dyDescent="0.25">
      <c r="A5173" s="52" t="s">
        <v>95</v>
      </c>
      <c r="B5173" s="90" t="s">
        <v>10694</v>
      </c>
    </row>
    <row r="5174" spans="1:2" x14ac:dyDescent="0.25">
      <c r="A5174" s="52" t="s">
        <v>95</v>
      </c>
      <c r="B5174" s="90" t="s">
        <v>10695</v>
      </c>
    </row>
    <row r="5175" spans="1:2" x14ac:dyDescent="0.25">
      <c r="A5175" s="52" t="s">
        <v>95</v>
      </c>
      <c r="B5175" s="90" t="s">
        <v>10696</v>
      </c>
    </row>
    <row r="5176" spans="1:2" x14ac:dyDescent="0.25">
      <c r="A5176" s="52" t="s">
        <v>95</v>
      </c>
      <c r="B5176" s="90" t="s">
        <v>10697</v>
      </c>
    </row>
    <row r="5177" spans="1:2" x14ac:dyDescent="0.25">
      <c r="A5177" s="52" t="s">
        <v>95</v>
      </c>
      <c r="B5177" s="90" t="s">
        <v>10698</v>
      </c>
    </row>
    <row r="5178" spans="1:2" x14ac:dyDescent="0.25">
      <c r="A5178" s="52" t="s">
        <v>95</v>
      </c>
      <c r="B5178" s="90" t="s">
        <v>10699</v>
      </c>
    </row>
    <row r="5179" spans="1:2" x14ac:dyDescent="0.25">
      <c r="A5179" s="52" t="s">
        <v>95</v>
      </c>
      <c r="B5179" s="90" t="s">
        <v>10700</v>
      </c>
    </row>
    <row r="5180" spans="1:2" x14ac:dyDescent="0.25">
      <c r="A5180" s="52" t="s">
        <v>95</v>
      </c>
      <c r="B5180" s="90" t="s">
        <v>10701</v>
      </c>
    </row>
    <row r="5181" spans="1:2" x14ac:dyDescent="0.25">
      <c r="A5181" s="52" t="s">
        <v>95</v>
      </c>
      <c r="B5181" s="90" t="s">
        <v>10702</v>
      </c>
    </row>
    <row r="5182" spans="1:2" x14ac:dyDescent="0.25">
      <c r="A5182" s="52" t="s">
        <v>95</v>
      </c>
      <c r="B5182" s="90" t="s">
        <v>10703</v>
      </c>
    </row>
    <row r="5183" spans="1:2" x14ac:dyDescent="0.25">
      <c r="A5183" s="52" t="s">
        <v>95</v>
      </c>
      <c r="B5183" s="90" t="s">
        <v>10704</v>
      </c>
    </row>
    <row r="5184" spans="1:2" x14ac:dyDescent="0.25">
      <c r="A5184" s="52" t="s">
        <v>95</v>
      </c>
      <c r="B5184" s="90" t="s">
        <v>10705</v>
      </c>
    </row>
    <row r="5185" spans="1:2" x14ac:dyDescent="0.25">
      <c r="A5185" s="52" t="s">
        <v>95</v>
      </c>
      <c r="B5185" s="90" t="s">
        <v>10706</v>
      </c>
    </row>
    <row r="5186" spans="1:2" x14ac:dyDescent="0.25">
      <c r="A5186" s="52" t="s">
        <v>95</v>
      </c>
      <c r="B5186" s="90" t="s">
        <v>10707</v>
      </c>
    </row>
    <row r="5187" spans="1:2" x14ac:dyDescent="0.25">
      <c r="A5187" s="52" t="s">
        <v>95</v>
      </c>
      <c r="B5187" s="90" t="s">
        <v>10708</v>
      </c>
    </row>
    <row r="5188" spans="1:2" x14ac:dyDescent="0.25">
      <c r="A5188" s="52" t="s">
        <v>95</v>
      </c>
      <c r="B5188" s="90" t="s">
        <v>10709</v>
      </c>
    </row>
    <row r="5189" spans="1:2" x14ac:dyDescent="0.25">
      <c r="A5189" s="52" t="s">
        <v>95</v>
      </c>
      <c r="B5189" s="90" t="s">
        <v>10710</v>
      </c>
    </row>
    <row r="5190" spans="1:2" x14ac:dyDescent="0.25">
      <c r="A5190" s="52" t="s">
        <v>95</v>
      </c>
      <c r="B5190" s="90" t="s">
        <v>10711</v>
      </c>
    </row>
    <row r="5191" spans="1:2" x14ac:dyDescent="0.25">
      <c r="A5191" s="52" t="s">
        <v>95</v>
      </c>
      <c r="B5191" s="90" t="s">
        <v>10712</v>
      </c>
    </row>
    <row r="5192" spans="1:2" x14ac:dyDescent="0.25">
      <c r="A5192" s="52" t="s">
        <v>95</v>
      </c>
      <c r="B5192" s="90" t="s">
        <v>10713</v>
      </c>
    </row>
    <row r="5193" spans="1:2" x14ac:dyDescent="0.25">
      <c r="A5193" s="52" t="s">
        <v>95</v>
      </c>
      <c r="B5193" s="90" t="s">
        <v>10714</v>
      </c>
    </row>
    <row r="5194" spans="1:2" x14ac:dyDescent="0.25">
      <c r="A5194" s="52" t="s">
        <v>95</v>
      </c>
      <c r="B5194" s="90" t="s">
        <v>10715</v>
      </c>
    </row>
    <row r="5195" spans="1:2" x14ac:dyDescent="0.25">
      <c r="A5195" s="52" t="s">
        <v>95</v>
      </c>
      <c r="B5195" s="90" t="s">
        <v>10716</v>
      </c>
    </row>
    <row r="5196" spans="1:2" x14ac:dyDescent="0.25">
      <c r="A5196" s="52" t="s">
        <v>95</v>
      </c>
      <c r="B5196" s="90" t="s">
        <v>10717</v>
      </c>
    </row>
    <row r="5197" spans="1:2" x14ac:dyDescent="0.25">
      <c r="A5197" s="52" t="s">
        <v>95</v>
      </c>
      <c r="B5197" s="90" t="s">
        <v>10718</v>
      </c>
    </row>
    <row r="5198" spans="1:2" x14ac:dyDescent="0.25">
      <c r="A5198" s="52" t="s">
        <v>95</v>
      </c>
      <c r="B5198" s="90" t="s">
        <v>10719</v>
      </c>
    </row>
    <row r="5199" spans="1:2" x14ac:dyDescent="0.25">
      <c r="A5199" s="52" t="s">
        <v>95</v>
      </c>
      <c r="B5199" s="90" t="s">
        <v>10720</v>
      </c>
    </row>
    <row r="5200" spans="1:2" x14ac:dyDescent="0.25">
      <c r="A5200" s="52" t="s">
        <v>95</v>
      </c>
      <c r="B5200" s="90" t="s">
        <v>10721</v>
      </c>
    </row>
    <row r="5201" spans="1:2" x14ac:dyDescent="0.25">
      <c r="A5201" s="52" t="s">
        <v>95</v>
      </c>
      <c r="B5201" s="90" t="s">
        <v>10722</v>
      </c>
    </row>
    <row r="5202" spans="1:2" x14ac:dyDescent="0.25">
      <c r="A5202" s="52" t="s">
        <v>95</v>
      </c>
      <c r="B5202" s="90" t="s">
        <v>10723</v>
      </c>
    </row>
    <row r="5203" spans="1:2" x14ac:dyDescent="0.25">
      <c r="A5203" s="52" t="s">
        <v>95</v>
      </c>
      <c r="B5203" s="90" t="s">
        <v>10724</v>
      </c>
    </row>
    <row r="5204" spans="1:2" x14ac:dyDescent="0.25">
      <c r="A5204" s="52" t="s">
        <v>95</v>
      </c>
      <c r="B5204" s="90" t="s">
        <v>10725</v>
      </c>
    </row>
    <row r="5205" spans="1:2" x14ac:dyDescent="0.25">
      <c r="A5205" s="52" t="s">
        <v>95</v>
      </c>
      <c r="B5205" s="90" t="s">
        <v>10726</v>
      </c>
    </row>
    <row r="5206" spans="1:2" x14ac:dyDescent="0.25">
      <c r="A5206" s="52" t="s">
        <v>95</v>
      </c>
      <c r="B5206" s="90" t="s">
        <v>10727</v>
      </c>
    </row>
    <row r="5207" spans="1:2" x14ac:dyDescent="0.25">
      <c r="A5207" s="52" t="s">
        <v>95</v>
      </c>
      <c r="B5207" s="90" t="s">
        <v>10728</v>
      </c>
    </row>
    <row r="5208" spans="1:2" x14ac:dyDescent="0.25">
      <c r="A5208" s="52" t="s">
        <v>95</v>
      </c>
      <c r="B5208" s="90" t="s">
        <v>10729</v>
      </c>
    </row>
    <row r="5209" spans="1:2" x14ac:dyDescent="0.25">
      <c r="A5209" s="52" t="s">
        <v>95</v>
      </c>
      <c r="B5209" s="90" t="s">
        <v>10730</v>
      </c>
    </row>
    <row r="5210" spans="1:2" x14ac:dyDescent="0.25">
      <c r="A5210" s="52" t="s">
        <v>95</v>
      </c>
      <c r="B5210" s="90" t="s">
        <v>10731</v>
      </c>
    </row>
    <row r="5211" spans="1:2" x14ac:dyDescent="0.25">
      <c r="A5211" s="52" t="s">
        <v>95</v>
      </c>
      <c r="B5211" s="90" t="s">
        <v>10732</v>
      </c>
    </row>
    <row r="5212" spans="1:2" x14ac:dyDescent="0.25">
      <c r="A5212" s="52" t="s">
        <v>95</v>
      </c>
      <c r="B5212" s="90" t="s">
        <v>10733</v>
      </c>
    </row>
    <row r="5213" spans="1:2" x14ac:dyDescent="0.25">
      <c r="A5213" s="52" t="s">
        <v>95</v>
      </c>
      <c r="B5213" s="90" t="s">
        <v>10734</v>
      </c>
    </row>
    <row r="5214" spans="1:2" x14ac:dyDescent="0.25">
      <c r="A5214" s="52" t="s">
        <v>95</v>
      </c>
      <c r="B5214" s="90" t="s">
        <v>10735</v>
      </c>
    </row>
    <row r="5215" spans="1:2" x14ac:dyDescent="0.25">
      <c r="A5215" s="52" t="s">
        <v>95</v>
      </c>
      <c r="B5215" s="90" t="s">
        <v>10736</v>
      </c>
    </row>
    <row r="5216" spans="1:2" x14ac:dyDescent="0.25">
      <c r="A5216" s="52" t="s">
        <v>95</v>
      </c>
      <c r="B5216" s="90" t="s">
        <v>108</v>
      </c>
    </row>
    <row r="5217" spans="1:2" x14ac:dyDescent="0.25">
      <c r="A5217" s="52" t="s">
        <v>95</v>
      </c>
      <c r="B5217" s="90" t="s">
        <v>10737</v>
      </c>
    </row>
    <row r="5218" spans="1:2" x14ac:dyDescent="0.25">
      <c r="A5218" s="52" t="s">
        <v>95</v>
      </c>
      <c r="B5218" s="90" t="s">
        <v>10738</v>
      </c>
    </row>
    <row r="5219" spans="1:2" x14ac:dyDescent="0.25">
      <c r="A5219" s="52" t="s">
        <v>95</v>
      </c>
      <c r="B5219" s="90" t="s">
        <v>10739</v>
      </c>
    </row>
    <row r="5220" spans="1:2" x14ac:dyDescent="0.25">
      <c r="A5220" s="52" t="s">
        <v>95</v>
      </c>
      <c r="B5220" s="90" t="s">
        <v>10740</v>
      </c>
    </row>
    <row r="5221" spans="1:2" x14ac:dyDescent="0.25">
      <c r="A5221" s="52" t="s">
        <v>95</v>
      </c>
      <c r="B5221" s="90" t="s">
        <v>10741</v>
      </c>
    </row>
    <row r="5222" spans="1:2" x14ac:dyDescent="0.25">
      <c r="A5222" s="52" t="s">
        <v>95</v>
      </c>
      <c r="B5222" s="90" t="s">
        <v>10742</v>
      </c>
    </row>
    <row r="5223" spans="1:2" x14ac:dyDescent="0.25">
      <c r="A5223" s="52" t="s">
        <v>95</v>
      </c>
      <c r="B5223" s="90" t="s">
        <v>10743</v>
      </c>
    </row>
    <row r="5224" spans="1:2" x14ac:dyDescent="0.25">
      <c r="A5224" s="52" t="s">
        <v>95</v>
      </c>
      <c r="B5224" s="90" t="s">
        <v>10744</v>
      </c>
    </row>
    <row r="5225" spans="1:2" x14ac:dyDescent="0.25">
      <c r="A5225" s="52" t="s">
        <v>95</v>
      </c>
      <c r="B5225" s="90" t="s">
        <v>10745</v>
      </c>
    </row>
    <row r="5226" spans="1:2" x14ac:dyDescent="0.25">
      <c r="A5226" s="52" t="s">
        <v>95</v>
      </c>
      <c r="B5226" s="90" t="s">
        <v>10746</v>
      </c>
    </row>
    <row r="5227" spans="1:2" x14ac:dyDescent="0.25">
      <c r="A5227" s="52" t="s">
        <v>95</v>
      </c>
      <c r="B5227" s="90" t="s">
        <v>10747</v>
      </c>
    </row>
    <row r="5228" spans="1:2" x14ac:dyDescent="0.25">
      <c r="A5228" s="52" t="s">
        <v>95</v>
      </c>
      <c r="B5228" s="90" t="s">
        <v>10748</v>
      </c>
    </row>
    <row r="5229" spans="1:2" x14ac:dyDescent="0.25">
      <c r="A5229" s="52" t="s">
        <v>95</v>
      </c>
      <c r="B5229" s="90" t="s">
        <v>10749</v>
      </c>
    </row>
    <row r="5230" spans="1:2" x14ac:dyDescent="0.25">
      <c r="A5230" s="52" t="s">
        <v>95</v>
      </c>
      <c r="B5230" s="90" t="s">
        <v>10750</v>
      </c>
    </row>
    <row r="5231" spans="1:2" x14ac:dyDescent="0.25">
      <c r="A5231" s="52" t="s">
        <v>95</v>
      </c>
      <c r="B5231" s="90" t="s">
        <v>10751</v>
      </c>
    </row>
    <row r="5232" spans="1:2" x14ac:dyDescent="0.25">
      <c r="A5232" s="52" t="s">
        <v>95</v>
      </c>
      <c r="B5232" s="90" t="s">
        <v>10752</v>
      </c>
    </row>
    <row r="5233" spans="1:2" x14ac:dyDescent="0.25">
      <c r="A5233" s="52" t="s">
        <v>95</v>
      </c>
      <c r="B5233" s="90" t="s">
        <v>10753</v>
      </c>
    </row>
    <row r="5234" spans="1:2" x14ac:dyDescent="0.25">
      <c r="A5234" s="52" t="s">
        <v>95</v>
      </c>
      <c r="B5234" s="90" t="s">
        <v>10754</v>
      </c>
    </row>
    <row r="5235" spans="1:2" x14ac:dyDescent="0.25">
      <c r="A5235" s="52" t="s">
        <v>95</v>
      </c>
      <c r="B5235" s="90" t="s">
        <v>10755</v>
      </c>
    </row>
    <row r="5236" spans="1:2" x14ac:dyDescent="0.25">
      <c r="A5236" s="52" t="s">
        <v>95</v>
      </c>
      <c r="B5236" s="90" t="s">
        <v>10756</v>
      </c>
    </row>
    <row r="5237" spans="1:2" x14ac:dyDescent="0.25">
      <c r="A5237" s="52" t="s">
        <v>95</v>
      </c>
      <c r="B5237" s="90" t="s">
        <v>10757</v>
      </c>
    </row>
    <row r="5238" spans="1:2" x14ac:dyDescent="0.25">
      <c r="A5238" s="52" t="s">
        <v>95</v>
      </c>
      <c r="B5238" s="90" t="s">
        <v>10758</v>
      </c>
    </row>
    <row r="5239" spans="1:2" x14ac:dyDescent="0.25">
      <c r="A5239" s="52" t="s">
        <v>95</v>
      </c>
      <c r="B5239" s="90" t="s">
        <v>10759</v>
      </c>
    </row>
    <row r="5240" spans="1:2" x14ac:dyDescent="0.25">
      <c r="A5240" s="52" t="s">
        <v>95</v>
      </c>
      <c r="B5240" s="90" t="s">
        <v>10760</v>
      </c>
    </row>
    <row r="5241" spans="1:2" x14ac:dyDescent="0.25">
      <c r="A5241" s="52" t="s">
        <v>95</v>
      </c>
      <c r="B5241" s="90" t="s">
        <v>10761</v>
      </c>
    </row>
    <row r="5242" spans="1:2" x14ac:dyDescent="0.25">
      <c r="A5242" s="52" t="s">
        <v>95</v>
      </c>
      <c r="B5242" s="90" t="s">
        <v>10762</v>
      </c>
    </row>
    <row r="5243" spans="1:2" x14ac:dyDescent="0.25">
      <c r="A5243" s="52" t="s">
        <v>95</v>
      </c>
      <c r="B5243" s="90" t="s">
        <v>10763</v>
      </c>
    </row>
    <row r="5244" spans="1:2" x14ac:dyDescent="0.25">
      <c r="A5244" s="52" t="s">
        <v>95</v>
      </c>
      <c r="B5244" s="90" t="s">
        <v>10764</v>
      </c>
    </row>
    <row r="5245" spans="1:2" x14ac:dyDescent="0.25">
      <c r="A5245" s="52" t="s">
        <v>95</v>
      </c>
      <c r="B5245" s="90" t="s">
        <v>10765</v>
      </c>
    </row>
    <row r="5246" spans="1:2" x14ac:dyDescent="0.25">
      <c r="A5246" s="52" t="s">
        <v>95</v>
      </c>
      <c r="B5246" s="90" t="s">
        <v>10766</v>
      </c>
    </row>
    <row r="5247" spans="1:2" x14ac:dyDescent="0.25">
      <c r="A5247" s="52" t="s">
        <v>95</v>
      </c>
      <c r="B5247" s="90" t="s">
        <v>10767</v>
      </c>
    </row>
    <row r="5248" spans="1:2" x14ac:dyDescent="0.25">
      <c r="A5248" s="52" t="s">
        <v>95</v>
      </c>
      <c r="B5248" s="90" t="s">
        <v>10768</v>
      </c>
    </row>
    <row r="5249" spans="1:2" x14ac:dyDescent="0.25">
      <c r="A5249" s="52" t="s">
        <v>95</v>
      </c>
      <c r="B5249" s="90" t="s">
        <v>10769</v>
      </c>
    </row>
    <row r="5250" spans="1:2" x14ac:dyDescent="0.25">
      <c r="A5250" s="52" t="s">
        <v>95</v>
      </c>
      <c r="B5250" s="90" t="s">
        <v>10770</v>
      </c>
    </row>
    <row r="5251" spans="1:2" x14ac:dyDescent="0.25">
      <c r="A5251" s="52" t="s">
        <v>95</v>
      </c>
      <c r="B5251" s="90" t="s">
        <v>10771</v>
      </c>
    </row>
    <row r="5252" spans="1:2" x14ac:dyDescent="0.25">
      <c r="A5252" s="52" t="s">
        <v>95</v>
      </c>
      <c r="B5252" s="90" t="s">
        <v>10772</v>
      </c>
    </row>
    <row r="5253" spans="1:2" x14ac:dyDescent="0.25">
      <c r="A5253" s="52" t="s">
        <v>95</v>
      </c>
      <c r="B5253" s="90" t="s">
        <v>10773</v>
      </c>
    </row>
    <row r="5254" spans="1:2" x14ac:dyDescent="0.25">
      <c r="A5254" s="52" t="s">
        <v>95</v>
      </c>
      <c r="B5254" s="90" t="s">
        <v>31</v>
      </c>
    </row>
    <row r="5255" spans="1:2" x14ac:dyDescent="0.25">
      <c r="A5255" s="52" t="s">
        <v>95</v>
      </c>
      <c r="B5255" s="90" t="s">
        <v>10774</v>
      </c>
    </row>
    <row r="5256" spans="1:2" x14ac:dyDescent="0.25">
      <c r="A5256" s="52" t="s">
        <v>95</v>
      </c>
      <c r="B5256" s="90" t="s">
        <v>10775</v>
      </c>
    </row>
    <row r="5257" spans="1:2" x14ac:dyDescent="0.25">
      <c r="A5257" s="52" t="s">
        <v>95</v>
      </c>
      <c r="B5257" s="90" t="s">
        <v>10776</v>
      </c>
    </row>
    <row r="5258" spans="1:2" x14ac:dyDescent="0.25">
      <c r="A5258" s="52" t="s">
        <v>95</v>
      </c>
      <c r="B5258" s="90" t="s">
        <v>10777</v>
      </c>
    </row>
    <row r="5259" spans="1:2" x14ac:dyDescent="0.25">
      <c r="A5259" s="52" t="s">
        <v>95</v>
      </c>
      <c r="B5259" s="90" t="s">
        <v>10778</v>
      </c>
    </row>
    <row r="5260" spans="1:2" x14ac:dyDescent="0.25">
      <c r="A5260" s="52" t="s">
        <v>95</v>
      </c>
      <c r="B5260" s="90" t="s">
        <v>10779</v>
      </c>
    </row>
    <row r="5261" spans="1:2" x14ac:dyDescent="0.25">
      <c r="A5261" s="52" t="s">
        <v>95</v>
      </c>
      <c r="B5261" s="90" t="s">
        <v>10780</v>
      </c>
    </row>
    <row r="5262" spans="1:2" x14ac:dyDescent="0.25">
      <c r="A5262" s="52" t="s">
        <v>95</v>
      </c>
      <c r="B5262" s="90" t="s">
        <v>10781</v>
      </c>
    </row>
    <row r="5263" spans="1:2" x14ac:dyDescent="0.25">
      <c r="A5263" s="52" t="s">
        <v>95</v>
      </c>
      <c r="B5263" s="90" t="s">
        <v>10782</v>
      </c>
    </row>
    <row r="5264" spans="1:2" x14ac:dyDescent="0.25">
      <c r="A5264" s="52" t="s">
        <v>95</v>
      </c>
      <c r="B5264" s="90" t="s">
        <v>10783</v>
      </c>
    </row>
    <row r="5265" spans="1:2" x14ac:dyDescent="0.25">
      <c r="A5265" s="52" t="s">
        <v>95</v>
      </c>
      <c r="B5265" s="90" t="s">
        <v>10784</v>
      </c>
    </row>
    <row r="5266" spans="1:2" x14ac:dyDescent="0.25">
      <c r="A5266" s="52" t="s">
        <v>95</v>
      </c>
      <c r="B5266" s="90" t="s">
        <v>10785</v>
      </c>
    </row>
    <row r="5267" spans="1:2" x14ac:dyDescent="0.25">
      <c r="A5267" s="52" t="s">
        <v>95</v>
      </c>
      <c r="B5267" s="90" t="s">
        <v>10786</v>
      </c>
    </row>
    <row r="5268" spans="1:2" x14ac:dyDescent="0.25">
      <c r="A5268" s="52" t="s">
        <v>95</v>
      </c>
      <c r="B5268" s="90" t="s">
        <v>10787</v>
      </c>
    </row>
    <row r="5269" spans="1:2" x14ac:dyDescent="0.25">
      <c r="A5269" s="52" t="s">
        <v>95</v>
      </c>
      <c r="B5269" s="90" t="s">
        <v>10788</v>
      </c>
    </row>
    <row r="5270" spans="1:2" x14ac:dyDescent="0.25">
      <c r="A5270" s="52" t="s">
        <v>95</v>
      </c>
      <c r="B5270" s="90" t="s">
        <v>10789</v>
      </c>
    </row>
    <row r="5271" spans="1:2" x14ac:dyDescent="0.25">
      <c r="A5271" s="52" t="s">
        <v>95</v>
      </c>
      <c r="B5271" s="90" t="s">
        <v>10790</v>
      </c>
    </row>
    <row r="5272" spans="1:2" x14ac:dyDescent="0.25">
      <c r="A5272" s="52" t="s">
        <v>95</v>
      </c>
      <c r="B5272" s="90" t="s">
        <v>10791</v>
      </c>
    </row>
    <row r="5273" spans="1:2" x14ac:dyDescent="0.25">
      <c r="A5273" s="52" t="s">
        <v>95</v>
      </c>
      <c r="B5273" s="90" t="s">
        <v>10792</v>
      </c>
    </row>
    <row r="5274" spans="1:2" x14ac:dyDescent="0.25">
      <c r="A5274" s="52" t="s">
        <v>95</v>
      </c>
      <c r="B5274" s="90" t="s">
        <v>10793</v>
      </c>
    </row>
    <row r="5275" spans="1:2" x14ac:dyDescent="0.25">
      <c r="A5275" s="52" t="s">
        <v>95</v>
      </c>
      <c r="B5275" s="90" t="s">
        <v>10794</v>
      </c>
    </row>
    <row r="5276" spans="1:2" x14ac:dyDescent="0.25">
      <c r="A5276" s="52" t="s">
        <v>95</v>
      </c>
      <c r="B5276" s="90" t="s">
        <v>10795</v>
      </c>
    </row>
    <row r="5277" spans="1:2" x14ac:dyDescent="0.25">
      <c r="A5277" s="52" t="s">
        <v>95</v>
      </c>
      <c r="B5277" s="90" t="s">
        <v>10796</v>
      </c>
    </row>
    <row r="5278" spans="1:2" x14ac:dyDescent="0.25">
      <c r="A5278" s="52" t="s">
        <v>95</v>
      </c>
      <c r="B5278" s="90" t="s">
        <v>10797</v>
      </c>
    </row>
    <row r="5279" spans="1:2" x14ac:dyDescent="0.25">
      <c r="A5279" s="52" t="s">
        <v>95</v>
      </c>
      <c r="B5279" s="90" t="s">
        <v>10798</v>
      </c>
    </row>
    <row r="5280" spans="1:2" x14ac:dyDescent="0.25">
      <c r="A5280" s="52" t="s">
        <v>95</v>
      </c>
      <c r="B5280" s="90" t="s">
        <v>10799</v>
      </c>
    </row>
    <row r="5281" spans="1:2" x14ac:dyDescent="0.25">
      <c r="A5281" s="52" t="s">
        <v>95</v>
      </c>
      <c r="B5281" s="90" t="s">
        <v>1564</v>
      </c>
    </row>
    <row r="5282" spans="1:2" x14ac:dyDescent="0.25">
      <c r="A5282" s="52" t="s">
        <v>95</v>
      </c>
      <c r="B5282" s="90" t="s">
        <v>10800</v>
      </c>
    </row>
    <row r="5283" spans="1:2" x14ac:dyDescent="0.25">
      <c r="A5283" s="52" t="s">
        <v>95</v>
      </c>
      <c r="B5283" s="90" t="s">
        <v>10801</v>
      </c>
    </row>
    <row r="5284" spans="1:2" x14ac:dyDescent="0.25">
      <c r="A5284" s="52" t="s">
        <v>95</v>
      </c>
      <c r="B5284" s="90" t="s">
        <v>10802</v>
      </c>
    </row>
    <row r="5285" spans="1:2" x14ac:dyDescent="0.25">
      <c r="A5285" s="52" t="s">
        <v>95</v>
      </c>
      <c r="B5285" s="90" t="s">
        <v>10803</v>
      </c>
    </row>
    <row r="5286" spans="1:2" x14ac:dyDescent="0.25">
      <c r="A5286" s="52" t="s">
        <v>95</v>
      </c>
      <c r="B5286" s="90" t="s">
        <v>10804</v>
      </c>
    </row>
    <row r="5287" spans="1:2" x14ac:dyDescent="0.25">
      <c r="A5287" s="52" t="s">
        <v>95</v>
      </c>
      <c r="B5287" s="90" t="s">
        <v>10805</v>
      </c>
    </row>
    <row r="5288" spans="1:2" x14ac:dyDescent="0.25">
      <c r="A5288" s="52" t="s">
        <v>95</v>
      </c>
      <c r="B5288" s="90" t="s">
        <v>10806</v>
      </c>
    </row>
    <row r="5289" spans="1:2" x14ac:dyDescent="0.25">
      <c r="A5289" s="52" t="s">
        <v>95</v>
      </c>
      <c r="B5289" s="90" t="s">
        <v>10807</v>
      </c>
    </row>
    <row r="5290" spans="1:2" x14ac:dyDescent="0.25">
      <c r="A5290" s="52" t="s">
        <v>95</v>
      </c>
      <c r="B5290" s="90" t="s">
        <v>10808</v>
      </c>
    </row>
    <row r="5291" spans="1:2" x14ac:dyDescent="0.25">
      <c r="A5291" s="52" t="s">
        <v>95</v>
      </c>
      <c r="B5291" s="90" t="s">
        <v>10809</v>
      </c>
    </row>
    <row r="5292" spans="1:2" x14ac:dyDescent="0.25">
      <c r="A5292" s="52" t="s">
        <v>95</v>
      </c>
      <c r="B5292" s="90" t="s">
        <v>10810</v>
      </c>
    </row>
    <row r="5293" spans="1:2" x14ac:dyDescent="0.25">
      <c r="A5293" s="52" t="s">
        <v>95</v>
      </c>
      <c r="B5293" s="90" t="s">
        <v>10811</v>
      </c>
    </row>
    <row r="5294" spans="1:2" x14ac:dyDescent="0.25">
      <c r="A5294" s="52" t="s">
        <v>95</v>
      </c>
      <c r="B5294" s="90" t="s">
        <v>10812</v>
      </c>
    </row>
    <row r="5295" spans="1:2" x14ac:dyDescent="0.25">
      <c r="A5295" s="52" t="s">
        <v>95</v>
      </c>
      <c r="B5295" s="90" t="s">
        <v>10813</v>
      </c>
    </row>
    <row r="5296" spans="1:2" x14ac:dyDescent="0.25">
      <c r="A5296" s="52" t="s">
        <v>95</v>
      </c>
      <c r="B5296" s="90" t="s">
        <v>10814</v>
      </c>
    </row>
    <row r="5297" spans="1:2" x14ac:dyDescent="0.25">
      <c r="A5297" s="52" t="s">
        <v>95</v>
      </c>
      <c r="B5297" s="90" t="s">
        <v>10815</v>
      </c>
    </row>
    <row r="5298" spans="1:2" x14ac:dyDescent="0.25">
      <c r="A5298" s="52" t="s">
        <v>95</v>
      </c>
      <c r="B5298" s="90" t="s">
        <v>10816</v>
      </c>
    </row>
    <row r="5299" spans="1:2" x14ac:dyDescent="0.25">
      <c r="A5299" s="52" t="s">
        <v>95</v>
      </c>
      <c r="B5299" s="90" t="s">
        <v>10817</v>
      </c>
    </row>
    <row r="5300" spans="1:2" x14ac:dyDescent="0.25">
      <c r="A5300" s="52" t="s">
        <v>95</v>
      </c>
      <c r="B5300" s="90" t="s">
        <v>10818</v>
      </c>
    </row>
    <row r="5301" spans="1:2" x14ac:dyDescent="0.25">
      <c r="A5301" s="52" t="s">
        <v>95</v>
      </c>
      <c r="B5301" s="90" t="s">
        <v>10819</v>
      </c>
    </row>
    <row r="5302" spans="1:2" x14ac:dyDescent="0.25">
      <c r="A5302" s="52" t="s">
        <v>95</v>
      </c>
      <c r="B5302" s="90" t="s">
        <v>10820</v>
      </c>
    </row>
    <row r="5303" spans="1:2" x14ac:dyDescent="0.25">
      <c r="A5303" s="52" t="s">
        <v>95</v>
      </c>
      <c r="B5303" s="90" t="s">
        <v>10821</v>
      </c>
    </row>
    <row r="5304" spans="1:2" x14ac:dyDescent="0.25">
      <c r="A5304" s="52" t="s">
        <v>95</v>
      </c>
      <c r="B5304" s="90" t="s">
        <v>10822</v>
      </c>
    </row>
    <row r="5305" spans="1:2" x14ac:dyDescent="0.25">
      <c r="A5305" s="52" t="s">
        <v>95</v>
      </c>
      <c r="B5305" s="90" t="s">
        <v>10823</v>
      </c>
    </row>
    <row r="5306" spans="1:2" x14ac:dyDescent="0.25">
      <c r="A5306" s="52" t="s">
        <v>95</v>
      </c>
      <c r="B5306" s="90" t="s">
        <v>10824</v>
      </c>
    </row>
    <row r="5307" spans="1:2" x14ac:dyDescent="0.25">
      <c r="A5307" s="52" t="s">
        <v>95</v>
      </c>
      <c r="B5307" s="90" t="s">
        <v>10825</v>
      </c>
    </row>
    <row r="5308" spans="1:2" x14ac:dyDescent="0.25">
      <c r="A5308" s="52" t="s">
        <v>95</v>
      </c>
      <c r="B5308" s="90" t="s">
        <v>10826</v>
      </c>
    </row>
    <row r="5309" spans="1:2" x14ac:dyDescent="0.25">
      <c r="A5309" s="52" t="s">
        <v>95</v>
      </c>
      <c r="B5309" s="90" t="s">
        <v>10827</v>
      </c>
    </row>
    <row r="5310" spans="1:2" x14ac:dyDescent="0.25">
      <c r="A5310" s="52" t="s">
        <v>95</v>
      </c>
      <c r="B5310" s="90" t="s">
        <v>10828</v>
      </c>
    </row>
    <row r="5311" spans="1:2" x14ac:dyDescent="0.25">
      <c r="A5311" s="52" t="s">
        <v>95</v>
      </c>
      <c r="B5311" s="90" t="s">
        <v>10829</v>
      </c>
    </row>
    <row r="5312" spans="1:2" x14ac:dyDescent="0.25">
      <c r="A5312" s="52" t="s">
        <v>95</v>
      </c>
      <c r="B5312" s="90" t="s">
        <v>10830</v>
      </c>
    </row>
    <row r="5313" spans="1:2" x14ac:dyDescent="0.25">
      <c r="A5313" s="52" t="s">
        <v>95</v>
      </c>
      <c r="B5313" s="90" t="s">
        <v>10831</v>
      </c>
    </row>
    <row r="5314" spans="1:2" x14ac:dyDescent="0.25">
      <c r="A5314" s="52" t="s">
        <v>95</v>
      </c>
      <c r="B5314" s="90" t="s">
        <v>10832</v>
      </c>
    </row>
    <row r="5315" spans="1:2" x14ac:dyDescent="0.25">
      <c r="A5315" s="52" t="s">
        <v>95</v>
      </c>
      <c r="B5315" s="90" t="s">
        <v>10833</v>
      </c>
    </row>
    <row r="5316" spans="1:2" x14ac:dyDescent="0.25">
      <c r="A5316" s="52" t="s">
        <v>95</v>
      </c>
      <c r="B5316" s="90" t="s">
        <v>10834</v>
      </c>
    </row>
    <row r="5317" spans="1:2" x14ac:dyDescent="0.25">
      <c r="A5317" s="52" t="s">
        <v>95</v>
      </c>
      <c r="B5317" s="90" t="s">
        <v>10835</v>
      </c>
    </row>
    <row r="5318" spans="1:2" x14ac:dyDescent="0.25">
      <c r="A5318" s="52" t="s">
        <v>95</v>
      </c>
      <c r="B5318" s="90" t="s">
        <v>10836</v>
      </c>
    </row>
    <row r="5319" spans="1:2" x14ac:dyDescent="0.25">
      <c r="A5319" s="52" t="s">
        <v>95</v>
      </c>
      <c r="B5319" s="90" t="s">
        <v>10837</v>
      </c>
    </row>
    <row r="5320" spans="1:2" x14ac:dyDescent="0.25">
      <c r="A5320" s="52" t="s">
        <v>95</v>
      </c>
      <c r="B5320" s="90" t="s">
        <v>10838</v>
      </c>
    </row>
    <row r="5321" spans="1:2" x14ac:dyDescent="0.25">
      <c r="A5321" s="52" t="s">
        <v>95</v>
      </c>
      <c r="B5321" s="90" t="s">
        <v>10839</v>
      </c>
    </row>
    <row r="5322" spans="1:2" x14ac:dyDescent="0.25">
      <c r="A5322" s="52" t="s">
        <v>95</v>
      </c>
      <c r="B5322" s="90" t="s">
        <v>10840</v>
      </c>
    </row>
    <row r="5323" spans="1:2" x14ac:dyDescent="0.25">
      <c r="A5323" s="52" t="s">
        <v>95</v>
      </c>
      <c r="B5323" s="90" t="s">
        <v>10841</v>
      </c>
    </row>
    <row r="5324" spans="1:2" x14ac:dyDescent="0.25">
      <c r="A5324" s="52" t="s">
        <v>95</v>
      </c>
      <c r="B5324" s="90" t="s">
        <v>10842</v>
      </c>
    </row>
    <row r="5325" spans="1:2" x14ac:dyDescent="0.25">
      <c r="A5325" s="52" t="s">
        <v>95</v>
      </c>
      <c r="B5325" s="90" t="s">
        <v>10843</v>
      </c>
    </row>
    <row r="5326" spans="1:2" x14ac:dyDescent="0.25">
      <c r="A5326" s="52" t="s">
        <v>95</v>
      </c>
      <c r="B5326" s="90" t="s">
        <v>10844</v>
      </c>
    </row>
    <row r="5327" spans="1:2" x14ac:dyDescent="0.25">
      <c r="A5327" s="52" t="s">
        <v>95</v>
      </c>
      <c r="B5327" s="90" t="s">
        <v>10845</v>
      </c>
    </row>
    <row r="5328" spans="1:2" x14ac:dyDescent="0.25">
      <c r="A5328" s="52" t="s">
        <v>95</v>
      </c>
      <c r="B5328" s="90" t="s">
        <v>10846</v>
      </c>
    </row>
    <row r="5329" spans="1:2" x14ac:dyDescent="0.25">
      <c r="A5329" s="52" t="s">
        <v>95</v>
      </c>
      <c r="B5329" s="90" t="s">
        <v>10847</v>
      </c>
    </row>
    <row r="5330" spans="1:2" x14ac:dyDescent="0.25">
      <c r="A5330" s="52" t="s">
        <v>95</v>
      </c>
      <c r="B5330" s="90" t="s">
        <v>10848</v>
      </c>
    </row>
    <row r="5331" spans="1:2" x14ac:dyDescent="0.25">
      <c r="A5331" s="52" t="s">
        <v>95</v>
      </c>
      <c r="B5331" s="90" t="s">
        <v>10849</v>
      </c>
    </row>
    <row r="5332" spans="1:2" x14ac:dyDescent="0.25">
      <c r="B5332" s="2"/>
    </row>
  </sheetData>
  <sortState ref="B36:B75">
    <sortCondition ref="B37:B7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FF0000"/>
  </sheetPr>
  <dimension ref="A1:X37"/>
  <sheetViews>
    <sheetView topLeftCell="M1" workbookViewId="0">
      <selection activeCell="B39" sqref="B39"/>
    </sheetView>
  </sheetViews>
  <sheetFormatPr defaultColWidth="9.140625" defaultRowHeight="15" x14ac:dyDescent="0.25"/>
  <cols>
    <col min="1" max="1" width="18.42578125" bestFit="1" customWidth="1"/>
    <col min="2" max="2" width="29.140625" bestFit="1" customWidth="1"/>
    <col min="3" max="3" width="36" customWidth="1"/>
    <col min="4" max="4" width="28.5703125" bestFit="1" customWidth="1"/>
    <col min="5" max="5" width="41" bestFit="1" customWidth="1"/>
    <col min="6" max="6" width="50.85546875" hidden="1" customWidth="1"/>
    <col min="7" max="7" width="49.42578125" customWidth="1"/>
    <col min="8" max="8" width="39.7109375" bestFit="1" customWidth="1"/>
    <col min="9" max="10" width="39.7109375" customWidth="1"/>
    <col min="11" max="11" width="35" bestFit="1" customWidth="1"/>
    <col min="12" max="12" width="25.7109375" bestFit="1" customWidth="1"/>
    <col min="13" max="13" width="47.5703125" bestFit="1" customWidth="1"/>
    <col min="14" max="14" width="20.140625" bestFit="1" customWidth="1"/>
    <col min="15" max="15" width="33" bestFit="1" customWidth="1"/>
    <col min="16" max="16" width="10.7109375" bestFit="1" customWidth="1"/>
    <col min="17" max="17" width="41" style="252" bestFit="1" customWidth="1"/>
    <col min="18" max="18" width="15.28515625" bestFit="1" customWidth="1"/>
    <col min="19" max="19" width="17.5703125" bestFit="1" customWidth="1"/>
    <col min="23" max="23" width="28.140625" bestFit="1" customWidth="1"/>
    <col min="24" max="24" width="24.85546875" bestFit="1" customWidth="1"/>
  </cols>
  <sheetData>
    <row r="1" spans="1:24" x14ac:dyDescent="0.25">
      <c r="A1" s="26" t="s">
        <v>370</v>
      </c>
      <c r="B1" s="26" t="s">
        <v>371</v>
      </c>
      <c r="C1" s="54" t="s">
        <v>107</v>
      </c>
      <c r="D1" s="25" t="s">
        <v>357</v>
      </c>
      <c r="E1" s="26" t="s">
        <v>146</v>
      </c>
      <c r="F1" s="51" t="s">
        <v>150</v>
      </c>
      <c r="G1" s="61" t="s">
        <v>363</v>
      </c>
      <c r="H1" s="61" t="s">
        <v>420</v>
      </c>
      <c r="I1" s="61" t="s">
        <v>448</v>
      </c>
      <c r="J1" s="61" t="s">
        <v>174</v>
      </c>
      <c r="K1" s="61" t="s">
        <v>5545</v>
      </c>
      <c r="L1" s="61" t="s">
        <v>5546</v>
      </c>
      <c r="M1" s="61" t="s">
        <v>5547</v>
      </c>
      <c r="N1" s="61" t="s">
        <v>5552</v>
      </c>
      <c r="O1" s="61" t="s">
        <v>5742</v>
      </c>
      <c r="P1" t="s">
        <v>10154</v>
      </c>
      <c r="Q1" s="26" t="s">
        <v>11152</v>
      </c>
      <c r="R1" s="329" t="s">
        <v>11190</v>
      </c>
      <c r="S1" s="329" t="s">
        <v>11209</v>
      </c>
      <c r="T1" s="329" t="s">
        <v>11210</v>
      </c>
      <c r="W1" s="329" t="s">
        <v>11345</v>
      </c>
      <c r="X1" s="329" t="s">
        <v>11395</v>
      </c>
    </row>
    <row r="2" spans="1:24" x14ac:dyDescent="0.25">
      <c r="A2" s="252" t="s">
        <v>5733</v>
      </c>
      <c r="B2" t="s">
        <v>324</v>
      </c>
      <c r="C2" s="55" t="s">
        <v>108</v>
      </c>
      <c r="D2" t="s">
        <v>377</v>
      </c>
      <c r="E2" t="s">
        <v>382</v>
      </c>
      <c r="F2" s="49" t="s">
        <v>453</v>
      </c>
      <c r="G2" s="252" t="s">
        <v>437</v>
      </c>
      <c r="H2" s="55" t="s">
        <v>409</v>
      </c>
      <c r="I2" s="55" t="s">
        <v>449</v>
      </c>
      <c r="J2" s="55" t="s">
        <v>5559</v>
      </c>
      <c r="K2" s="92" t="s">
        <v>10852</v>
      </c>
      <c r="L2" s="55" t="s">
        <v>5570</v>
      </c>
      <c r="M2" t="s">
        <v>5562</v>
      </c>
      <c r="N2" t="s">
        <v>5553</v>
      </c>
      <c r="O2" s="81" t="s">
        <v>5749</v>
      </c>
      <c r="P2" t="s">
        <v>11005</v>
      </c>
      <c r="Q2" s="252" t="s">
        <v>11103</v>
      </c>
      <c r="R2" t="s">
        <v>11191</v>
      </c>
      <c r="S2" s="252" t="s">
        <v>5562</v>
      </c>
      <c r="T2" s="252" t="s">
        <v>5562</v>
      </c>
      <c r="W2" t="s">
        <v>11148</v>
      </c>
      <c r="X2" s="252" t="s">
        <v>11396</v>
      </c>
    </row>
    <row r="3" spans="1:24" x14ac:dyDescent="0.25">
      <c r="A3" s="50" t="s">
        <v>102</v>
      </c>
      <c r="B3" t="s">
        <v>325</v>
      </c>
      <c r="C3" s="55" t="s">
        <v>372</v>
      </c>
      <c r="D3" t="s">
        <v>292</v>
      </c>
      <c r="E3" t="s">
        <v>383</v>
      </c>
      <c r="F3" s="49" t="s">
        <v>454</v>
      </c>
      <c r="G3" s="252" t="s">
        <v>434</v>
      </c>
      <c r="H3" s="55" t="s">
        <v>410</v>
      </c>
      <c r="I3" s="55" t="s">
        <v>450</v>
      </c>
      <c r="J3" s="55" t="s">
        <v>5560</v>
      </c>
      <c r="K3" s="92" t="s">
        <v>10853</v>
      </c>
      <c r="L3" s="55" t="s">
        <v>5571</v>
      </c>
      <c r="M3" t="s">
        <v>5563</v>
      </c>
      <c r="N3" t="s">
        <v>5554</v>
      </c>
      <c r="O3" s="81" t="s">
        <v>5750</v>
      </c>
      <c r="Q3" s="252" t="s">
        <v>11105</v>
      </c>
      <c r="R3" t="s">
        <v>11192</v>
      </c>
      <c r="S3" s="252" t="s">
        <v>5569</v>
      </c>
      <c r="T3" s="252" t="s">
        <v>5567</v>
      </c>
      <c r="W3" t="s">
        <v>11347</v>
      </c>
      <c r="X3" s="252" t="s">
        <v>11389</v>
      </c>
    </row>
    <row r="4" spans="1:24" x14ac:dyDescent="0.25">
      <c r="A4" s="252" t="s">
        <v>8</v>
      </c>
      <c r="B4" t="s">
        <v>326</v>
      </c>
      <c r="C4" s="55" t="s">
        <v>373</v>
      </c>
      <c r="D4" t="s">
        <v>378</v>
      </c>
      <c r="E4" t="s">
        <v>381</v>
      </c>
      <c r="F4" s="49"/>
      <c r="G4" s="252" t="s">
        <v>432</v>
      </c>
      <c r="H4" s="55" t="s">
        <v>411</v>
      </c>
      <c r="I4" s="55" t="s">
        <v>451</v>
      </c>
      <c r="J4" s="55" t="s">
        <v>5561</v>
      </c>
      <c r="K4" s="92" t="s">
        <v>5569</v>
      </c>
      <c r="L4" s="55" t="s">
        <v>5572</v>
      </c>
      <c r="M4" t="s">
        <v>5564</v>
      </c>
      <c r="N4" t="s">
        <v>5555</v>
      </c>
      <c r="O4" s="81" t="s">
        <v>409</v>
      </c>
      <c r="Q4" s="252" t="s">
        <v>11104</v>
      </c>
      <c r="R4" t="s">
        <v>5747</v>
      </c>
      <c r="X4" s="252" t="s">
        <v>11397</v>
      </c>
    </row>
    <row r="5" spans="1:24" x14ac:dyDescent="0.25">
      <c r="A5" s="252" t="s">
        <v>5736</v>
      </c>
      <c r="B5" t="s">
        <v>327</v>
      </c>
      <c r="C5" s="55" t="s">
        <v>374</v>
      </c>
      <c r="D5" t="s">
        <v>379</v>
      </c>
      <c r="E5" t="s">
        <v>385</v>
      </c>
      <c r="G5" s="252" t="s">
        <v>11388</v>
      </c>
      <c r="H5" s="55" t="s">
        <v>412</v>
      </c>
      <c r="I5" s="55" t="s">
        <v>452</v>
      </c>
      <c r="J5" s="49"/>
      <c r="K5" s="92" t="s">
        <v>10851</v>
      </c>
      <c r="L5" s="55" t="s">
        <v>5573</v>
      </c>
      <c r="M5" t="s">
        <v>5565</v>
      </c>
      <c r="O5" s="81" t="s">
        <v>5741</v>
      </c>
      <c r="Q5" s="252" t="s">
        <v>11102</v>
      </c>
      <c r="R5" t="s">
        <v>11193</v>
      </c>
      <c r="X5" s="252" t="s">
        <v>447</v>
      </c>
    </row>
    <row r="6" spans="1:24" ht="15" customHeight="1" x14ac:dyDescent="0.25">
      <c r="A6" s="252" t="s">
        <v>5735</v>
      </c>
      <c r="B6" t="s">
        <v>328</v>
      </c>
      <c r="C6" s="56" t="s">
        <v>5548</v>
      </c>
      <c r="D6" t="s">
        <v>380</v>
      </c>
      <c r="E6" t="s">
        <v>384</v>
      </c>
      <c r="G6" s="252" t="s">
        <v>443</v>
      </c>
      <c r="H6" s="55" t="s">
        <v>413</v>
      </c>
      <c r="I6" s="55" t="s">
        <v>365</v>
      </c>
      <c r="J6" s="49"/>
      <c r="K6" s="92" t="s">
        <v>106</v>
      </c>
      <c r="L6" s="55" t="s">
        <v>5574</v>
      </c>
      <c r="M6" t="s">
        <v>5566</v>
      </c>
      <c r="O6" s="81" t="s">
        <v>5709</v>
      </c>
    </row>
    <row r="7" spans="1:24" x14ac:dyDescent="0.25">
      <c r="A7" s="252" t="s">
        <v>5732</v>
      </c>
      <c r="B7" t="s">
        <v>329</v>
      </c>
      <c r="C7" s="55" t="s">
        <v>5549</v>
      </c>
      <c r="E7" t="s">
        <v>386</v>
      </c>
      <c r="G7" s="252" t="s">
        <v>11389</v>
      </c>
      <c r="H7" s="55" t="s">
        <v>414</v>
      </c>
      <c r="I7" s="49"/>
      <c r="J7" s="49"/>
      <c r="L7" s="55" t="s">
        <v>5575</v>
      </c>
      <c r="M7" t="s">
        <v>5567</v>
      </c>
    </row>
    <row r="8" spans="1:24" x14ac:dyDescent="0.25">
      <c r="A8" s="252" t="s">
        <v>11097</v>
      </c>
      <c r="B8" t="s">
        <v>330</v>
      </c>
      <c r="E8" t="s">
        <v>387</v>
      </c>
      <c r="G8" s="252" t="s">
        <v>440</v>
      </c>
      <c r="H8" s="55" t="s">
        <v>415</v>
      </c>
      <c r="I8" s="55"/>
      <c r="J8" s="49"/>
      <c r="L8" s="55" t="s">
        <v>5576</v>
      </c>
      <c r="M8" t="s">
        <v>5568</v>
      </c>
    </row>
    <row r="9" spans="1:24" x14ac:dyDescent="0.25">
      <c r="A9" s="252" t="s">
        <v>11098</v>
      </c>
      <c r="C9" s="49"/>
      <c r="E9" t="s">
        <v>389</v>
      </c>
      <c r="G9" s="252" t="s">
        <v>11390</v>
      </c>
      <c r="H9" s="55" t="s">
        <v>416</v>
      </c>
      <c r="I9" s="55"/>
      <c r="J9" s="49"/>
      <c r="L9" s="55" t="s">
        <v>5577</v>
      </c>
      <c r="M9" t="s">
        <v>5569</v>
      </c>
    </row>
    <row r="10" spans="1:24" x14ac:dyDescent="0.25">
      <c r="A10" s="252" t="s">
        <v>5734</v>
      </c>
      <c r="C10" s="49"/>
      <c r="E10" t="s">
        <v>148</v>
      </c>
      <c r="G10" s="252" t="s">
        <v>11391</v>
      </c>
      <c r="H10" s="55" t="s">
        <v>417</v>
      </c>
      <c r="I10" s="55"/>
      <c r="J10" s="49"/>
      <c r="L10" s="55" t="s">
        <v>5578</v>
      </c>
    </row>
    <row r="11" spans="1:24" x14ac:dyDescent="0.25">
      <c r="A11" s="252" t="s">
        <v>7</v>
      </c>
      <c r="C11" s="49"/>
      <c r="E11" t="s">
        <v>390</v>
      </c>
      <c r="G11" s="252" t="s">
        <v>11392</v>
      </c>
      <c r="H11" s="55" t="s">
        <v>418</v>
      </c>
      <c r="I11" s="55"/>
      <c r="J11" s="49"/>
      <c r="L11" s="55" t="s">
        <v>5579</v>
      </c>
    </row>
    <row r="12" spans="1:24" x14ac:dyDescent="0.25">
      <c r="A12" s="252" t="s">
        <v>5738</v>
      </c>
      <c r="C12" s="49"/>
      <c r="E12" t="s">
        <v>361</v>
      </c>
      <c r="G12" s="252" t="s">
        <v>11393</v>
      </c>
      <c r="H12" s="55" t="s">
        <v>419</v>
      </c>
      <c r="I12" s="49"/>
      <c r="J12" s="49"/>
      <c r="L12" s="55" t="s">
        <v>5580</v>
      </c>
    </row>
    <row r="13" spans="1:24" x14ac:dyDescent="0.25">
      <c r="A13" s="252"/>
      <c r="E13" t="s">
        <v>388</v>
      </c>
      <c r="G13" s="252" t="s">
        <v>11394</v>
      </c>
      <c r="H13" s="55"/>
      <c r="L13" s="55" t="s">
        <v>5581</v>
      </c>
    </row>
    <row r="14" spans="1:24" x14ac:dyDescent="0.25">
      <c r="E14" t="s">
        <v>391</v>
      </c>
      <c r="G14" s="252" t="s">
        <v>447</v>
      </c>
      <c r="H14" s="55" t="s">
        <v>375</v>
      </c>
      <c r="I14" s="49"/>
      <c r="J14" s="49"/>
    </row>
    <row r="15" spans="1:24" x14ac:dyDescent="0.25">
      <c r="E15" t="s">
        <v>392</v>
      </c>
      <c r="G15" s="252" t="s">
        <v>421</v>
      </c>
      <c r="H15" s="55" t="s">
        <v>376</v>
      </c>
      <c r="I15" s="49"/>
      <c r="J15" s="49"/>
    </row>
    <row r="16" spans="1:24" x14ac:dyDescent="0.25">
      <c r="E16" t="s">
        <v>362</v>
      </c>
      <c r="G16" s="252" t="s">
        <v>422</v>
      </c>
      <c r="H16" s="55"/>
    </row>
    <row r="17" spans="5:8" x14ac:dyDescent="0.25">
      <c r="E17" t="s">
        <v>394</v>
      </c>
      <c r="G17" s="252" t="s">
        <v>423</v>
      </c>
      <c r="H17" s="55" t="s">
        <v>10859</v>
      </c>
    </row>
    <row r="18" spans="5:8" x14ac:dyDescent="0.25">
      <c r="E18" t="s">
        <v>393</v>
      </c>
      <c r="G18" s="252" t="s">
        <v>424</v>
      </c>
    </row>
    <row r="19" spans="5:8" x14ac:dyDescent="0.25">
      <c r="E19" t="s">
        <v>395</v>
      </c>
      <c r="G19" s="252" t="s">
        <v>425</v>
      </c>
    </row>
    <row r="20" spans="5:8" x14ac:dyDescent="0.25">
      <c r="E20" t="s">
        <v>396</v>
      </c>
      <c r="G20" s="252" t="s">
        <v>426</v>
      </c>
    </row>
    <row r="21" spans="5:8" x14ac:dyDescent="0.25">
      <c r="E21" t="s">
        <v>397</v>
      </c>
      <c r="G21" s="252" t="s">
        <v>427</v>
      </c>
    </row>
    <row r="22" spans="5:8" x14ac:dyDescent="0.25">
      <c r="E22" t="s">
        <v>398</v>
      </c>
      <c r="G22" s="252" t="s">
        <v>428</v>
      </c>
    </row>
    <row r="23" spans="5:8" x14ac:dyDescent="0.25">
      <c r="E23" t="s">
        <v>399</v>
      </c>
      <c r="G23" s="252" t="s">
        <v>429</v>
      </c>
    </row>
    <row r="24" spans="5:8" x14ac:dyDescent="0.25">
      <c r="E24" t="s">
        <v>400</v>
      </c>
      <c r="G24" s="252" t="s">
        <v>430</v>
      </c>
    </row>
    <row r="25" spans="5:8" x14ac:dyDescent="0.25">
      <c r="E25" t="s">
        <v>401</v>
      </c>
      <c r="G25" s="252" t="s">
        <v>431</v>
      </c>
    </row>
    <row r="26" spans="5:8" x14ac:dyDescent="0.25">
      <c r="E26" t="s">
        <v>11103</v>
      </c>
      <c r="G26" s="252" t="s">
        <v>433</v>
      </c>
    </row>
    <row r="27" spans="5:8" x14ac:dyDescent="0.25">
      <c r="E27" t="s">
        <v>11105</v>
      </c>
      <c r="G27" s="252" t="s">
        <v>435</v>
      </c>
    </row>
    <row r="28" spans="5:8" x14ac:dyDescent="0.25">
      <c r="E28" t="s">
        <v>11104</v>
      </c>
      <c r="G28" s="252" t="s">
        <v>436</v>
      </c>
    </row>
    <row r="29" spans="5:8" x14ac:dyDescent="0.25">
      <c r="E29" t="s">
        <v>11102</v>
      </c>
      <c r="G29" s="252" t="s">
        <v>438</v>
      </c>
    </row>
    <row r="30" spans="5:8" x14ac:dyDescent="0.25">
      <c r="E30" t="s">
        <v>403</v>
      </c>
      <c r="G30" s="252" t="s">
        <v>439</v>
      </c>
    </row>
    <row r="31" spans="5:8" x14ac:dyDescent="0.25">
      <c r="E31" t="s">
        <v>404</v>
      </c>
      <c r="G31" s="252" t="s">
        <v>442</v>
      </c>
    </row>
    <row r="32" spans="5:8" x14ac:dyDescent="0.25">
      <c r="E32" t="s">
        <v>402</v>
      </c>
      <c r="G32" s="252" t="s">
        <v>444</v>
      </c>
    </row>
    <row r="33" spans="5:7" x14ac:dyDescent="0.25">
      <c r="E33" t="s">
        <v>405</v>
      </c>
      <c r="G33" s="252" t="s">
        <v>445</v>
      </c>
    </row>
    <row r="34" spans="5:7" x14ac:dyDescent="0.25">
      <c r="E34" t="s">
        <v>407</v>
      </c>
      <c r="G34" s="252" t="s">
        <v>446</v>
      </c>
    </row>
    <row r="35" spans="5:7" x14ac:dyDescent="0.25">
      <c r="E35" t="s">
        <v>406</v>
      </c>
      <c r="G35" s="55"/>
    </row>
    <row r="36" spans="5:7" x14ac:dyDescent="0.25">
      <c r="E36" t="s">
        <v>408</v>
      </c>
      <c r="G36" s="55"/>
    </row>
    <row r="37" spans="5:7" x14ac:dyDescent="0.25">
      <c r="G37" s="55"/>
    </row>
  </sheetData>
  <sortState ref="A2:A12">
    <sortCondition ref="A2"/>
  </sortState>
  <dataConsolid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H1:H5208"/>
  <sheetViews>
    <sheetView topLeftCell="A5176" workbookViewId="0">
      <selection activeCell="M19" sqref="M19"/>
    </sheetView>
  </sheetViews>
  <sheetFormatPr defaultColWidth="9.140625" defaultRowHeight="15" x14ac:dyDescent="0.25"/>
  <sheetData>
    <row r="1" spans="8:8" x14ac:dyDescent="0.25">
      <c r="H1" t="s">
        <v>1871</v>
      </c>
    </row>
    <row r="2" spans="8:8" x14ac:dyDescent="0.25">
      <c r="H2" t="s">
        <v>4694</v>
      </c>
    </row>
    <row r="3" spans="8:8" x14ac:dyDescent="0.25">
      <c r="H3" t="s">
        <v>4692</v>
      </c>
    </row>
    <row r="4" spans="8:8" x14ac:dyDescent="0.25">
      <c r="H4" t="s">
        <v>4642</v>
      </c>
    </row>
    <row r="5" spans="8:8" x14ac:dyDescent="0.25">
      <c r="H5" t="s">
        <v>814</v>
      </c>
    </row>
    <row r="6" spans="8:8" x14ac:dyDescent="0.25">
      <c r="H6" t="s">
        <v>583</v>
      </c>
    </row>
    <row r="7" spans="8:8" x14ac:dyDescent="0.25">
      <c r="H7" t="s">
        <v>2233</v>
      </c>
    </row>
    <row r="8" spans="8:8" x14ac:dyDescent="0.25">
      <c r="H8" t="s">
        <v>3172</v>
      </c>
    </row>
    <row r="9" spans="8:8" x14ac:dyDescent="0.25">
      <c r="H9" t="s">
        <v>5026</v>
      </c>
    </row>
    <row r="10" spans="8:8" x14ac:dyDescent="0.25">
      <c r="H10" t="s">
        <v>1210</v>
      </c>
    </row>
    <row r="11" spans="8:8" x14ac:dyDescent="0.25">
      <c r="H11" t="s">
        <v>4097</v>
      </c>
    </row>
    <row r="12" spans="8:8" x14ac:dyDescent="0.25">
      <c r="H12" t="s">
        <v>3570</v>
      </c>
    </row>
    <row r="13" spans="8:8" x14ac:dyDescent="0.25">
      <c r="H13" t="s">
        <v>4349</v>
      </c>
    </row>
    <row r="14" spans="8:8" x14ac:dyDescent="0.25">
      <c r="H14" t="s">
        <v>5011</v>
      </c>
    </row>
    <row r="15" spans="8:8" x14ac:dyDescent="0.25">
      <c r="H15" t="s">
        <v>2044</v>
      </c>
    </row>
    <row r="16" spans="8:8" x14ac:dyDescent="0.25">
      <c r="H16" t="s">
        <v>1380</v>
      </c>
    </row>
    <row r="17" spans="8:8" x14ac:dyDescent="0.25">
      <c r="H17" t="s">
        <v>2095</v>
      </c>
    </row>
    <row r="18" spans="8:8" x14ac:dyDescent="0.25">
      <c r="H18" t="s">
        <v>3222</v>
      </c>
    </row>
    <row r="19" spans="8:8" x14ac:dyDescent="0.25">
      <c r="H19" t="s">
        <v>2673</v>
      </c>
    </row>
    <row r="20" spans="8:8" x14ac:dyDescent="0.25">
      <c r="H20" t="s">
        <v>709</v>
      </c>
    </row>
    <row r="21" spans="8:8" x14ac:dyDescent="0.25">
      <c r="H21" t="s">
        <v>4255</v>
      </c>
    </row>
    <row r="22" spans="8:8" x14ac:dyDescent="0.25">
      <c r="H22" t="s">
        <v>2142</v>
      </c>
    </row>
    <row r="23" spans="8:8" x14ac:dyDescent="0.25">
      <c r="H23" t="s">
        <v>5115</v>
      </c>
    </row>
    <row r="24" spans="8:8" x14ac:dyDescent="0.25">
      <c r="H24" t="s">
        <v>4659</v>
      </c>
    </row>
    <row r="25" spans="8:8" x14ac:dyDescent="0.25">
      <c r="H25" t="s">
        <v>5500</v>
      </c>
    </row>
    <row r="26" spans="8:8" x14ac:dyDescent="0.25">
      <c r="H26" t="s">
        <v>2295</v>
      </c>
    </row>
    <row r="27" spans="8:8" x14ac:dyDescent="0.25">
      <c r="H27" t="s">
        <v>3397</v>
      </c>
    </row>
    <row r="28" spans="8:8" x14ac:dyDescent="0.25">
      <c r="H28" t="s">
        <v>3766</v>
      </c>
    </row>
    <row r="29" spans="8:8" x14ac:dyDescent="0.25">
      <c r="H29" t="s">
        <v>1174</v>
      </c>
    </row>
    <row r="30" spans="8:8" x14ac:dyDescent="0.25">
      <c r="H30" t="s">
        <v>1510</v>
      </c>
    </row>
    <row r="31" spans="8:8" x14ac:dyDescent="0.25">
      <c r="H31" t="s">
        <v>1833</v>
      </c>
    </row>
    <row r="32" spans="8:8" x14ac:dyDescent="0.25">
      <c r="H32" t="s">
        <v>3137</v>
      </c>
    </row>
    <row r="33" spans="8:8" x14ac:dyDescent="0.25">
      <c r="H33" t="s">
        <v>3615</v>
      </c>
    </row>
    <row r="34" spans="8:8" x14ac:dyDescent="0.25">
      <c r="H34" t="s">
        <v>4160</v>
      </c>
    </row>
    <row r="35" spans="8:8" x14ac:dyDescent="0.25">
      <c r="H35" t="s">
        <v>2832</v>
      </c>
    </row>
    <row r="36" spans="8:8" x14ac:dyDescent="0.25">
      <c r="H36" t="s">
        <v>2744</v>
      </c>
    </row>
    <row r="37" spans="8:8" x14ac:dyDescent="0.25">
      <c r="H37" t="s">
        <v>4098</v>
      </c>
    </row>
    <row r="38" spans="8:8" x14ac:dyDescent="0.25">
      <c r="H38" t="s">
        <v>4286</v>
      </c>
    </row>
    <row r="39" spans="8:8" x14ac:dyDescent="0.25">
      <c r="H39" t="s">
        <v>2371</v>
      </c>
    </row>
    <row r="40" spans="8:8" x14ac:dyDescent="0.25">
      <c r="H40" t="s">
        <v>3512</v>
      </c>
    </row>
    <row r="41" spans="8:8" x14ac:dyDescent="0.25">
      <c r="H41" t="s">
        <v>2802</v>
      </c>
    </row>
    <row r="42" spans="8:8" x14ac:dyDescent="0.25">
      <c r="H42" t="s">
        <v>2957</v>
      </c>
    </row>
    <row r="43" spans="8:8" x14ac:dyDescent="0.25">
      <c r="H43" t="s">
        <v>1998</v>
      </c>
    </row>
    <row r="44" spans="8:8" x14ac:dyDescent="0.25">
      <c r="H44" t="s">
        <v>3788</v>
      </c>
    </row>
    <row r="45" spans="8:8" x14ac:dyDescent="0.25">
      <c r="H45" t="s">
        <v>4949</v>
      </c>
    </row>
    <row r="46" spans="8:8" x14ac:dyDescent="0.25">
      <c r="H46" t="s">
        <v>3126</v>
      </c>
    </row>
    <row r="47" spans="8:8" x14ac:dyDescent="0.25">
      <c r="H47" t="s">
        <v>4759</v>
      </c>
    </row>
    <row r="48" spans="8:8" x14ac:dyDescent="0.25">
      <c r="H48" t="s">
        <v>3267</v>
      </c>
    </row>
    <row r="49" spans="8:8" x14ac:dyDescent="0.25">
      <c r="H49" t="s">
        <v>921</v>
      </c>
    </row>
    <row r="50" spans="8:8" x14ac:dyDescent="0.25">
      <c r="H50" t="s">
        <v>4895</v>
      </c>
    </row>
    <row r="51" spans="8:8" x14ac:dyDescent="0.25">
      <c r="H51" t="s">
        <v>3916</v>
      </c>
    </row>
    <row r="52" spans="8:8" x14ac:dyDescent="0.25">
      <c r="H52" t="s">
        <v>1891</v>
      </c>
    </row>
    <row r="53" spans="8:8" x14ac:dyDescent="0.25">
      <c r="H53" t="s">
        <v>710</v>
      </c>
    </row>
    <row r="54" spans="8:8" x14ac:dyDescent="0.25">
      <c r="H54" t="s">
        <v>1377</v>
      </c>
    </row>
    <row r="55" spans="8:8" x14ac:dyDescent="0.25">
      <c r="H55" t="s">
        <v>1336</v>
      </c>
    </row>
    <row r="56" spans="8:8" x14ac:dyDescent="0.25">
      <c r="H56" t="s">
        <v>5511</v>
      </c>
    </row>
    <row r="57" spans="8:8" x14ac:dyDescent="0.25">
      <c r="H57" t="s">
        <v>465</v>
      </c>
    </row>
    <row r="58" spans="8:8" x14ac:dyDescent="0.25">
      <c r="H58" t="s">
        <v>4801</v>
      </c>
    </row>
    <row r="59" spans="8:8" x14ac:dyDescent="0.25">
      <c r="H59" t="s">
        <v>4185</v>
      </c>
    </row>
    <row r="60" spans="8:8" x14ac:dyDescent="0.25">
      <c r="H60" t="s">
        <v>4265</v>
      </c>
    </row>
    <row r="61" spans="8:8" x14ac:dyDescent="0.25">
      <c r="H61" t="s">
        <v>3261</v>
      </c>
    </row>
    <row r="62" spans="8:8" x14ac:dyDescent="0.25">
      <c r="H62" t="s">
        <v>4256</v>
      </c>
    </row>
    <row r="63" spans="8:8" x14ac:dyDescent="0.25">
      <c r="H63" t="s">
        <v>650</v>
      </c>
    </row>
    <row r="64" spans="8:8" x14ac:dyDescent="0.25">
      <c r="H64" t="s">
        <v>4443</v>
      </c>
    </row>
    <row r="65" spans="8:8" x14ac:dyDescent="0.25">
      <c r="H65" t="s">
        <v>5037</v>
      </c>
    </row>
    <row r="66" spans="8:8" x14ac:dyDescent="0.25">
      <c r="H66" t="s">
        <v>751</v>
      </c>
    </row>
    <row r="67" spans="8:8" x14ac:dyDescent="0.25">
      <c r="H67" t="s">
        <v>4087</v>
      </c>
    </row>
    <row r="68" spans="8:8" x14ac:dyDescent="0.25">
      <c r="H68" t="s">
        <v>1323</v>
      </c>
    </row>
    <row r="69" spans="8:8" x14ac:dyDescent="0.25">
      <c r="H69" t="s">
        <v>3414</v>
      </c>
    </row>
    <row r="70" spans="8:8" x14ac:dyDescent="0.25">
      <c r="H70" t="s">
        <v>1650</v>
      </c>
    </row>
    <row r="71" spans="8:8" x14ac:dyDescent="0.25">
      <c r="H71" t="s">
        <v>4660</v>
      </c>
    </row>
    <row r="72" spans="8:8" x14ac:dyDescent="0.25">
      <c r="H72" t="s">
        <v>1647</v>
      </c>
    </row>
    <row r="73" spans="8:8" x14ac:dyDescent="0.25">
      <c r="H73" t="s">
        <v>2133</v>
      </c>
    </row>
    <row r="74" spans="8:8" x14ac:dyDescent="0.25">
      <c r="H74" t="s">
        <v>1122</v>
      </c>
    </row>
    <row r="75" spans="8:8" x14ac:dyDescent="0.25">
      <c r="H75" t="s">
        <v>3536</v>
      </c>
    </row>
    <row r="76" spans="8:8" x14ac:dyDescent="0.25">
      <c r="H76" t="s">
        <v>1542</v>
      </c>
    </row>
    <row r="77" spans="8:8" x14ac:dyDescent="0.25">
      <c r="H77" t="s">
        <v>4615</v>
      </c>
    </row>
    <row r="78" spans="8:8" x14ac:dyDescent="0.25">
      <c r="H78" t="s">
        <v>1553</v>
      </c>
    </row>
    <row r="79" spans="8:8" x14ac:dyDescent="0.25">
      <c r="H79" t="s">
        <v>977</v>
      </c>
    </row>
    <row r="80" spans="8:8" x14ac:dyDescent="0.25">
      <c r="H80" t="s">
        <v>2121</v>
      </c>
    </row>
    <row r="81" spans="8:8" x14ac:dyDescent="0.25">
      <c r="H81" t="s">
        <v>5207</v>
      </c>
    </row>
    <row r="82" spans="8:8" x14ac:dyDescent="0.25">
      <c r="H82" t="s">
        <v>2691</v>
      </c>
    </row>
    <row r="83" spans="8:8" x14ac:dyDescent="0.25">
      <c r="H83" t="s">
        <v>2618</v>
      </c>
    </row>
    <row r="84" spans="8:8" x14ac:dyDescent="0.25">
      <c r="H84" t="s">
        <v>5039</v>
      </c>
    </row>
    <row r="85" spans="8:8" x14ac:dyDescent="0.25">
      <c r="H85" t="s">
        <v>5295</v>
      </c>
    </row>
    <row r="86" spans="8:8" x14ac:dyDescent="0.25">
      <c r="H86" t="s">
        <v>248</v>
      </c>
    </row>
    <row r="87" spans="8:8" x14ac:dyDescent="0.25">
      <c r="H87" t="s">
        <v>1143</v>
      </c>
    </row>
    <row r="88" spans="8:8" x14ac:dyDescent="0.25">
      <c r="H88" t="s">
        <v>711</v>
      </c>
    </row>
    <row r="89" spans="8:8" x14ac:dyDescent="0.25">
      <c r="H89" t="s">
        <v>2032</v>
      </c>
    </row>
    <row r="90" spans="8:8" x14ac:dyDescent="0.25">
      <c r="H90" t="s">
        <v>4755</v>
      </c>
    </row>
    <row r="91" spans="8:8" x14ac:dyDescent="0.25">
      <c r="H91" t="s">
        <v>4757</v>
      </c>
    </row>
    <row r="92" spans="8:8" x14ac:dyDescent="0.25">
      <c r="H92" t="s">
        <v>997</v>
      </c>
    </row>
    <row r="93" spans="8:8" x14ac:dyDescent="0.25">
      <c r="H93" t="s">
        <v>1026</v>
      </c>
    </row>
    <row r="94" spans="8:8" x14ac:dyDescent="0.25">
      <c r="H94" t="s">
        <v>1298</v>
      </c>
    </row>
    <row r="95" spans="8:8" x14ac:dyDescent="0.25">
      <c r="H95" t="s">
        <v>1079</v>
      </c>
    </row>
    <row r="96" spans="8:8" x14ac:dyDescent="0.25">
      <c r="H96" t="s">
        <v>1537</v>
      </c>
    </row>
    <row r="97" spans="8:8" x14ac:dyDescent="0.25">
      <c r="H97" t="s">
        <v>1500</v>
      </c>
    </row>
    <row r="98" spans="8:8" x14ac:dyDescent="0.25">
      <c r="H98" t="s">
        <v>2239</v>
      </c>
    </row>
    <row r="99" spans="8:8" x14ac:dyDescent="0.25">
      <c r="H99" t="s">
        <v>1707</v>
      </c>
    </row>
    <row r="100" spans="8:8" x14ac:dyDescent="0.25">
      <c r="H100" t="s">
        <v>1002</v>
      </c>
    </row>
    <row r="101" spans="8:8" x14ac:dyDescent="0.25">
      <c r="H101" t="s">
        <v>4929</v>
      </c>
    </row>
    <row r="102" spans="8:8" x14ac:dyDescent="0.25">
      <c r="H102" t="s">
        <v>4797</v>
      </c>
    </row>
    <row r="103" spans="8:8" x14ac:dyDescent="0.25">
      <c r="H103" t="s">
        <v>2615</v>
      </c>
    </row>
    <row r="104" spans="8:8" x14ac:dyDescent="0.25">
      <c r="H104" t="s">
        <v>3260</v>
      </c>
    </row>
    <row r="105" spans="8:8" x14ac:dyDescent="0.25">
      <c r="H105" t="s">
        <v>3078</v>
      </c>
    </row>
    <row r="106" spans="8:8" x14ac:dyDescent="0.25">
      <c r="H106" t="s">
        <v>1767</v>
      </c>
    </row>
    <row r="107" spans="8:8" x14ac:dyDescent="0.25">
      <c r="H107" t="s">
        <v>1136</v>
      </c>
    </row>
    <row r="108" spans="8:8" x14ac:dyDescent="0.25">
      <c r="H108" t="s">
        <v>2104</v>
      </c>
    </row>
    <row r="109" spans="8:8" x14ac:dyDescent="0.25">
      <c r="H109" t="s">
        <v>5459</v>
      </c>
    </row>
    <row r="110" spans="8:8" x14ac:dyDescent="0.25">
      <c r="H110" t="s">
        <v>3760</v>
      </c>
    </row>
    <row r="111" spans="8:8" x14ac:dyDescent="0.25">
      <c r="H111" t="s">
        <v>4834</v>
      </c>
    </row>
    <row r="112" spans="8:8" x14ac:dyDescent="0.25">
      <c r="H112" t="s">
        <v>1777</v>
      </c>
    </row>
    <row r="113" spans="8:8" x14ac:dyDescent="0.25">
      <c r="H113" t="s">
        <v>2454</v>
      </c>
    </row>
    <row r="114" spans="8:8" x14ac:dyDescent="0.25">
      <c r="H114" t="s">
        <v>2393</v>
      </c>
    </row>
    <row r="115" spans="8:8" x14ac:dyDescent="0.25">
      <c r="H115" t="s">
        <v>1745</v>
      </c>
    </row>
    <row r="116" spans="8:8" x14ac:dyDescent="0.25">
      <c r="H116" t="s">
        <v>4179</v>
      </c>
    </row>
    <row r="117" spans="8:8" x14ac:dyDescent="0.25">
      <c r="H117" t="s">
        <v>5476</v>
      </c>
    </row>
    <row r="118" spans="8:8" x14ac:dyDescent="0.25">
      <c r="H118" t="s">
        <v>2555</v>
      </c>
    </row>
    <row r="119" spans="8:8" x14ac:dyDescent="0.25">
      <c r="H119" t="s">
        <v>3008</v>
      </c>
    </row>
    <row r="120" spans="8:8" x14ac:dyDescent="0.25">
      <c r="H120" t="s">
        <v>2611</v>
      </c>
    </row>
    <row r="121" spans="8:8" x14ac:dyDescent="0.25">
      <c r="H121" t="s">
        <v>3905</v>
      </c>
    </row>
    <row r="122" spans="8:8" x14ac:dyDescent="0.25">
      <c r="H122" t="s">
        <v>3936</v>
      </c>
    </row>
    <row r="123" spans="8:8" x14ac:dyDescent="0.25">
      <c r="H123" t="s">
        <v>4956</v>
      </c>
    </row>
    <row r="124" spans="8:8" x14ac:dyDescent="0.25">
      <c r="H124" t="s">
        <v>5031</v>
      </c>
    </row>
    <row r="125" spans="8:8" x14ac:dyDescent="0.25">
      <c r="H125" t="s">
        <v>615</v>
      </c>
    </row>
    <row r="126" spans="8:8" x14ac:dyDescent="0.25">
      <c r="H126" t="s">
        <v>3831</v>
      </c>
    </row>
    <row r="127" spans="8:8" x14ac:dyDescent="0.25">
      <c r="H127" t="s">
        <v>1951</v>
      </c>
    </row>
    <row r="128" spans="8:8" x14ac:dyDescent="0.25">
      <c r="H128" t="s">
        <v>1061</v>
      </c>
    </row>
    <row r="129" spans="8:8" x14ac:dyDescent="0.25">
      <c r="H129" t="s">
        <v>249</v>
      </c>
    </row>
    <row r="130" spans="8:8" x14ac:dyDescent="0.25">
      <c r="H130" t="s">
        <v>3865</v>
      </c>
    </row>
    <row r="131" spans="8:8" x14ac:dyDescent="0.25">
      <c r="H131" t="s">
        <v>2059</v>
      </c>
    </row>
    <row r="132" spans="8:8" x14ac:dyDescent="0.25">
      <c r="H132" t="s">
        <v>3123</v>
      </c>
    </row>
    <row r="133" spans="8:8" x14ac:dyDescent="0.25">
      <c r="H133" t="s">
        <v>1273</v>
      </c>
    </row>
    <row r="134" spans="8:8" x14ac:dyDescent="0.25">
      <c r="H134" t="s">
        <v>2091</v>
      </c>
    </row>
    <row r="135" spans="8:8" x14ac:dyDescent="0.25">
      <c r="H135" t="s">
        <v>2096</v>
      </c>
    </row>
    <row r="136" spans="8:8" x14ac:dyDescent="0.25">
      <c r="H136" t="s">
        <v>2103</v>
      </c>
    </row>
    <row r="137" spans="8:8" x14ac:dyDescent="0.25">
      <c r="H137" t="s">
        <v>777</v>
      </c>
    </row>
    <row r="138" spans="8:8" x14ac:dyDescent="0.25">
      <c r="H138" t="s">
        <v>778</v>
      </c>
    </row>
    <row r="139" spans="8:8" x14ac:dyDescent="0.25">
      <c r="H139" t="s">
        <v>712</v>
      </c>
    </row>
    <row r="140" spans="8:8" x14ac:dyDescent="0.25">
      <c r="H140" t="s">
        <v>1974</v>
      </c>
    </row>
    <row r="141" spans="8:8" x14ac:dyDescent="0.25">
      <c r="H141" t="s">
        <v>2544</v>
      </c>
    </row>
    <row r="142" spans="8:8" x14ac:dyDescent="0.25">
      <c r="H142" t="s">
        <v>725</v>
      </c>
    </row>
    <row r="143" spans="8:8" x14ac:dyDescent="0.25">
      <c r="H143" t="s">
        <v>1399</v>
      </c>
    </row>
    <row r="144" spans="8:8" x14ac:dyDescent="0.25">
      <c r="H144" t="s">
        <v>726</v>
      </c>
    </row>
    <row r="145" spans="8:8" x14ac:dyDescent="0.25">
      <c r="H145" t="s">
        <v>727</v>
      </c>
    </row>
    <row r="146" spans="8:8" x14ac:dyDescent="0.25">
      <c r="H146" t="s">
        <v>4738</v>
      </c>
    </row>
    <row r="147" spans="8:8" x14ac:dyDescent="0.25">
      <c r="H147" t="s">
        <v>250</v>
      </c>
    </row>
    <row r="148" spans="8:8" x14ac:dyDescent="0.25">
      <c r="H148" t="s">
        <v>4455</v>
      </c>
    </row>
    <row r="149" spans="8:8" x14ac:dyDescent="0.25">
      <c r="H149" t="s">
        <v>584</v>
      </c>
    </row>
    <row r="150" spans="8:8" x14ac:dyDescent="0.25">
      <c r="H150" t="s">
        <v>2418</v>
      </c>
    </row>
    <row r="151" spans="8:8" x14ac:dyDescent="0.25">
      <c r="H151" t="s">
        <v>2556</v>
      </c>
    </row>
    <row r="152" spans="8:8" x14ac:dyDescent="0.25">
      <c r="H152" t="s">
        <v>2445</v>
      </c>
    </row>
    <row r="153" spans="8:8" x14ac:dyDescent="0.25">
      <c r="H153" t="s">
        <v>2692</v>
      </c>
    </row>
    <row r="154" spans="8:8" x14ac:dyDescent="0.25">
      <c r="H154" t="s">
        <v>4711</v>
      </c>
    </row>
    <row r="155" spans="8:8" x14ac:dyDescent="0.25">
      <c r="H155" t="s">
        <v>2482</v>
      </c>
    </row>
    <row r="156" spans="8:8" x14ac:dyDescent="0.25">
      <c r="H156" t="s">
        <v>2461</v>
      </c>
    </row>
    <row r="157" spans="8:8" x14ac:dyDescent="0.25">
      <c r="H157" t="s">
        <v>5509</v>
      </c>
    </row>
    <row r="158" spans="8:8" x14ac:dyDescent="0.25">
      <c r="H158" t="s">
        <v>548</v>
      </c>
    </row>
    <row r="159" spans="8:8" x14ac:dyDescent="0.25">
      <c r="H159" t="s">
        <v>2617</v>
      </c>
    </row>
    <row r="160" spans="8:8" x14ac:dyDescent="0.25">
      <c r="H160" t="s">
        <v>3765</v>
      </c>
    </row>
    <row r="161" spans="8:8" x14ac:dyDescent="0.25">
      <c r="H161" t="s">
        <v>3040</v>
      </c>
    </row>
    <row r="162" spans="8:8" x14ac:dyDescent="0.25">
      <c r="H162" t="s">
        <v>1297</v>
      </c>
    </row>
    <row r="163" spans="8:8" x14ac:dyDescent="0.25">
      <c r="H163" t="s">
        <v>2523</v>
      </c>
    </row>
    <row r="164" spans="8:8" x14ac:dyDescent="0.25">
      <c r="H164" t="s">
        <v>5439</v>
      </c>
    </row>
    <row r="165" spans="8:8" x14ac:dyDescent="0.25">
      <c r="H165" t="s">
        <v>5235</v>
      </c>
    </row>
    <row r="166" spans="8:8" x14ac:dyDescent="0.25">
      <c r="H166" t="s">
        <v>2743</v>
      </c>
    </row>
    <row r="167" spans="8:8" x14ac:dyDescent="0.25">
      <c r="H167" t="s">
        <v>2898</v>
      </c>
    </row>
    <row r="168" spans="8:8" x14ac:dyDescent="0.25">
      <c r="H168" t="s">
        <v>4876</v>
      </c>
    </row>
    <row r="169" spans="8:8" x14ac:dyDescent="0.25">
      <c r="H169" t="s">
        <v>2586</v>
      </c>
    </row>
    <row r="170" spans="8:8" x14ac:dyDescent="0.25">
      <c r="H170" t="s">
        <v>2602</v>
      </c>
    </row>
    <row r="171" spans="8:8" x14ac:dyDescent="0.25">
      <c r="H171" t="s">
        <v>2640</v>
      </c>
    </row>
    <row r="172" spans="8:8" x14ac:dyDescent="0.25">
      <c r="H172" t="s">
        <v>1450</v>
      </c>
    </row>
    <row r="173" spans="8:8" x14ac:dyDescent="0.25">
      <c r="H173" t="s">
        <v>3223</v>
      </c>
    </row>
    <row r="174" spans="8:8" x14ac:dyDescent="0.25">
      <c r="H174" t="s">
        <v>2647</v>
      </c>
    </row>
    <row r="175" spans="8:8" x14ac:dyDescent="0.25">
      <c r="H175" t="s">
        <v>1530</v>
      </c>
    </row>
    <row r="176" spans="8:8" x14ac:dyDescent="0.25">
      <c r="H176" t="s">
        <v>1554</v>
      </c>
    </row>
    <row r="177" spans="8:8" x14ac:dyDescent="0.25">
      <c r="H177" t="s">
        <v>513</v>
      </c>
    </row>
    <row r="178" spans="8:8" x14ac:dyDescent="0.25">
      <c r="H178" t="s">
        <v>2700</v>
      </c>
    </row>
    <row r="179" spans="8:8" x14ac:dyDescent="0.25">
      <c r="H179" t="s">
        <v>2706</v>
      </c>
    </row>
    <row r="180" spans="8:8" x14ac:dyDescent="0.25">
      <c r="H180" t="s">
        <v>2745</v>
      </c>
    </row>
    <row r="181" spans="8:8" x14ac:dyDescent="0.25">
      <c r="H181" t="s">
        <v>2758</v>
      </c>
    </row>
    <row r="182" spans="8:8" x14ac:dyDescent="0.25">
      <c r="H182" t="s">
        <v>1062</v>
      </c>
    </row>
    <row r="183" spans="8:8" x14ac:dyDescent="0.25">
      <c r="H183" t="s">
        <v>3010</v>
      </c>
    </row>
    <row r="184" spans="8:8" x14ac:dyDescent="0.25">
      <c r="H184" t="s">
        <v>1610</v>
      </c>
    </row>
    <row r="185" spans="8:8" x14ac:dyDescent="0.25">
      <c r="H185" t="s">
        <v>2929</v>
      </c>
    </row>
    <row r="186" spans="8:8" x14ac:dyDescent="0.25">
      <c r="H186" t="s">
        <v>5259</v>
      </c>
    </row>
    <row r="187" spans="8:8" x14ac:dyDescent="0.25">
      <c r="H187" t="s">
        <v>5538</v>
      </c>
    </row>
    <row r="188" spans="8:8" x14ac:dyDescent="0.25">
      <c r="H188" t="s">
        <v>2436</v>
      </c>
    </row>
    <row r="189" spans="8:8" x14ac:dyDescent="0.25">
      <c r="H189" t="s">
        <v>809</v>
      </c>
    </row>
    <row r="190" spans="8:8" x14ac:dyDescent="0.25">
      <c r="H190" t="s">
        <v>1689</v>
      </c>
    </row>
    <row r="191" spans="8:8" x14ac:dyDescent="0.25">
      <c r="H191" t="s">
        <v>5434</v>
      </c>
    </row>
    <row r="192" spans="8:8" x14ac:dyDescent="0.25">
      <c r="H192" t="s">
        <v>3249</v>
      </c>
    </row>
    <row r="193" spans="8:8" x14ac:dyDescent="0.25">
      <c r="H193" t="s">
        <v>3249</v>
      </c>
    </row>
    <row r="194" spans="8:8" x14ac:dyDescent="0.25">
      <c r="H194" t="s">
        <v>686</v>
      </c>
    </row>
    <row r="195" spans="8:8" x14ac:dyDescent="0.25">
      <c r="H195" t="s">
        <v>1233</v>
      </c>
    </row>
    <row r="196" spans="8:8" x14ac:dyDescent="0.25">
      <c r="H196" t="s">
        <v>1233</v>
      </c>
    </row>
    <row r="197" spans="8:8" x14ac:dyDescent="0.25">
      <c r="H197" t="s">
        <v>1233</v>
      </c>
    </row>
    <row r="198" spans="8:8" x14ac:dyDescent="0.25">
      <c r="H198" t="s">
        <v>1233</v>
      </c>
    </row>
    <row r="199" spans="8:8" x14ac:dyDescent="0.25">
      <c r="H199" t="s">
        <v>811</v>
      </c>
    </row>
    <row r="200" spans="8:8" x14ac:dyDescent="0.25">
      <c r="H200" t="s">
        <v>2551</v>
      </c>
    </row>
    <row r="201" spans="8:8" x14ac:dyDescent="0.25">
      <c r="H201" t="s">
        <v>3271</v>
      </c>
    </row>
    <row r="202" spans="8:8" x14ac:dyDescent="0.25">
      <c r="H202" t="s">
        <v>4777</v>
      </c>
    </row>
    <row r="203" spans="8:8" x14ac:dyDescent="0.25">
      <c r="H203" t="s">
        <v>793</v>
      </c>
    </row>
    <row r="204" spans="8:8" x14ac:dyDescent="0.25">
      <c r="H204" t="s">
        <v>1137</v>
      </c>
    </row>
    <row r="205" spans="8:8" x14ac:dyDescent="0.25">
      <c r="H205" t="s">
        <v>3761</v>
      </c>
    </row>
    <row r="206" spans="8:8" x14ac:dyDescent="0.25">
      <c r="H206" t="s">
        <v>4830</v>
      </c>
    </row>
    <row r="207" spans="8:8" x14ac:dyDescent="0.25">
      <c r="H207" t="s">
        <v>3868</v>
      </c>
    </row>
    <row r="208" spans="8:8" x14ac:dyDescent="0.25">
      <c r="H208" t="s">
        <v>4877</v>
      </c>
    </row>
    <row r="209" spans="8:8" x14ac:dyDescent="0.25">
      <c r="H209" t="s">
        <v>2799</v>
      </c>
    </row>
    <row r="210" spans="8:8" x14ac:dyDescent="0.25">
      <c r="H210" t="s">
        <v>2811</v>
      </c>
    </row>
    <row r="211" spans="8:8" x14ac:dyDescent="0.25">
      <c r="H211" t="s">
        <v>2825</v>
      </c>
    </row>
    <row r="212" spans="8:8" x14ac:dyDescent="0.25">
      <c r="H212" t="s">
        <v>2831</v>
      </c>
    </row>
    <row r="213" spans="8:8" x14ac:dyDescent="0.25">
      <c r="H213" t="s">
        <v>2886</v>
      </c>
    </row>
    <row r="214" spans="8:8" x14ac:dyDescent="0.25">
      <c r="H214" t="s">
        <v>1227</v>
      </c>
    </row>
    <row r="215" spans="8:8" x14ac:dyDescent="0.25">
      <c r="H215" t="s">
        <v>1227</v>
      </c>
    </row>
    <row r="216" spans="8:8" x14ac:dyDescent="0.25">
      <c r="H216" t="s">
        <v>5044</v>
      </c>
    </row>
    <row r="217" spans="8:8" x14ac:dyDescent="0.25">
      <c r="H217" t="s">
        <v>1205</v>
      </c>
    </row>
    <row r="218" spans="8:8" x14ac:dyDescent="0.25">
      <c r="H218" t="s">
        <v>1482</v>
      </c>
    </row>
    <row r="219" spans="8:8" x14ac:dyDescent="0.25">
      <c r="H219" t="s">
        <v>1825</v>
      </c>
    </row>
    <row r="220" spans="8:8" x14ac:dyDescent="0.25">
      <c r="H220" t="s">
        <v>3719</v>
      </c>
    </row>
    <row r="221" spans="8:8" x14ac:dyDescent="0.25">
      <c r="H221" t="s">
        <v>740</v>
      </c>
    </row>
    <row r="222" spans="8:8" x14ac:dyDescent="0.25">
      <c r="H222" t="s">
        <v>5384</v>
      </c>
    </row>
    <row r="223" spans="8:8" x14ac:dyDescent="0.25">
      <c r="H223" t="s">
        <v>2154</v>
      </c>
    </row>
    <row r="224" spans="8:8" x14ac:dyDescent="0.25">
      <c r="H224" t="s">
        <v>4099</v>
      </c>
    </row>
    <row r="225" spans="8:8" x14ac:dyDescent="0.25">
      <c r="H225" t="s">
        <v>4531</v>
      </c>
    </row>
    <row r="226" spans="8:8" x14ac:dyDescent="0.25">
      <c r="H226" t="s">
        <v>4979</v>
      </c>
    </row>
    <row r="227" spans="8:8" x14ac:dyDescent="0.25">
      <c r="H227" t="s">
        <v>5315</v>
      </c>
    </row>
    <row r="228" spans="8:8" x14ac:dyDescent="0.25">
      <c r="H228" t="s">
        <v>1892</v>
      </c>
    </row>
    <row r="229" spans="8:8" x14ac:dyDescent="0.25">
      <c r="H229" t="s">
        <v>5339</v>
      </c>
    </row>
    <row r="230" spans="8:8" x14ac:dyDescent="0.25">
      <c r="H230" t="s">
        <v>4442</v>
      </c>
    </row>
    <row r="231" spans="8:8" x14ac:dyDescent="0.25">
      <c r="H231" t="s">
        <v>4761</v>
      </c>
    </row>
    <row r="232" spans="8:8" x14ac:dyDescent="0.25">
      <c r="H232" t="s">
        <v>5481</v>
      </c>
    </row>
    <row r="233" spans="8:8" x14ac:dyDescent="0.25">
      <c r="H233" t="s">
        <v>4487</v>
      </c>
    </row>
    <row r="234" spans="8:8" x14ac:dyDescent="0.25">
      <c r="H234" t="s">
        <v>2135</v>
      </c>
    </row>
    <row r="235" spans="8:8" x14ac:dyDescent="0.25">
      <c r="H235" t="s">
        <v>3463</v>
      </c>
    </row>
    <row r="236" spans="8:8" x14ac:dyDescent="0.25">
      <c r="H236" t="s">
        <v>3517</v>
      </c>
    </row>
    <row r="237" spans="8:8" x14ac:dyDescent="0.25">
      <c r="H237" t="s">
        <v>959</v>
      </c>
    </row>
    <row r="238" spans="8:8" x14ac:dyDescent="0.25">
      <c r="H238" t="s">
        <v>4489</v>
      </c>
    </row>
    <row r="239" spans="8:8" x14ac:dyDescent="0.25">
      <c r="H239" t="s">
        <v>1412</v>
      </c>
    </row>
    <row r="240" spans="8:8" x14ac:dyDescent="0.25">
      <c r="H240" t="s">
        <v>4886</v>
      </c>
    </row>
    <row r="241" spans="8:8" x14ac:dyDescent="0.25">
      <c r="H241" t="s">
        <v>3887</v>
      </c>
    </row>
    <row r="242" spans="8:8" x14ac:dyDescent="0.25">
      <c r="H242" t="s">
        <v>2934</v>
      </c>
    </row>
    <row r="243" spans="8:8" x14ac:dyDescent="0.25">
      <c r="H243" t="s">
        <v>2944</v>
      </c>
    </row>
    <row r="244" spans="8:8" x14ac:dyDescent="0.25">
      <c r="H244" t="s">
        <v>2964</v>
      </c>
    </row>
    <row r="245" spans="8:8" x14ac:dyDescent="0.25">
      <c r="H245" t="s">
        <v>3177</v>
      </c>
    </row>
    <row r="246" spans="8:8" x14ac:dyDescent="0.25">
      <c r="H246" t="s">
        <v>2709</v>
      </c>
    </row>
    <row r="247" spans="8:8" x14ac:dyDescent="0.25">
      <c r="H247" t="s">
        <v>5309</v>
      </c>
    </row>
    <row r="248" spans="8:8" x14ac:dyDescent="0.25">
      <c r="H248" t="s">
        <v>3427</v>
      </c>
    </row>
    <row r="249" spans="8:8" x14ac:dyDescent="0.25">
      <c r="H249" t="s">
        <v>5043</v>
      </c>
    </row>
    <row r="250" spans="8:8" x14ac:dyDescent="0.25">
      <c r="H250" t="s">
        <v>2513</v>
      </c>
    </row>
    <row r="251" spans="8:8" x14ac:dyDescent="0.25">
      <c r="H251" t="s">
        <v>3166</v>
      </c>
    </row>
    <row r="252" spans="8:8" x14ac:dyDescent="0.25">
      <c r="H252" t="s">
        <v>2040</v>
      </c>
    </row>
    <row r="253" spans="8:8" x14ac:dyDescent="0.25">
      <c r="H253" t="s">
        <v>3970</v>
      </c>
    </row>
    <row r="254" spans="8:8" x14ac:dyDescent="0.25">
      <c r="H254" t="s">
        <v>5471</v>
      </c>
    </row>
    <row r="255" spans="8:8" x14ac:dyDescent="0.25">
      <c r="H255" t="s">
        <v>3196</v>
      </c>
    </row>
    <row r="256" spans="8:8" x14ac:dyDescent="0.25">
      <c r="H256" t="s">
        <v>3202</v>
      </c>
    </row>
    <row r="257" spans="8:8" x14ac:dyDescent="0.25">
      <c r="H257" t="s">
        <v>3210</v>
      </c>
    </row>
    <row r="258" spans="8:8" x14ac:dyDescent="0.25">
      <c r="H258" t="s">
        <v>3227</v>
      </c>
    </row>
    <row r="259" spans="8:8" x14ac:dyDescent="0.25">
      <c r="H259" t="s">
        <v>5447</v>
      </c>
    </row>
    <row r="260" spans="8:8" x14ac:dyDescent="0.25">
      <c r="H260" t="s">
        <v>3282</v>
      </c>
    </row>
    <row r="261" spans="8:8" x14ac:dyDescent="0.25">
      <c r="H261" t="s">
        <v>3293</v>
      </c>
    </row>
    <row r="262" spans="8:8" x14ac:dyDescent="0.25">
      <c r="H262" t="s">
        <v>3288</v>
      </c>
    </row>
    <row r="263" spans="8:8" x14ac:dyDescent="0.25">
      <c r="H263" t="s">
        <v>3363</v>
      </c>
    </row>
    <row r="264" spans="8:8" x14ac:dyDescent="0.25">
      <c r="H264" t="s">
        <v>2921</v>
      </c>
    </row>
    <row r="265" spans="8:8" x14ac:dyDescent="0.25">
      <c r="H265" t="s">
        <v>2879</v>
      </c>
    </row>
    <row r="266" spans="8:8" x14ac:dyDescent="0.25">
      <c r="H266" t="s">
        <v>5466</v>
      </c>
    </row>
    <row r="267" spans="8:8" x14ac:dyDescent="0.25">
      <c r="H267" t="s">
        <v>4655</v>
      </c>
    </row>
    <row r="268" spans="8:8" x14ac:dyDescent="0.25">
      <c r="H268" t="s">
        <v>4458</v>
      </c>
    </row>
    <row r="269" spans="8:8" x14ac:dyDescent="0.25">
      <c r="H269" t="s">
        <v>3585</v>
      </c>
    </row>
    <row r="270" spans="8:8" x14ac:dyDescent="0.25">
      <c r="H270" t="s">
        <v>2039</v>
      </c>
    </row>
    <row r="271" spans="8:8" x14ac:dyDescent="0.25">
      <c r="H271" t="s">
        <v>4590</v>
      </c>
    </row>
    <row r="272" spans="8:8" x14ac:dyDescent="0.25">
      <c r="H272" t="s">
        <v>2161</v>
      </c>
    </row>
    <row r="273" spans="8:8" x14ac:dyDescent="0.25">
      <c r="H273" t="s">
        <v>3007</v>
      </c>
    </row>
    <row r="274" spans="8:8" x14ac:dyDescent="0.25">
      <c r="H274" t="s">
        <v>3913</v>
      </c>
    </row>
    <row r="275" spans="8:8" x14ac:dyDescent="0.25">
      <c r="H275" t="s">
        <v>4912</v>
      </c>
    </row>
    <row r="276" spans="8:8" x14ac:dyDescent="0.25">
      <c r="H276" t="s">
        <v>4851</v>
      </c>
    </row>
    <row r="277" spans="8:8" x14ac:dyDescent="0.25">
      <c r="H277" t="s">
        <v>3693</v>
      </c>
    </row>
    <row r="278" spans="8:8" x14ac:dyDescent="0.25">
      <c r="H278" t="s">
        <v>3376</v>
      </c>
    </row>
    <row r="279" spans="8:8" x14ac:dyDescent="0.25">
      <c r="H279" t="s">
        <v>2288</v>
      </c>
    </row>
    <row r="280" spans="8:8" x14ac:dyDescent="0.25">
      <c r="H280" t="s">
        <v>3273</v>
      </c>
    </row>
    <row r="281" spans="8:8" x14ac:dyDescent="0.25">
      <c r="H281" t="s">
        <v>2364</v>
      </c>
    </row>
    <row r="282" spans="8:8" x14ac:dyDescent="0.25">
      <c r="H282" t="s">
        <v>1284</v>
      </c>
    </row>
    <row r="283" spans="8:8" x14ac:dyDescent="0.25">
      <c r="H283" t="s">
        <v>1555</v>
      </c>
    </row>
    <row r="284" spans="8:8" x14ac:dyDescent="0.25">
      <c r="H284" t="s">
        <v>1464</v>
      </c>
    </row>
    <row r="285" spans="8:8" x14ac:dyDescent="0.25">
      <c r="H285" t="s">
        <v>2294</v>
      </c>
    </row>
    <row r="286" spans="8:8" x14ac:dyDescent="0.25">
      <c r="H286" t="s">
        <v>4528</v>
      </c>
    </row>
    <row r="287" spans="8:8" x14ac:dyDescent="0.25">
      <c r="H287" t="s">
        <v>2066</v>
      </c>
    </row>
    <row r="288" spans="8:8" x14ac:dyDescent="0.25">
      <c r="H288" t="s">
        <v>2203</v>
      </c>
    </row>
    <row r="289" spans="8:8" x14ac:dyDescent="0.25">
      <c r="H289" t="s">
        <v>2283</v>
      </c>
    </row>
    <row r="290" spans="8:8" x14ac:dyDescent="0.25">
      <c r="H290" t="s">
        <v>3417</v>
      </c>
    </row>
    <row r="291" spans="8:8" x14ac:dyDescent="0.25">
      <c r="H291" t="s">
        <v>3495</v>
      </c>
    </row>
    <row r="292" spans="8:8" x14ac:dyDescent="0.25">
      <c r="H292" t="s">
        <v>3500</v>
      </c>
    </row>
    <row r="293" spans="8:8" x14ac:dyDescent="0.25">
      <c r="H293" t="s">
        <v>4856</v>
      </c>
    </row>
    <row r="294" spans="8:8" x14ac:dyDescent="0.25">
      <c r="H294" t="s">
        <v>612</v>
      </c>
    </row>
    <row r="295" spans="8:8" x14ac:dyDescent="0.25">
      <c r="H295" t="s">
        <v>3548</v>
      </c>
    </row>
    <row r="296" spans="8:8" x14ac:dyDescent="0.25">
      <c r="H296" t="s">
        <v>5152</v>
      </c>
    </row>
    <row r="297" spans="8:8" x14ac:dyDescent="0.25">
      <c r="H297" t="s">
        <v>1477</v>
      </c>
    </row>
    <row r="298" spans="8:8" x14ac:dyDescent="0.25">
      <c r="H298" t="s">
        <v>1477</v>
      </c>
    </row>
    <row r="299" spans="8:8" x14ac:dyDescent="0.25">
      <c r="H299" t="s">
        <v>2689</v>
      </c>
    </row>
    <row r="300" spans="8:8" x14ac:dyDescent="0.25">
      <c r="H300" t="s">
        <v>4671</v>
      </c>
    </row>
    <row r="301" spans="8:8" x14ac:dyDescent="0.25">
      <c r="H301" t="s">
        <v>3565</v>
      </c>
    </row>
    <row r="302" spans="8:8" x14ac:dyDescent="0.25">
      <c r="H302" t="s">
        <v>3569</v>
      </c>
    </row>
    <row r="303" spans="8:8" x14ac:dyDescent="0.25">
      <c r="H303" t="s">
        <v>3596</v>
      </c>
    </row>
    <row r="304" spans="8:8" x14ac:dyDescent="0.25">
      <c r="H304" t="s">
        <v>2300</v>
      </c>
    </row>
    <row r="305" spans="8:8" x14ac:dyDescent="0.25">
      <c r="H305" t="s">
        <v>838</v>
      </c>
    </row>
    <row r="306" spans="8:8" x14ac:dyDescent="0.25">
      <c r="H306" t="s">
        <v>839</v>
      </c>
    </row>
    <row r="307" spans="8:8" x14ac:dyDescent="0.25">
      <c r="H307" t="s">
        <v>4681</v>
      </c>
    </row>
    <row r="308" spans="8:8" x14ac:dyDescent="0.25">
      <c r="H308" t="s">
        <v>1509</v>
      </c>
    </row>
    <row r="309" spans="8:8" x14ac:dyDescent="0.25">
      <c r="H309" t="s">
        <v>2075</v>
      </c>
    </row>
    <row r="310" spans="8:8" x14ac:dyDescent="0.25">
      <c r="H310" t="s">
        <v>5449</v>
      </c>
    </row>
    <row r="311" spans="8:8" x14ac:dyDescent="0.25">
      <c r="H311" t="s">
        <v>5208</v>
      </c>
    </row>
    <row r="312" spans="8:8" x14ac:dyDescent="0.25">
      <c r="H312" t="s">
        <v>1438</v>
      </c>
    </row>
    <row r="313" spans="8:8" x14ac:dyDescent="0.25">
      <c r="H313" t="s">
        <v>3787</v>
      </c>
    </row>
    <row r="314" spans="8:8" x14ac:dyDescent="0.25">
      <c r="H314" t="s">
        <v>3689</v>
      </c>
    </row>
    <row r="315" spans="8:8" x14ac:dyDescent="0.25">
      <c r="H315" t="s">
        <v>2584</v>
      </c>
    </row>
    <row r="316" spans="8:8" x14ac:dyDescent="0.25">
      <c r="H316" t="s">
        <v>5135</v>
      </c>
    </row>
    <row r="317" spans="8:8" x14ac:dyDescent="0.25">
      <c r="H317" t="s">
        <v>884</v>
      </c>
    </row>
    <row r="318" spans="8:8" x14ac:dyDescent="0.25">
      <c r="H318" t="s">
        <v>3555</v>
      </c>
    </row>
    <row r="319" spans="8:8" x14ac:dyDescent="0.25">
      <c r="H319" t="s">
        <v>4869</v>
      </c>
    </row>
    <row r="320" spans="8:8" x14ac:dyDescent="0.25">
      <c r="H320" t="s">
        <v>3744</v>
      </c>
    </row>
    <row r="321" spans="8:8" x14ac:dyDescent="0.25">
      <c r="H321" t="s">
        <v>3752</v>
      </c>
    </row>
    <row r="322" spans="8:8" x14ac:dyDescent="0.25">
      <c r="H322" t="s">
        <v>3767</v>
      </c>
    </row>
    <row r="323" spans="8:8" x14ac:dyDescent="0.25">
      <c r="H323" t="s">
        <v>3772</v>
      </c>
    </row>
    <row r="324" spans="8:8" x14ac:dyDescent="0.25">
      <c r="H324" t="s">
        <v>1838</v>
      </c>
    </row>
    <row r="325" spans="8:8" x14ac:dyDescent="0.25">
      <c r="H325" t="s">
        <v>2847</v>
      </c>
    </row>
    <row r="326" spans="8:8" x14ac:dyDescent="0.25">
      <c r="H326" t="s">
        <v>942</v>
      </c>
    </row>
    <row r="327" spans="8:8" x14ac:dyDescent="0.25">
      <c r="H327" t="s">
        <v>3904</v>
      </c>
    </row>
    <row r="328" spans="8:8" x14ac:dyDescent="0.25">
      <c r="H328" t="s">
        <v>1138</v>
      </c>
    </row>
    <row r="329" spans="8:8" x14ac:dyDescent="0.25">
      <c r="H329" t="s">
        <v>5460</v>
      </c>
    </row>
    <row r="330" spans="8:8" x14ac:dyDescent="0.25">
      <c r="H330" t="s">
        <v>4835</v>
      </c>
    </row>
    <row r="331" spans="8:8" x14ac:dyDescent="0.25">
      <c r="H331" t="s">
        <v>4832</v>
      </c>
    </row>
    <row r="332" spans="8:8" x14ac:dyDescent="0.25">
      <c r="H332" t="s">
        <v>2105</v>
      </c>
    </row>
    <row r="333" spans="8:8" x14ac:dyDescent="0.25">
      <c r="H333" t="s">
        <v>2782</v>
      </c>
    </row>
    <row r="334" spans="8:8" x14ac:dyDescent="0.25">
      <c r="H334" t="s">
        <v>3535</v>
      </c>
    </row>
    <row r="335" spans="8:8" x14ac:dyDescent="0.25">
      <c r="H335" t="s">
        <v>4754</v>
      </c>
    </row>
    <row r="336" spans="8:8" x14ac:dyDescent="0.25">
      <c r="H336" t="s">
        <v>2301</v>
      </c>
    </row>
    <row r="337" spans="8:8" x14ac:dyDescent="0.25">
      <c r="H337" t="s">
        <v>4748</v>
      </c>
    </row>
    <row r="338" spans="8:8" x14ac:dyDescent="0.25">
      <c r="H338" t="s">
        <v>1080</v>
      </c>
    </row>
    <row r="339" spans="8:8" x14ac:dyDescent="0.25">
      <c r="H339" t="s">
        <v>1074</v>
      </c>
    </row>
    <row r="340" spans="8:8" x14ac:dyDescent="0.25">
      <c r="H340" t="s">
        <v>5227</v>
      </c>
    </row>
    <row r="341" spans="8:8" x14ac:dyDescent="0.25">
      <c r="H341" t="s">
        <v>794</v>
      </c>
    </row>
    <row r="342" spans="8:8" x14ac:dyDescent="0.25">
      <c r="H342" t="s">
        <v>3930</v>
      </c>
    </row>
    <row r="343" spans="8:8" x14ac:dyDescent="0.25">
      <c r="H343" t="s">
        <v>1839</v>
      </c>
    </row>
    <row r="344" spans="8:8" x14ac:dyDescent="0.25">
      <c r="H344" t="s">
        <v>3941</v>
      </c>
    </row>
    <row r="345" spans="8:8" x14ac:dyDescent="0.25">
      <c r="H345" t="s">
        <v>2394</v>
      </c>
    </row>
    <row r="346" spans="8:8" x14ac:dyDescent="0.25">
      <c r="H346" t="s">
        <v>3034</v>
      </c>
    </row>
    <row r="347" spans="8:8" x14ac:dyDescent="0.25">
      <c r="H347" t="s">
        <v>3803</v>
      </c>
    </row>
    <row r="348" spans="8:8" x14ac:dyDescent="0.25">
      <c r="H348" t="s">
        <v>3115</v>
      </c>
    </row>
    <row r="349" spans="8:8" x14ac:dyDescent="0.25">
      <c r="H349" t="s">
        <v>4293</v>
      </c>
    </row>
    <row r="350" spans="8:8" x14ac:dyDescent="0.25">
      <c r="H350" t="s">
        <v>1189</v>
      </c>
    </row>
    <row r="351" spans="8:8" x14ac:dyDescent="0.25">
      <c r="H351" t="s">
        <v>1190</v>
      </c>
    </row>
    <row r="352" spans="8:8" x14ac:dyDescent="0.25">
      <c r="H352" t="s">
        <v>3951</v>
      </c>
    </row>
    <row r="353" spans="8:8" x14ac:dyDescent="0.25">
      <c r="H353" t="s">
        <v>4839</v>
      </c>
    </row>
    <row r="354" spans="8:8" x14ac:dyDescent="0.25">
      <c r="H354" t="s">
        <v>3955</v>
      </c>
    </row>
    <row r="355" spans="8:8" x14ac:dyDescent="0.25">
      <c r="H355" t="s">
        <v>4023</v>
      </c>
    </row>
    <row r="356" spans="8:8" x14ac:dyDescent="0.25">
      <c r="H356" t="s">
        <v>1452</v>
      </c>
    </row>
    <row r="357" spans="8:8" x14ac:dyDescent="0.25">
      <c r="H357" t="s">
        <v>3973</v>
      </c>
    </row>
    <row r="358" spans="8:8" x14ac:dyDescent="0.25">
      <c r="H358" t="s">
        <v>3979</v>
      </c>
    </row>
    <row r="359" spans="8:8" x14ac:dyDescent="0.25">
      <c r="H359" t="s">
        <v>4760</v>
      </c>
    </row>
    <row r="360" spans="8:8" x14ac:dyDescent="0.25">
      <c r="H360" t="s">
        <v>936</v>
      </c>
    </row>
    <row r="361" spans="8:8" x14ac:dyDescent="0.25">
      <c r="H361" t="s">
        <v>1656</v>
      </c>
    </row>
    <row r="362" spans="8:8" x14ac:dyDescent="0.25">
      <c r="H362" t="s">
        <v>1656</v>
      </c>
    </row>
    <row r="363" spans="8:8" x14ac:dyDescent="0.25">
      <c r="H363" t="s">
        <v>703</v>
      </c>
    </row>
    <row r="364" spans="8:8" x14ac:dyDescent="0.25">
      <c r="H364" t="s">
        <v>1626</v>
      </c>
    </row>
    <row r="365" spans="8:8" x14ac:dyDescent="0.25">
      <c r="H365" t="s">
        <v>5048</v>
      </c>
    </row>
    <row r="366" spans="8:8" x14ac:dyDescent="0.25">
      <c r="H366" t="s">
        <v>4164</v>
      </c>
    </row>
    <row r="367" spans="8:8" x14ac:dyDescent="0.25">
      <c r="H367" t="s">
        <v>713</v>
      </c>
    </row>
    <row r="368" spans="8:8" x14ac:dyDescent="0.25">
      <c r="H368" t="s">
        <v>3823</v>
      </c>
    </row>
    <row r="369" spans="8:8" x14ac:dyDescent="0.25">
      <c r="H369" t="s">
        <v>4175</v>
      </c>
    </row>
    <row r="370" spans="8:8" x14ac:dyDescent="0.25">
      <c r="H370" t="s">
        <v>741</v>
      </c>
    </row>
    <row r="371" spans="8:8" x14ac:dyDescent="0.25">
      <c r="H371" t="s">
        <v>2304</v>
      </c>
    </row>
    <row r="372" spans="8:8" x14ac:dyDescent="0.25">
      <c r="H372" t="s">
        <v>2876</v>
      </c>
    </row>
    <row r="373" spans="8:8" x14ac:dyDescent="0.25">
      <c r="H373" t="s">
        <v>4264</v>
      </c>
    </row>
    <row r="374" spans="8:8" x14ac:dyDescent="0.25">
      <c r="H374" t="s">
        <v>5430</v>
      </c>
    </row>
    <row r="375" spans="8:8" x14ac:dyDescent="0.25">
      <c r="H375" t="s">
        <v>1826</v>
      </c>
    </row>
    <row r="376" spans="8:8" x14ac:dyDescent="0.25">
      <c r="H376" t="s">
        <v>3575</v>
      </c>
    </row>
    <row r="377" spans="8:8" x14ac:dyDescent="0.25">
      <c r="H377" t="s">
        <v>657</v>
      </c>
    </row>
    <row r="378" spans="8:8" x14ac:dyDescent="0.25">
      <c r="H378" t="s">
        <v>4202</v>
      </c>
    </row>
    <row r="379" spans="8:8" x14ac:dyDescent="0.25">
      <c r="H379" t="s">
        <v>4626</v>
      </c>
    </row>
    <row r="380" spans="8:8" x14ac:dyDescent="0.25">
      <c r="H380" t="s">
        <v>855</v>
      </c>
    </row>
    <row r="381" spans="8:8" x14ac:dyDescent="0.25">
      <c r="H381" t="s">
        <v>3958</v>
      </c>
    </row>
    <row r="382" spans="8:8" x14ac:dyDescent="0.25">
      <c r="H382" t="s">
        <v>3958</v>
      </c>
    </row>
    <row r="383" spans="8:8" x14ac:dyDescent="0.25">
      <c r="H383" t="s">
        <v>585</v>
      </c>
    </row>
    <row r="384" spans="8:8" x14ac:dyDescent="0.25">
      <c r="H384" t="s">
        <v>4198</v>
      </c>
    </row>
    <row r="385" spans="8:8" x14ac:dyDescent="0.25">
      <c r="H385" t="s">
        <v>4843</v>
      </c>
    </row>
    <row r="386" spans="8:8" x14ac:dyDescent="0.25">
      <c r="H386" t="s">
        <v>1800</v>
      </c>
    </row>
    <row r="387" spans="8:8" x14ac:dyDescent="0.25">
      <c r="H387" t="s">
        <v>2519</v>
      </c>
    </row>
    <row r="388" spans="8:8" x14ac:dyDescent="0.25">
      <c r="H388" t="s">
        <v>3296</v>
      </c>
    </row>
    <row r="389" spans="8:8" x14ac:dyDescent="0.25">
      <c r="H389" t="s">
        <v>1658</v>
      </c>
    </row>
    <row r="390" spans="8:8" x14ac:dyDescent="0.25">
      <c r="H390" t="s">
        <v>1658</v>
      </c>
    </row>
    <row r="391" spans="8:8" x14ac:dyDescent="0.25">
      <c r="H391" t="s">
        <v>3603</v>
      </c>
    </row>
    <row r="392" spans="8:8" x14ac:dyDescent="0.25">
      <c r="H392" t="s">
        <v>4625</v>
      </c>
    </row>
    <row r="393" spans="8:8" x14ac:dyDescent="0.25">
      <c r="H393" t="s">
        <v>4254</v>
      </c>
    </row>
    <row r="394" spans="8:8" x14ac:dyDescent="0.25">
      <c r="H394" t="s">
        <v>4254</v>
      </c>
    </row>
    <row r="395" spans="8:8" x14ac:dyDescent="0.25">
      <c r="H395" t="s">
        <v>5239</v>
      </c>
    </row>
    <row r="396" spans="8:8" x14ac:dyDescent="0.25">
      <c r="H396" t="s">
        <v>789</v>
      </c>
    </row>
    <row r="397" spans="8:8" x14ac:dyDescent="0.25">
      <c r="H397" t="s">
        <v>4294</v>
      </c>
    </row>
    <row r="398" spans="8:8" x14ac:dyDescent="0.25">
      <c r="H398" t="s">
        <v>5404</v>
      </c>
    </row>
    <row r="399" spans="8:8" x14ac:dyDescent="0.25">
      <c r="H399" t="s">
        <v>856</v>
      </c>
    </row>
    <row r="400" spans="8:8" x14ac:dyDescent="0.25">
      <c r="H400" t="s">
        <v>3708</v>
      </c>
    </row>
    <row r="401" spans="8:8" x14ac:dyDescent="0.25">
      <c r="H401" t="s">
        <v>937</v>
      </c>
    </row>
    <row r="402" spans="8:8" x14ac:dyDescent="0.25">
      <c r="H402" t="s">
        <v>4357</v>
      </c>
    </row>
    <row r="403" spans="8:8" x14ac:dyDescent="0.25">
      <c r="H403" t="s">
        <v>4348</v>
      </c>
    </row>
    <row r="404" spans="8:8" x14ac:dyDescent="0.25">
      <c r="H404" t="s">
        <v>2504</v>
      </c>
    </row>
    <row r="405" spans="8:8" x14ac:dyDescent="0.25">
      <c r="H405" t="s">
        <v>4368</v>
      </c>
    </row>
    <row r="406" spans="8:8" x14ac:dyDescent="0.25">
      <c r="H406" t="s">
        <v>4482</v>
      </c>
    </row>
    <row r="407" spans="8:8" x14ac:dyDescent="0.25">
      <c r="H407" t="s">
        <v>4579</v>
      </c>
    </row>
    <row r="408" spans="8:8" x14ac:dyDescent="0.25">
      <c r="H408" t="s">
        <v>894</v>
      </c>
    </row>
    <row r="409" spans="8:8" x14ac:dyDescent="0.25">
      <c r="H409" t="s">
        <v>4257</v>
      </c>
    </row>
    <row r="410" spans="8:8" x14ac:dyDescent="0.25">
      <c r="H410" t="s">
        <v>5468</v>
      </c>
    </row>
    <row r="411" spans="8:8" x14ac:dyDescent="0.25">
      <c r="H411" t="s">
        <v>3393</v>
      </c>
    </row>
    <row r="412" spans="8:8" x14ac:dyDescent="0.25">
      <c r="H412" t="s">
        <v>1603</v>
      </c>
    </row>
    <row r="413" spans="8:8" x14ac:dyDescent="0.25">
      <c r="H413" t="s">
        <v>4820</v>
      </c>
    </row>
    <row r="414" spans="8:8" x14ac:dyDescent="0.25">
      <c r="H414" t="s">
        <v>4939</v>
      </c>
    </row>
    <row r="415" spans="8:8" x14ac:dyDescent="0.25">
      <c r="H415" t="s">
        <v>3340</v>
      </c>
    </row>
    <row r="416" spans="8:8" x14ac:dyDescent="0.25">
      <c r="H416" t="s">
        <v>2749</v>
      </c>
    </row>
    <row r="417" spans="8:8" x14ac:dyDescent="0.25">
      <c r="H417" t="s">
        <v>2412</v>
      </c>
    </row>
    <row r="418" spans="8:8" x14ac:dyDescent="0.25">
      <c r="H418" t="s">
        <v>2978</v>
      </c>
    </row>
    <row r="419" spans="8:8" x14ac:dyDescent="0.25">
      <c r="H419" t="s">
        <v>1882</v>
      </c>
    </row>
    <row r="420" spans="8:8" x14ac:dyDescent="0.25">
      <c r="H420" t="s">
        <v>4905</v>
      </c>
    </row>
    <row r="421" spans="8:8" x14ac:dyDescent="0.25">
      <c r="H421" t="s">
        <v>5104</v>
      </c>
    </row>
    <row r="422" spans="8:8" x14ac:dyDescent="0.25">
      <c r="H422" t="s">
        <v>3833</v>
      </c>
    </row>
    <row r="423" spans="8:8" x14ac:dyDescent="0.25">
      <c r="H423" t="s">
        <v>4465</v>
      </c>
    </row>
    <row r="424" spans="8:8" x14ac:dyDescent="0.25">
      <c r="H424" t="s">
        <v>4501</v>
      </c>
    </row>
    <row r="425" spans="8:8" x14ac:dyDescent="0.25">
      <c r="H425" t="s">
        <v>1827</v>
      </c>
    </row>
    <row r="426" spans="8:8" x14ac:dyDescent="0.25">
      <c r="H426" t="s">
        <v>1893</v>
      </c>
    </row>
    <row r="427" spans="8:8" x14ac:dyDescent="0.25">
      <c r="H427" t="s">
        <v>1598</v>
      </c>
    </row>
    <row r="428" spans="8:8" x14ac:dyDescent="0.25">
      <c r="H428" t="s">
        <v>661</v>
      </c>
    </row>
    <row r="429" spans="8:8" x14ac:dyDescent="0.25">
      <c r="H429" t="s">
        <v>3287</v>
      </c>
    </row>
    <row r="430" spans="8:8" x14ac:dyDescent="0.25">
      <c r="H430" t="s">
        <v>4512</v>
      </c>
    </row>
    <row r="431" spans="8:8" x14ac:dyDescent="0.25">
      <c r="H431" t="s">
        <v>4521</v>
      </c>
    </row>
    <row r="432" spans="8:8" x14ac:dyDescent="0.25">
      <c r="H432" t="s">
        <v>1081</v>
      </c>
    </row>
    <row r="433" spans="8:8" x14ac:dyDescent="0.25">
      <c r="H433" t="s">
        <v>4154</v>
      </c>
    </row>
    <row r="434" spans="8:8" x14ac:dyDescent="0.25">
      <c r="H434" t="s">
        <v>4469</v>
      </c>
    </row>
    <row r="435" spans="8:8" x14ac:dyDescent="0.25">
      <c r="H435" t="s">
        <v>4435</v>
      </c>
    </row>
    <row r="436" spans="8:8" x14ac:dyDescent="0.25">
      <c r="H436" t="s">
        <v>4606</v>
      </c>
    </row>
    <row r="437" spans="8:8" x14ac:dyDescent="0.25">
      <c r="H437" t="s">
        <v>4702</v>
      </c>
    </row>
    <row r="438" spans="8:8" x14ac:dyDescent="0.25">
      <c r="H438" t="s">
        <v>1075</v>
      </c>
    </row>
    <row r="439" spans="8:8" x14ac:dyDescent="0.25">
      <c r="H439" t="s">
        <v>3151</v>
      </c>
    </row>
    <row r="440" spans="8:8" x14ac:dyDescent="0.25">
      <c r="H440" t="s">
        <v>1039</v>
      </c>
    </row>
    <row r="441" spans="8:8" x14ac:dyDescent="0.25">
      <c r="H441" t="s">
        <v>3216</v>
      </c>
    </row>
    <row r="442" spans="8:8" x14ac:dyDescent="0.25">
      <c r="H442" t="s">
        <v>1040</v>
      </c>
    </row>
    <row r="443" spans="8:8" x14ac:dyDescent="0.25">
      <c r="H443" t="s">
        <v>4657</v>
      </c>
    </row>
    <row r="444" spans="8:8" x14ac:dyDescent="0.25">
      <c r="H444" t="s">
        <v>2575</v>
      </c>
    </row>
    <row r="445" spans="8:8" x14ac:dyDescent="0.25">
      <c r="H445" t="s">
        <v>255</v>
      </c>
    </row>
    <row r="446" spans="8:8" x14ac:dyDescent="0.25">
      <c r="H446" t="s">
        <v>1840</v>
      </c>
    </row>
    <row r="447" spans="8:8" x14ac:dyDescent="0.25">
      <c r="H447" t="s">
        <v>4437</v>
      </c>
    </row>
    <row r="448" spans="8:8" x14ac:dyDescent="0.25">
      <c r="H448" t="s">
        <v>3035</v>
      </c>
    </row>
    <row r="449" spans="8:8" x14ac:dyDescent="0.25">
      <c r="H449" t="s">
        <v>3755</v>
      </c>
    </row>
    <row r="450" spans="8:8" x14ac:dyDescent="0.25">
      <c r="H450" t="s">
        <v>4174</v>
      </c>
    </row>
    <row r="451" spans="8:8" x14ac:dyDescent="0.25">
      <c r="H451" t="s">
        <v>4258</v>
      </c>
    </row>
    <row r="452" spans="8:8" x14ac:dyDescent="0.25">
      <c r="H452" t="s">
        <v>2864</v>
      </c>
    </row>
    <row r="453" spans="8:8" x14ac:dyDescent="0.25">
      <c r="H453" t="s">
        <v>4562</v>
      </c>
    </row>
    <row r="454" spans="8:8" x14ac:dyDescent="0.25">
      <c r="H454" t="s">
        <v>4223</v>
      </c>
    </row>
    <row r="455" spans="8:8" x14ac:dyDescent="0.25">
      <c r="H455" t="s">
        <v>5300</v>
      </c>
    </row>
    <row r="456" spans="8:8" x14ac:dyDescent="0.25">
      <c r="H456" t="s">
        <v>4705</v>
      </c>
    </row>
    <row r="457" spans="8:8" x14ac:dyDescent="0.25">
      <c r="H457" t="s">
        <v>4710</v>
      </c>
    </row>
    <row r="458" spans="8:8" x14ac:dyDescent="0.25">
      <c r="H458" t="s">
        <v>4716</v>
      </c>
    </row>
    <row r="459" spans="8:8" x14ac:dyDescent="0.25">
      <c r="H459" t="s">
        <v>1444</v>
      </c>
    </row>
    <row r="460" spans="8:8" x14ac:dyDescent="0.25">
      <c r="H460" t="s">
        <v>4735</v>
      </c>
    </row>
    <row r="461" spans="8:8" x14ac:dyDescent="0.25">
      <c r="H461" t="s">
        <v>3687</v>
      </c>
    </row>
    <row r="462" spans="8:8" x14ac:dyDescent="0.25">
      <c r="H462" t="s">
        <v>2931</v>
      </c>
    </row>
    <row r="463" spans="8:8" x14ac:dyDescent="0.25">
      <c r="H463" t="s">
        <v>5392</v>
      </c>
    </row>
    <row r="464" spans="8:8" x14ac:dyDescent="0.25">
      <c r="H464" t="s">
        <v>2266</v>
      </c>
    </row>
    <row r="465" spans="8:8" x14ac:dyDescent="0.25">
      <c r="H465" t="s">
        <v>2631</v>
      </c>
    </row>
    <row r="466" spans="8:8" x14ac:dyDescent="0.25">
      <c r="H466" t="s">
        <v>4509</v>
      </c>
    </row>
    <row r="467" spans="8:8" x14ac:dyDescent="0.25">
      <c r="H467" t="s">
        <v>1071</v>
      </c>
    </row>
    <row r="468" spans="8:8" x14ac:dyDescent="0.25">
      <c r="H468" t="s">
        <v>4635</v>
      </c>
    </row>
    <row r="469" spans="8:8" x14ac:dyDescent="0.25">
      <c r="H469" t="s">
        <v>2056</v>
      </c>
    </row>
    <row r="470" spans="8:8" x14ac:dyDescent="0.25">
      <c r="H470" t="s">
        <v>1758</v>
      </c>
    </row>
    <row r="471" spans="8:8" x14ac:dyDescent="0.25">
      <c r="H471" t="s">
        <v>4773</v>
      </c>
    </row>
    <row r="472" spans="8:8" x14ac:dyDescent="0.25">
      <c r="H472" t="s">
        <v>3311</v>
      </c>
    </row>
    <row r="473" spans="8:8" x14ac:dyDescent="0.25">
      <c r="H473" t="s">
        <v>4787</v>
      </c>
    </row>
    <row r="474" spans="8:8" x14ac:dyDescent="0.25">
      <c r="H474" t="s">
        <v>3647</v>
      </c>
    </row>
    <row r="475" spans="8:8" x14ac:dyDescent="0.25">
      <c r="H475" t="s">
        <v>1782</v>
      </c>
    </row>
    <row r="476" spans="8:8" x14ac:dyDescent="0.25">
      <c r="H476" t="s">
        <v>688</v>
      </c>
    </row>
    <row r="477" spans="8:8" x14ac:dyDescent="0.25">
      <c r="H477" t="s">
        <v>4746</v>
      </c>
    </row>
    <row r="478" spans="8:8" x14ac:dyDescent="0.25">
      <c r="H478" t="s">
        <v>690</v>
      </c>
    </row>
    <row r="479" spans="8:8" x14ac:dyDescent="0.25">
      <c r="H479" t="s">
        <v>687</v>
      </c>
    </row>
    <row r="480" spans="8:8" x14ac:dyDescent="0.25">
      <c r="H480" t="s">
        <v>691</v>
      </c>
    </row>
    <row r="481" spans="8:8" x14ac:dyDescent="0.25">
      <c r="H481" t="s">
        <v>4406</v>
      </c>
    </row>
    <row r="482" spans="8:8" x14ac:dyDescent="0.25">
      <c r="H482" t="s">
        <v>5317</v>
      </c>
    </row>
    <row r="483" spans="8:8" x14ac:dyDescent="0.25">
      <c r="H483" t="s">
        <v>2262</v>
      </c>
    </row>
    <row r="484" spans="8:8" x14ac:dyDescent="0.25">
      <c r="H484" t="s">
        <v>2966</v>
      </c>
    </row>
    <row r="485" spans="8:8" x14ac:dyDescent="0.25">
      <c r="H485" t="s">
        <v>2966</v>
      </c>
    </row>
    <row r="486" spans="8:8" x14ac:dyDescent="0.25">
      <c r="H486" t="s">
        <v>3459</v>
      </c>
    </row>
    <row r="487" spans="8:8" x14ac:dyDescent="0.25">
      <c r="H487" t="s">
        <v>3791</v>
      </c>
    </row>
    <row r="488" spans="8:8" x14ac:dyDescent="0.25">
      <c r="H488" t="s">
        <v>4846</v>
      </c>
    </row>
    <row r="489" spans="8:8" x14ac:dyDescent="0.25">
      <c r="H489" t="s">
        <v>1004</v>
      </c>
    </row>
    <row r="490" spans="8:8" x14ac:dyDescent="0.25">
      <c r="H490" t="s">
        <v>4942</v>
      </c>
    </row>
    <row r="491" spans="8:8" x14ac:dyDescent="0.25">
      <c r="H491" t="s">
        <v>4923</v>
      </c>
    </row>
    <row r="492" spans="8:8" x14ac:dyDescent="0.25">
      <c r="H492" t="s">
        <v>4927</v>
      </c>
    </row>
    <row r="493" spans="8:8" x14ac:dyDescent="0.25">
      <c r="H493" t="s">
        <v>4938</v>
      </c>
    </row>
    <row r="494" spans="8:8" x14ac:dyDescent="0.25">
      <c r="H494" t="s">
        <v>4951</v>
      </c>
    </row>
    <row r="495" spans="8:8" x14ac:dyDescent="0.25">
      <c r="H495" t="s">
        <v>4969</v>
      </c>
    </row>
    <row r="496" spans="8:8" x14ac:dyDescent="0.25">
      <c r="H496" t="s">
        <v>4865</v>
      </c>
    </row>
    <row r="497" spans="8:8" x14ac:dyDescent="0.25">
      <c r="H497" t="s">
        <v>4990</v>
      </c>
    </row>
    <row r="498" spans="8:8" x14ac:dyDescent="0.25">
      <c r="H498" t="s">
        <v>1139</v>
      </c>
    </row>
    <row r="499" spans="8:8" x14ac:dyDescent="0.25">
      <c r="H499" t="s">
        <v>1082</v>
      </c>
    </row>
    <row r="500" spans="8:8" x14ac:dyDescent="0.25">
      <c r="H500" t="s">
        <v>5001</v>
      </c>
    </row>
    <row r="501" spans="8:8" x14ac:dyDescent="0.25">
      <c r="H501" t="s">
        <v>5010</v>
      </c>
    </row>
    <row r="502" spans="8:8" x14ac:dyDescent="0.25">
      <c r="H502" t="s">
        <v>5020</v>
      </c>
    </row>
    <row r="503" spans="8:8" x14ac:dyDescent="0.25">
      <c r="H503" t="s">
        <v>256</v>
      </c>
    </row>
    <row r="504" spans="8:8" x14ac:dyDescent="0.25">
      <c r="H504" t="s">
        <v>974</v>
      </c>
    </row>
    <row r="505" spans="8:8" x14ac:dyDescent="0.25">
      <c r="H505" t="s">
        <v>2677</v>
      </c>
    </row>
    <row r="506" spans="8:8" x14ac:dyDescent="0.25">
      <c r="H506" t="s">
        <v>4762</v>
      </c>
    </row>
    <row r="507" spans="8:8" x14ac:dyDescent="0.25">
      <c r="H507" t="s">
        <v>2437</v>
      </c>
    </row>
    <row r="508" spans="8:8" x14ac:dyDescent="0.25">
      <c r="H508" t="s">
        <v>2936</v>
      </c>
    </row>
    <row r="509" spans="8:8" x14ac:dyDescent="0.25">
      <c r="H509" t="s">
        <v>3425</v>
      </c>
    </row>
    <row r="510" spans="8:8" x14ac:dyDescent="0.25">
      <c r="H510" t="s">
        <v>3579</v>
      </c>
    </row>
    <row r="511" spans="8:8" x14ac:dyDescent="0.25">
      <c r="H511" t="s">
        <v>975</v>
      </c>
    </row>
    <row r="512" spans="8:8" x14ac:dyDescent="0.25">
      <c r="H512" t="s">
        <v>5217</v>
      </c>
    </row>
    <row r="513" spans="8:8" x14ac:dyDescent="0.25">
      <c r="H513" t="s">
        <v>922</v>
      </c>
    </row>
    <row r="514" spans="8:8" x14ac:dyDescent="0.25">
      <c r="H514" t="s">
        <v>5222</v>
      </c>
    </row>
    <row r="515" spans="8:8" x14ac:dyDescent="0.25">
      <c r="H515" t="s">
        <v>5244</v>
      </c>
    </row>
    <row r="516" spans="8:8" x14ac:dyDescent="0.25">
      <c r="H516" t="s">
        <v>5247</v>
      </c>
    </row>
    <row r="517" spans="8:8" x14ac:dyDescent="0.25">
      <c r="H517" t="s">
        <v>5254</v>
      </c>
    </row>
    <row r="518" spans="8:8" x14ac:dyDescent="0.25">
      <c r="H518" t="s">
        <v>5257</v>
      </c>
    </row>
    <row r="519" spans="8:8" x14ac:dyDescent="0.25">
      <c r="H519" t="s">
        <v>5263</v>
      </c>
    </row>
    <row r="520" spans="8:8" x14ac:dyDescent="0.25">
      <c r="H520" t="s">
        <v>5275</v>
      </c>
    </row>
    <row r="521" spans="8:8" x14ac:dyDescent="0.25">
      <c r="H521" t="s">
        <v>5285</v>
      </c>
    </row>
    <row r="522" spans="8:8" x14ac:dyDescent="0.25">
      <c r="H522" t="s">
        <v>2871</v>
      </c>
    </row>
    <row r="523" spans="8:8" x14ac:dyDescent="0.25">
      <c r="H523" t="s">
        <v>1837</v>
      </c>
    </row>
    <row r="524" spans="8:8" x14ac:dyDescent="0.25">
      <c r="H524" t="s">
        <v>5299</v>
      </c>
    </row>
    <row r="525" spans="8:8" x14ac:dyDescent="0.25">
      <c r="H525" t="s">
        <v>4599</v>
      </c>
    </row>
    <row r="526" spans="8:8" x14ac:dyDescent="0.25">
      <c r="H526" t="s">
        <v>2841</v>
      </c>
    </row>
    <row r="527" spans="8:8" x14ac:dyDescent="0.25">
      <c r="H527" t="s">
        <v>5418</v>
      </c>
    </row>
    <row r="528" spans="8:8" x14ac:dyDescent="0.25">
      <c r="H528" t="s">
        <v>3269</v>
      </c>
    </row>
    <row r="529" spans="8:8" x14ac:dyDescent="0.25">
      <c r="H529" t="s">
        <v>3092</v>
      </c>
    </row>
    <row r="530" spans="8:8" x14ac:dyDescent="0.25">
      <c r="H530" t="s">
        <v>549</v>
      </c>
    </row>
    <row r="531" spans="8:8" x14ac:dyDescent="0.25">
      <c r="H531" t="s">
        <v>5492</v>
      </c>
    </row>
    <row r="532" spans="8:8" x14ac:dyDescent="0.25">
      <c r="H532" t="s">
        <v>5491</v>
      </c>
    </row>
    <row r="533" spans="8:8" x14ac:dyDescent="0.25">
      <c r="H533" t="s">
        <v>2698</v>
      </c>
    </row>
    <row r="534" spans="8:8" x14ac:dyDescent="0.25">
      <c r="H534" t="s">
        <v>1512</v>
      </c>
    </row>
    <row r="535" spans="8:8" x14ac:dyDescent="0.25">
      <c r="H535" t="s">
        <v>3483</v>
      </c>
    </row>
    <row r="536" spans="8:8" x14ac:dyDescent="0.25">
      <c r="H536" t="s">
        <v>1755</v>
      </c>
    </row>
    <row r="537" spans="8:8" x14ac:dyDescent="0.25">
      <c r="H537" t="s">
        <v>4756</v>
      </c>
    </row>
    <row r="538" spans="8:8" x14ac:dyDescent="0.25">
      <c r="H538" t="s">
        <v>4864</v>
      </c>
    </row>
    <row r="539" spans="8:8" x14ac:dyDescent="0.25">
      <c r="H539" t="s">
        <v>1211</v>
      </c>
    </row>
    <row r="540" spans="8:8" x14ac:dyDescent="0.25">
      <c r="H540" t="s">
        <v>2792</v>
      </c>
    </row>
    <row r="541" spans="8:8" x14ac:dyDescent="0.25">
      <c r="H541" t="s">
        <v>5529</v>
      </c>
    </row>
    <row r="542" spans="8:8" x14ac:dyDescent="0.25">
      <c r="H542" t="s">
        <v>5530</v>
      </c>
    </row>
    <row r="543" spans="8:8" x14ac:dyDescent="0.25">
      <c r="H543" t="s">
        <v>5531</v>
      </c>
    </row>
    <row r="544" spans="8:8" x14ac:dyDescent="0.25">
      <c r="H544" t="s">
        <v>1247</v>
      </c>
    </row>
    <row r="545" spans="8:8" x14ac:dyDescent="0.25">
      <c r="H545" t="s">
        <v>4699</v>
      </c>
    </row>
    <row r="546" spans="8:8" x14ac:dyDescent="0.25">
      <c r="H546" t="s">
        <v>4508</v>
      </c>
    </row>
    <row r="547" spans="8:8" x14ac:dyDescent="0.25">
      <c r="H547" t="s">
        <v>1115</v>
      </c>
    </row>
    <row r="548" spans="8:8" x14ac:dyDescent="0.25">
      <c r="H548" t="s">
        <v>4649</v>
      </c>
    </row>
    <row r="549" spans="8:8" x14ac:dyDescent="0.25">
      <c r="H549" t="s">
        <v>1116</v>
      </c>
    </row>
    <row r="550" spans="8:8" x14ac:dyDescent="0.25">
      <c r="H550" t="s">
        <v>1990</v>
      </c>
    </row>
    <row r="551" spans="8:8" x14ac:dyDescent="0.25">
      <c r="H551" t="s">
        <v>3062</v>
      </c>
    </row>
    <row r="552" spans="8:8" x14ac:dyDescent="0.25">
      <c r="H552" t="s">
        <v>1118</v>
      </c>
    </row>
    <row r="553" spans="8:8" x14ac:dyDescent="0.25">
      <c r="H553" t="s">
        <v>5380</v>
      </c>
    </row>
    <row r="554" spans="8:8" x14ac:dyDescent="0.25">
      <c r="H554" t="s">
        <v>5333</v>
      </c>
    </row>
    <row r="555" spans="8:8" x14ac:dyDescent="0.25">
      <c r="H555" t="s">
        <v>2415</v>
      </c>
    </row>
    <row r="556" spans="8:8" x14ac:dyDescent="0.25">
      <c r="H556" t="s">
        <v>1594</v>
      </c>
    </row>
    <row r="557" spans="8:8" x14ac:dyDescent="0.25">
      <c r="H557" t="s">
        <v>1456</v>
      </c>
    </row>
    <row r="558" spans="8:8" x14ac:dyDescent="0.25">
      <c r="H558" t="s">
        <v>5534</v>
      </c>
    </row>
    <row r="559" spans="8:8" x14ac:dyDescent="0.25">
      <c r="H559" t="s">
        <v>1461</v>
      </c>
    </row>
    <row r="560" spans="8:8" x14ac:dyDescent="0.25">
      <c r="H560" t="s">
        <v>4070</v>
      </c>
    </row>
    <row r="561" spans="8:8" x14ac:dyDescent="0.25">
      <c r="H561" t="s">
        <v>5536</v>
      </c>
    </row>
    <row r="562" spans="8:8" x14ac:dyDescent="0.25">
      <c r="H562" t="s">
        <v>490</v>
      </c>
    </row>
    <row r="563" spans="8:8" x14ac:dyDescent="0.25">
      <c r="H563" t="s">
        <v>3898</v>
      </c>
    </row>
    <row r="564" spans="8:8" x14ac:dyDescent="0.25">
      <c r="H564" t="s">
        <v>1204</v>
      </c>
    </row>
    <row r="565" spans="8:8" x14ac:dyDescent="0.25">
      <c r="H565" t="s">
        <v>5541</v>
      </c>
    </row>
    <row r="566" spans="8:8" x14ac:dyDescent="0.25">
      <c r="H566" t="s">
        <v>484</v>
      </c>
    </row>
    <row r="567" spans="8:8" x14ac:dyDescent="0.25">
      <c r="H567" t="s">
        <v>2613</v>
      </c>
    </row>
    <row r="568" spans="8:8" x14ac:dyDescent="0.25">
      <c r="H568" t="s">
        <v>539</v>
      </c>
    </row>
    <row r="569" spans="8:8" x14ac:dyDescent="0.25">
      <c r="H569" t="s">
        <v>2823</v>
      </c>
    </row>
    <row r="570" spans="8:8" x14ac:dyDescent="0.25">
      <c r="H570" t="s">
        <v>4669</v>
      </c>
    </row>
    <row r="571" spans="8:8" x14ac:dyDescent="0.25">
      <c r="H571" t="s">
        <v>3717</v>
      </c>
    </row>
    <row r="572" spans="8:8" x14ac:dyDescent="0.25">
      <c r="H572" t="s">
        <v>984</v>
      </c>
    </row>
    <row r="573" spans="8:8" x14ac:dyDescent="0.25">
      <c r="H573" t="s">
        <v>1678</v>
      </c>
    </row>
    <row r="574" spans="8:8" x14ac:dyDescent="0.25">
      <c r="H574" t="s">
        <v>2380</v>
      </c>
    </row>
    <row r="575" spans="8:8" x14ac:dyDescent="0.25">
      <c r="H575" t="s">
        <v>4893</v>
      </c>
    </row>
    <row r="576" spans="8:8" x14ac:dyDescent="0.25">
      <c r="H576" t="s">
        <v>2176</v>
      </c>
    </row>
    <row r="577" spans="8:8" x14ac:dyDescent="0.25">
      <c r="H577" t="s">
        <v>1775</v>
      </c>
    </row>
    <row r="578" spans="8:8" x14ac:dyDescent="0.25">
      <c r="H578" t="s">
        <v>985</v>
      </c>
    </row>
    <row r="579" spans="8:8" x14ac:dyDescent="0.25">
      <c r="H579" t="s">
        <v>986</v>
      </c>
    </row>
    <row r="580" spans="8:8" x14ac:dyDescent="0.25">
      <c r="H580" t="s">
        <v>4922</v>
      </c>
    </row>
    <row r="581" spans="8:8" x14ac:dyDescent="0.25">
      <c r="H581" t="s">
        <v>987</v>
      </c>
    </row>
    <row r="582" spans="8:8" x14ac:dyDescent="0.25">
      <c r="H582" t="s">
        <v>1719</v>
      </c>
    </row>
    <row r="583" spans="8:8" x14ac:dyDescent="0.25">
      <c r="H583" t="s">
        <v>2043</v>
      </c>
    </row>
    <row r="584" spans="8:8" x14ac:dyDescent="0.25">
      <c r="H584" t="s">
        <v>3097</v>
      </c>
    </row>
    <row r="585" spans="8:8" x14ac:dyDescent="0.25">
      <c r="H585" t="s">
        <v>461</v>
      </c>
    </row>
    <row r="586" spans="8:8" x14ac:dyDescent="0.25">
      <c r="H586" t="s">
        <v>3012</v>
      </c>
    </row>
    <row r="587" spans="8:8" x14ac:dyDescent="0.25">
      <c r="H587" t="s">
        <v>3051</v>
      </c>
    </row>
    <row r="588" spans="8:8" x14ac:dyDescent="0.25">
      <c r="H588" t="s">
        <v>3134</v>
      </c>
    </row>
    <row r="589" spans="8:8" x14ac:dyDescent="0.25">
      <c r="H589" t="s">
        <v>5123</v>
      </c>
    </row>
    <row r="590" spans="8:8" x14ac:dyDescent="0.25">
      <c r="H590" t="s">
        <v>495</v>
      </c>
    </row>
    <row r="591" spans="8:8" x14ac:dyDescent="0.25">
      <c r="H591" t="s">
        <v>2582</v>
      </c>
    </row>
    <row r="592" spans="8:8" x14ac:dyDescent="0.25">
      <c r="H592" t="s">
        <v>1798</v>
      </c>
    </row>
    <row r="593" spans="8:8" x14ac:dyDescent="0.25">
      <c r="H593" t="s">
        <v>2614</v>
      </c>
    </row>
    <row r="594" spans="8:8" x14ac:dyDescent="0.25">
      <c r="H594" t="s">
        <v>2614</v>
      </c>
    </row>
    <row r="595" spans="8:8" x14ac:dyDescent="0.25">
      <c r="H595" t="s">
        <v>553</v>
      </c>
    </row>
    <row r="596" spans="8:8" x14ac:dyDescent="0.25">
      <c r="H596" t="s">
        <v>562</v>
      </c>
    </row>
    <row r="597" spans="8:8" x14ac:dyDescent="0.25">
      <c r="H597" t="s">
        <v>1330</v>
      </c>
    </row>
    <row r="598" spans="8:8" x14ac:dyDescent="0.25">
      <c r="H598" t="s">
        <v>4899</v>
      </c>
    </row>
    <row r="599" spans="8:8" x14ac:dyDescent="0.25">
      <c r="H599" t="s">
        <v>692</v>
      </c>
    </row>
    <row r="600" spans="8:8" x14ac:dyDescent="0.25">
      <c r="H600" t="s">
        <v>2016</v>
      </c>
    </row>
    <row r="601" spans="8:8" x14ac:dyDescent="0.25">
      <c r="H601" t="s">
        <v>3821</v>
      </c>
    </row>
    <row r="602" spans="8:8" x14ac:dyDescent="0.25">
      <c r="H602" t="s">
        <v>646</v>
      </c>
    </row>
    <row r="603" spans="8:8" x14ac:dyDescent="0.25">
      <c r="H603" t="s">
        <v>708</v>
      </c>
    </row>
    <row r="604" spans="8:8" x14ac:dyDescent="0.25">
      <c r="H604" t="s">
        <v>3224</v>
      </c>
    </row>
    <row r="605" spans="8:8" x14ac:dyDescent="0.25">
      <c r="H605" t="s">
        <v>3224</v>
      </c>
    </row>
    <row r="606" spans="8:8" x14ac:dyDescent="0.25">
      <c r="H606" t="s">
        <v>719</v>
      </c>
    </row>
    <row r="607" spans="8:8" x14ac:dyDescent="0.25">
      <c r="H607" t="s">
        <v>693</v>
      </c>
    </row>
    <row r="608" spans="8:8" x14ac:dyDescent="0.25">
      <c r="H608" t="s">
        <v>1263</v>
      </c>
    </row>
    <row r="609" spans="8:8" x14ac:dyDescent="0.25">
      <c r="H609" t="s">
        <v>1693</v>
      </c>
    </row>
    <row r="610" spans="8:8" x14ac:dyDescent="0.25">
      <c r="H610" t="s">
        <v>1573</v>
      </c>
    </row>
    <row r="611" spans="8:8" x14ac:dyDescent="0.25">
      <c r="H611" t="s">
        <v>779</v>
      </c>
    </row>
    <row r="612" spans="8:8" x14ac:dyDescent="0.25">
      <c r="H612" t="s">
        <v>514</v>
      </c>
    </row>
    <row r="613" spans="8:8" x14ac:dyDescent="0.25">
      <c r="H613" t="s">
        <v>3326</v>
      </c>
    </row>
    <row r="614" spans="8:8" x14ac:dyDescent="0.25">
      <c r="H614" t="s">
        <v>758</v>
      </c>
    </row>
    <row r="615" spans="8:8" x14ac:dyDescent="0.25">
      <c r="H615" t="s">
        <v>759</v>
      </c>
    </row>
    <row r="616" spans="8:8" x14ac:dyDescent="0.25">
      <c r="H616" t="s">
        <v>2018</v>
      </c>
    </row>
    <row r="617" spans="8:8" x14ac:dyDescent="0.25">
      <c r="H617" t="s">
        <v>4633</v>
      </c>
    </row>
    <row r="618" spans="8:8" x14ac:dyDescent="0.25">
      <c r="H618" t="s">
        <v>4686</v>
      </c>
    </row>
    <row r="619" spans="8:8" x14ac:dyDescent="0.25">
      <c r="H619" t="s">
        <v>3371</v>
      </c>
    </row>
    <row r="620" spans="8:8" x14ac:dyDescent="0.25">
      <c r="H620" t="s">
        <v>4983</v>
      </c>
    </row>
    <row r="621" spans="8:8" x14ac:dyDescent="0.25">
      <c r="H621" t="s">
        <v>2912</v>
      </c>
    </row>
    <row r="622" spans="8:8" x14ac:dyDescent="0.25">
      <c r="H622" t="s">
        <v>1443</v>
      </c>
    </row>
    <row r="623" spans="8:8" x14ac:dyDescent="0.25">
      <c r="H623" t="s">
        <v>798</v>
      </c>
    </row>
    <row r="624" spans="8:8" x14ac:dyDescent="0.25">
      <c r="H624" t="s">
        <v>798</v>
      </c>
    </row>
    <row r="625" spans="8:8" x14ac:dyDescent="0.25">
      <c r="H625" t="s">
        <v>815</v>
      </c>
    </row>
    <row r="626" spans="8:8" x14ac:dyDescent="0.25">
      <c r="H626" t="s">
        <v>3180</v>
      </c>
    </row>
    <row r="627" spans="8:8" x14ac:dyDescent="0.25">
      <c r="H627" t="s">
        <v>1188</v>
      </c>
    </row>
    <row r="628" spans="8:8" x14ac:dyDescent="0.25">
      <c r="H628" t="s">
        <v>4495</v>
      </c>
    </row>
    <row r="629" spans="8:8" x14ac:dyDescent="0.25">
      <c r="H629" t="s">
        <v>825</v>
      </c>
    </row>
    <row r="630" spans="8:8" x14ac:dyDescent="0.25">
      <c r="H630" t="s">
        <v>968</v>
      </c>
    </row>
    <row r="631" spans="8:8" x14ac:dyDescent="0.25">
      <c r="H631" t="s">
        <v>960</v>
      </c>
    </row>
    <row r="632" spans="8:8" x14ac:dyDescent="0.25">
      <c r="H632" t="s">
        <v>837</v>
      </c>
    </row>
    <row r="633" spans="8:8" x14ac:dyDescent="0.25">
      <c r="H633" t="s">
        <v>4517</v>
      </c>
    </row>
    <row r="634" spans="8:8" x14ac:dyDescent="0.25">
      <c r="H634" t="s">
        <v>516</v>
      </c>
    </row>
    <row r="635" spans="8:8" x14ac:dyDescent="0.25">
      <c r="H635" t="s">
        <v>5316</v>
      </c>
    </row>
    <row r="636" spans="8:8" x14ac:dyDescent="0.25">
      <c r="H636" t="s">
        <v>3225</v>
      </c>
    </row>
    <row r="637" spans="8:8" x14ac:dyDescent="0.25">
      <c r="H637" t="s">
        <v>4779</v>
      </c>
    </row>
    <row r="638" spans="8:8" x14ac:dyDescent="0.25">
      <c r="H638" t="s">
        <v>994</v>
      </c>
    </row>
    <row r="639" spans="8:8" x14ac:dyDescent="0.25">
      <c r="H639" t="s">
        <v>4763</v>
      </c>
    </row>
    <row r="640" spans="8:8" x14ac:dyDescent="0.25">
      <c r="H640" t="s">
        <v>1067</v>
      </c>
    </row>
    <row r="641" spans="8:8" x14ac:dyDescent="0.25">
      <c r="H641" t="s">
        <v>5388</v>
      </c>
    </row>
    <row r="642" spans="8:8" x14ac:dyDescent="0.25">
      <c r="H642" t="s">
        <v>932</v>
      </c>
    </row>
    <row r="643" spans="8:8" x14ac:dyDescent="0.25">
      <c r="H643" t="s">
        <v>4805</v>
      </c>
    </row>
    <row r="644" spans="8:8" x14ac:dyDescent="0.25">
      <c r="H644" t="s">
        <v>689</v>
      </c>
    </row>
    <row r="645" spans="8:8" x14ac:dyDescent="0.25">
      <c r="H645" t="s">
        <v>4232</v>
      </c>
    </row>
    <row r="646" spans="8:8" x14ac:dyDescent="0.25">
      <c r="H646" t="s">
        <v>980</v>
      </c>
    </row>
    <row r="647" spans="8:8" x14ac:dyDescent="0.25">
      <c r="H647" t="s">
        <v>897</v>
      </c>
    </row>
    <row r="648" spans="8:8" x14ac:dyDescent="0.25">
      <c r="H648" t="s">
        <v>893</v>
      </c>
    </row>
    <row r="649" spans="8:8" x14ac:dyDescent="0.25">
      <c r="H649" t="s">
        <v>3863</v>
      </c>
    </row>
    <row r="650" spans="8:8" x14ac:dyDescent="0.25">
      <c r="H650" t="s">
        <v>2023</v>
      </c>
    </row>
    <row r="651" spans="8:8" x14ac:dyDescent="0.25">
      <c r="H651" t="s">
        <v>947</v>
      </c>
    </row>
    <row r="652" spans="8:8" x14ac:dyDescent="0.25">
      <c r="H652" t="s">
        <v>3598</v>
      </c>
    </row>
    <row r="653" spans="8:8" x14ac:dyDescent="0.25">
      <c r="H653" t="s">
        <v>3751</v>
      </c>
    </row>
    <row r="654" spans="8:8" x14ac:dyDescent="0.25">
      <c r="H654" t="s">
        <v>5198</v>
      </c>
    </row>
    <row r="655" spans="8:8" x14ac:dyDescent="0.25">
      <c r="H655" t="s">
        <v>4578</v>
      </c>
    </row>
    <row r="656" spans="8:8" x14ac:dyDescent="0.25">
      <c r="H656" t="s">
        <v>971</v>
      </c>
    </row>
    <row r="657" spans="8:8" x14ac:dyDescent="0.25">
      <c r="H657" t="s">
        <v>982</v>
      </c>
    </row>
    <row r="658" spans="8:8" x14ac:dyDescent="0.25">
      <c r="H658" t="s">
        <v>4870</v>
      </c>
    </row>
    <row r="659" spans="8:8" x14ac:dyDescent="0.25">
      <c r="H659" t="s">
        <v>4297</v>
      </c>
    </row>
    <row r="660" spans="8:8" x14ac:dyDescent="0.25">
      <c r="H660" t="s">
        <v>1157</v>
      </c>
    </row>
    <row r="661" spans="8:8" x14ac:dyDescent="0.25">
      <c r="H661" t="s">
        <v>3418</v>
      </c>
    </row>
    <row r="662" spans="8:8" x14ac:dyDescent="0.25">
      <c r="H662" t="s">
        <v>4780</v>
      </c>
    </row>
    <row r="663" spans="8:8" x14ac:dyDescent="0.25">
      <c r="H663" t="s">
        <v>1201</v>
      </c>
    </row>
    <row r="664" spans="8:8" x14ac:dyDescent="0.25">
      <c r="H664" t="s">
        <v>998</v>
      </c>
    </row>
    <row r="665" spans="8:8" x14ac:dyDescent="0.25">
      <c r="H665" t="s">
        <v>3419</v>
      </c>
    </row>
    <row r="666" spans="8:8" x14ac:dyDescent="0.25">
      <c r="H666" t="s">
        <v>3420</v>
      </c>
    </row>
    <row r="667" spans="8:8" x14ac:dyDescent="0.25">
      <c r="H667" t="s">
        <v>5398</v>
      </c>
    </row>
    <row r="668" spans="8:8" x14ac:dyDescent="0.25">
      <c r="H668" t="s">
        <v>1022</v>
      </c>
    </row>
    <row r="669" spans="8:8" x14ac:dyDescent="0.25">
      <c r="H669" t="s">
        <v>1027</v>
      </c>
    </row>
    <row r="670" spans="8:8" x14ac:dyDescent="0.25">
      <c r="H670" t="s">
        <v>5176</v>
      </c>
    </row>
    <row r="671" spans="8:8" x14ac:dyDescent="0.25">
      <c r="H671" t="s">
        <v>1035</v>
      </c>
    </row>
    <row r="672" spans="8:8" x14ac:dyDescent="0.25">
      <c r="H672" t="s">
        <v>2940</v>
      </c>
    </row>
    <row r="673" spans="8:8" x14ac:dyDescent="0.25">
      <c r="H673" t="s">
        <v>1176</v>
      </c>
    </row>
    <row r="674" spans="8:8" x14ac:dyDescent="0.25">
      <c r="H674" t="s">
        <v>1176</v>
      </c>
    </row>
    <row r="675" spans="8:8" x14ac:dyDescent="0.25">
      <c r="H675" t="s">
        <v>2965</v>
      </c>
    </row>
    <row r="676" spans="8:8" x14ac:dyDescent="0.25">
      <c r="H676" t="s">
        <v>3506</v>
      </c>
    </row>
    <row r="677" spans="8:8" x14ac:dyDescent="0.25">
      <c r="H677" t="s">
        <v>3654</v>
      </c>
    </row>
    <row r="678" spans="8:8" x14ac:dyDescent="0.25">
      <c r="H678" t="s">
        <v>5319</v>
      </c>
    </row>
    <row r="679" spans="8:8" x14ac:dyDescent="0.25">
      <c r="H679" t="s">
        <v>1058</v>
      </c>
    </row>
    <row r="680" spans="8:8" x14ac:dyDescent="0.25">
      <c r="H680" t="s">
        <v>1068</v>
      </c>
    </row>
    <row r="681" spans="8:8" x14ac:dyDescent="0.25">
      <c r="H681" t="s">
        <v>2470</v>
      </c>
    </row>
    <row r="682" spans="8:8" x14ac:dyDescent="0.25">
      <c r="H682" t="s">
        <v>1220</v>
      </c>
    </row>
    <row r="683" spans="8:8" x14ac:dyDescent="0.25">
      <c r="H683" t="s">
        <v>2115</v>
      </c>
    </row>
    <row r="684" spans="8:8" x14ac:dyDescent="0.25">
      <c r="H684" t="s">
        <v>2812</v>
      </c>
    </row>
    <row r="685" spans="8:8" x14ac:dyDescent="0.25">
      <c r="H685" t="s">
        <v>1106</v>
      </c>
    </row>
    <row r="686" spans="8:8" x14ac:dyDescent="0.25">
      <c r="H686" t="s">
        <v>1111</v>
      </c>
    </row>
    <row r="687" spans="8:8" x14ac:dyDescent="0.25">
      <c r="H687" t="s">
        <v>4804</v>
      </c>
    </row>
    <row r="688" spans="8:8" x14ac:dyDescent="0.25">
      <c r="H688" t="s">
        <v>1117</v>
      </c>
    </row>
    <row r="689" spans="8:8" x14ac:dyDescent="0.25">
      <c r="H689" t="s">
        <v>3893</v>
      </c>
    </row>
    <row r="690" spans="8:8" x14ac:dyDescent="0.25">
      <c r="H690" t="s">
        <v>2610</v>
      </c>
    </row>
    <row r="691" spans="8:8" x14ac:dyDescent="0.25">
      <c r="H691" t="s">
        <v>1673</v>
      </c>
    </row>
    <row r="692" spans="8:8" x14ac:dyDescent="0.25">
      <c r="H692" t="s">
        <v>2878</v>
      </c>
    </row>
    <row r="693" spans="8:8" x14ac:dyDescent="0.25">
      <c r="H693" t="s">
        <v>5487</v>
      </c>
    </row>
    <row r="694" spans="8:8" x14ac:dyDescent="0.25">
      <c r="H694" t="s">
        <v>2739</v>
      </c>
    </row>
    <row r="695" spans="8:8" x14ac:dyDescent="0.25">
      <c r="H695" t="s">
        <v>2882</v>
      </c>
    </row>
    <row r="696" spans="8:8" x14ac:dyDescent="0.25">
      <c r="H696" t="s">
        <v>2029</v>
      </c>
    </row>
    <row r="697" spans="8:8" x14ac:dyDescent="0.25">
      <c r="H697" t="s">
        <v>5336</v>
      </c>
    </row>
    <row r="698" spans="8:8" x14ac:dyDescent="0.25">
      <c r="H698" t="s">
        <v>2202</v>
      </c>
    </row>
    <row r="699" spans="8:8" x14ac:dyDescent="0.25">
      <c r="H699" t="s">
        <v>2202</v>
      </c>
    </row>
    <row r="700" spans="8:8" x14ac:dyDescent="0.25">
      <c r="H700" t="s">
        <v>5337</v>
      </c>
    </row>
    <row r="701" spans="8:8" x14ac:dyDescent="0.25">
      <c r="H701" t="s">
        <v>5335</v>
      </c>
    </row>
    <row r="702" spans="8:8" x14ac:dyDescent="0.25">
      <c r="H702" t="s">
        <v>2959</v>
      </c>
    </row>
    <row r="703" spans="8:8" x14ac:dyDescent="0.25">
      <c r="H703" t="s">
        <v>990</v>
      </c>
    </row>
    <row r="704" spans="8:8" x14ac:dyDescent="0.25">
      <c r="H704" t="s">
        <v>1711</v>
      </c>
    </row>
    <row r="705" spans="8:8" x14ac:dyDescent="0.25">
      <c r="H705" t="s">
        <v>3780</v>
      </c>
    </row>
    <row r="706" spans="8:8" x14ac:dyDescent="0.25">
      <c r="H706" t="s">
        <v>4809</v>
      </c>
    </row>
    <row r="707" spans="8:8" x14ac:dyDescent="0.25">
      <c r="H707" t="s">
        <v>5057</v>
      </c>
    </row>
    <row r="708" spans="8:8" x14ac:dyDescent="0.25">
      <c r="H708" t="s">
        <v>1153</v>
      </c>
    </row>
    <row r="709" spans="8:8" x14ac:dyDescent="0.25">
      <c r="H709" t="s">
        <v>4666</v>
      </c>
    </row>
    <row r="710" spans="8:8" x14ac:dyDescent="0.25">
      <c r="H710" t="s">
        <v>2035</v>
      </c>
    </row>
    <row r="711" spans="8:8" x14ac:dyDescent="0.25">
      <c r="H711" t="s">
        <v>1558</v>
      </c>
    </row>
    <row r="712" spans="8:8" x14ac:dyDescent="0.25">
      <c r="H712" t="s">
        <v>5130</v>
      </c>
    </row>
    <row r="713" spans="8:8" x14ac:dyDescent="0.25">
      <c r="H713" t="s">
        <v>4432</v>
      </c>
    </row>
    <row r="714" spans="8:8" x14ac:dyDescent="0.25">
      <c r="H714" t="s">
        <v>3784</v>
      </c>
    </row>
    <row r="715" spans="8:8" x14ac:dyDescent="0.25">
      <c r="H715" t="s">
        <v>1640</v>
      </c>
    </row>
    <row r="716" spans="8:8" x14ac:dyDescent="0.25">
      <c r="H716" t="s">
        <v>1092</v>
      </c>
    </row>
    <row r="717" spans="8:8" x14ac:dyDescent="0.25">
      <c r="H717" t="s">
        <v>1221</v>
      </c>
    </row>
    <row r="718" spans="8:8" x14ac:dyDescent="0.25">
      <c r="H718" t="s">
        <v>481</v>
      </c>
    </row>
    <row r="719" spans="8:8" x14ac:dyDescent="0.25">
      <c r="H719" t="s">
        <v>1468</v>
      </c>
    </row>
    <row r="720" spans="8:8" x14ac:dyDescent="0.25">
      <c r="H720" t="s">
        <v>1468</v>
      </c>
    </row>
    <row r="721" spans="8:8" x14ac:dyDescent="0.25">
      <c r="H721" t="s">
        <v>1155</v>
      </c>
    </row>
    <row r="722" spans="8:8" x14ac:dyDescent="0.25">
      <c r="H722" t="s">
        <v>1156</v>
      </c>
    </row>
    <row r="723" spans="8:8" x14ac:dyDescent="0.25">
      <c r="H723" t="s">
        <v>1158</v>
      </c>
    </row>
    <row r="724" spans="8:8" x14ac:dyDescent="0.25">
      <c r="H724" t="s">
        <v>2800</v>
      </c>
    </row>
    <row r="725" spans="8:8" x14ac:dyDescent="0.25">
      <c r="H725" t="s">
        <v>1917</v>
      </c>
    </row>
    <row r="726" spans="8:8" x14ac:dyDescent="0.25">
      <c r="H726" t="s">
        <v>895</v>
      </c>
    </row>
    <row r="727" spans="8:8" x14ac:dyDescent="0.25">
      <c r="H727" t="s">
        <v>696</v>
      </c>
    </row>
    <row r="728" spans="8:8" x14ac:dyDescent="0.25">
      <c r="H728" t="s">
        <v>724</v>
      </c>
    </row>
    <row r="729" spans="8:8" x14ac:dyDescent="0.25">
      <c r="H729" t="s">
        <v>1169</v>
      </c>
    </row>
    <row r="730" spans="8:8" x14ac:dyDescent="0.25">
      <c r="H730" t="s">
        <v>627</v>
      </c>
    </row>
    <row r="731" spans="8:8" x14ac:dyDescent="0.25">
      <c r="H731" t="s">
        <v>2619</v>
      </c>
    </row>
    <row r="732" spans="8:8" x14ac:dyDescent="0.25">
      <c r="H732" t="s">
        <v>1128</v>
      </c>
    </row>
    <row r="733" spans="8:8" x14ac:dyDescent="0.25">
      <c r="H733" t="s">
        <v>2877</v>
      </c>
    </row>
    <row r="734" spans="8:8" x14ac:dyDescent="0.25">
      <c r="H734" t="s">
        <v>5343</v>
      </c>
    </row>
    <row r="735" spans="8:8" x14ac:dyDescent="0.25">
      <c r="H735" t="s">
        <v>4707</v>
      </c>
    </row>
    <row r="736" spans="8:8" x14ac:dyDescent="0.25">
      <c r="H736" t="s">
        <v>3377</v>
      </c>
    </row>
    <row r="737" spans="8:8" x14ac:dyDescent="0.25">
      <c r="H737" t="s">
        <v>2531</v>
      </c>
    </row>
    <row r="738" spans="8:8" x14ac:dyDescent="0.25">
      <c r="H738" t="s">
        <v>4648</v>
      </c>
    </row>
    <row r="739" spans="8:8" x14ac:dyDescent="0.25">
      <c r="H739" t="s">
        <v>2599</v>
      </c>
    </row>
    <row r="740" spans="8:8" x14ac:dyDescent="0.25">
      <c r="H740" t="s">
        <v>3632</v>
      </c>
    </row>
    <row r="741" spans="8:8" x14ac:dyDescent="0.25">
      <c r="H741" t="s">
        <v>2705</v>
      </c>
    </row>
    <row r="742" spans="8:8" x14ac:dyDescent="0.25">
      <c r="H742" t="s">
        <v>1531</v>
      </c>
    </row>
    <row r="743" spans="8:8" x14ac:dyDescent="0.25">
      <c r="H743" t="s">
        <v>3412</v>
      </c>
    </row>
    <row r="744" spans="8:8" x14ac:dyDescent="0.25">
      <c r="H744" t="s">
        <v>1184</v>
      </c>
    </row>
    <row r="745" spans="8:8" x14ac:dyDescent="0.25">
      <c r="H745" t="s">
        <v>2306</v>
      </c>
    </row>
    <row r="746" spans="8:8" x14ac:dyDescent="0.25">
      <c r="H746" t="s">
        <v>5005</v>
      </c>
    </row>
    <row r="747" spans="8:8" x14ac:dyDescent="0.25">
      <c r="H747" t="s">
        <v>589</v>
      </c>
    </row>
    <row r="748" spans="8:8" x14ac:dyDescent="0.25">
      <c r="H748" t="s">
        <v>1669</v>
      </c>
    </row>
    <row r="749" spans="8:8" x14ac:dyDescent="0.25">
      <c r="H749" t="s">
        <v>4473</v>
      </c>
    </row>
    <row r="750" spans="8:8" x14ac:dyDescent="0.25">
      <c r="H750" t="s">
        <v>1194</v>
      </c>
    </row>
    <row r="751" spans="8:8" x14ac:dyDescent="0.25">
      <c r="H751" t="s">
        <v>1794</v>
      </c>
    </row>
    <row r="752" spans="8:8" x14ac:dyDescent="0.25">
      <c r="H752" t="s">
        <v>1844</v>
      </c>
    </row>
    <row r="753" spans="8:8" x14ac:dyDescent="0.25">
      <c r="H753" t="s">
        <v>4116</v>
      </c>
    </row>
    <row r="754" spans="8:8" x14ac:dyDescent="0.25">
      <c r="H754" t="s">
        <v>2992</v>
      </c>
    </row>
    <row r="755" spans="8:8" x14ac:dyDescent="0.25">
      <c r="H755" t="s">
        <v>5344</v>
      </c>
    </row>
    <row r="756" spans="8:8" x14ac:dyDescent="0.25">
      <c r="H756" t="s">
        <v>5375</v>
      </c>
    </row>
    <row r="757" spans="8:8" x14ac:dyDescent="0.25">
      <c r="H757" t="s">
        <v>2888</v>
      </c>
    </row>
    <row r="758" spans="8:8" x14ac:dyDescent="0.25">
      <c r="H758" t="s">
        <v>4541</v>
      </c>
    </row>
    <row r="759" spans="8:8" x14ac:dyDescent="0.25">
      <c r="H759" t="s">
        <v>3011</v>
      </c>
    </row>
    <row r="760" spans="8:8" x14ac:dyDescent="0.25">
      <c r="H760" t="s">
        <v>1197</v>
      </c>
    </row>
    <row r="761" spans="8:8" x14ac:dyDescent="0.25">
      <c r="H761" t="s">
        <v>4135</v>
      </c>
    </row>
    <row r="762" spans="8:8" x14ac:dyDescent="0.25">
      <c r="H762" t="s">
        <v>1447</v>
      </c>
    </row>
    <row r="763" spans="8:8" x14ac:dyDescent="0.25">
      <c r="H763" t="s">
        <v>563</v>
      </c>
    </row>
    <row r="764" spans="8:8" x14ac:dyDescent="0.25">
      <c r="H764" t="s">
        <v>1526</v>
      </c>
    </row>
    <row r="765" spans="8:8" x14ac:dyDescent="0.25">
      <c r="H765" t="s">
        <v>2949</v>
      </c>
    </row>
    <row r="766" spans="8:8" x14ac:dyDescent="0.25">
      <c r="H766" t="s">
        <v>604</v>
      </c>
    </row>
    <row r="767" spans="8:8" x14ac:dyDescent="0.25">
      <c r="H767" t="s">
        <v>5526</v>
      </c>
    </row>
    <row r="768" spans="8:8" x14ac:dyDescent="0.25">
      <c r="H768" t="s">
        <v>2881</v>
      </c>
    </row>
    <row r="769" spans="8:8" x14ac:dyDescent="0.25">
      <c r="H769" t="s">
        <v>3358</v>
      </c>
    </row>
    <row r="770" spans="8:8" x14ac:dyDescent="0.25">
      <c r="H770" t="s">
        <v>4808</v>
      </c>
    </row>
    <row r="771" spans="8:8" x14ac:dyDescent="0.25">
      <c r="H771" t="s">
        <v>2028</v>
      </c>
    </row>
    <row r="772" spans="8:8" x14ac:dyDescent="0.25">
      <c r="H772" t="s">
        <v>3325</v>
      </c>
    </row>
    <row r="773" spans="8:8" x14ac:dyDescent="0.25">
      <c r="H773" t="s">
        <v>1203</v>
      </c>
    </row>
    <row r="774" spans="8:8" x14ac:dyDescent="0.25">
      <c r="H774" t="s">
        <v>1442</v>
      </c>
    </row>
    <row r="775" spans="8:8" x14ac:dyDescent="0.25">
      <c r="H775" t="s">
        <v>4874</v>
      </c>
    </row>
    <row r="776" spans="8:8" x14ac:dyDescent="0.25">
      <c r="H776" t="s">
        <v>3967</v>
      </c>
    </row>
    <row r="777" spans="8:8" x14ac:dyDescent="0.25">
      <c r="H777" t="s">
        <v>4119</v>
      </c>
    </row>
    <row r="778" spans="8:8" x14ac:dyDescent="0.25">
      <c r="H778" t="s">
        <v>3798</v>
      </c>
    </row>
    <row r="779" spans="8:8" x14ac:dyDescent="0.25">
      <c r="H779" t="s">
        <v>3347</v>
      </c>
    </row>
    <row r="780" spans="8:8" x14ac:dyDescent="0.25">
      <c r="H780" t="s">
        <v>2915</v>
      </c>
    </row>
    <row r="781" spans="8:8" x14ac:dyDescent="0.25">
      <c r="H781" t="s">
        <v>2037</v>
      </c>
    </row>
    <row r="782" spans="8:8" x14ac:dyDescent="0.25">
      <c r="H782" t="s">
        <v>4327</v>
      </c>
    </row>
    <row r="783" spans="8:8" x14ac:dyDescent="0.25">
      <c r="H783" t="s">
        <v>258</v>
      </c>
    </row>
    <row r="784" spans="8:8" x14ac:dyDescent="0.25">
      <c r="H784" t="s">
        <v>2914</v>
      </c>
    </row>
    <row r="785" spans="8:8" x14ac:dyDescent="0.25">
      <c r="H785" t="s">
        <v>4000</v>
      </c>
    </row>
    <row r="786" spans="8:8" x14ac:dyDescent="0.25">
      <c r="H786" t="s">
        <v>4764</v>
      </c>
    </row>
    <row r="787" spans="8:8" x14ac:dyDescent="0.25">
      <c r="H787" t="s">
        <v>2308</v>
      </c>
    </row>
    <row r="788" spans="8:8" x14ac:dyDescent="0.25">
      <c r="H788" t="s">
        <v>2751</v>
      </c>
    </row>
    <row r="789" spans="8:8" x14ac:dyDescent="0.25">
      <c r="H789" t="s">
        <v>3099</v>
      </c>
    </row>
    <row r="790" spans="8:8" x14ac:dyDescent="0.25">
      <c r="H790" t="s">
        <v>3864</v>
      </c>
    </row>
    <row r="791" spans="8:8" x14ac:dyDescent="0.25">
      <c r="H791" t="s">
        <v>1439</v>
      </c>
    </row>
    <row r="792" spans="8:8" x14ac:dyDescent="0.25">
      <c r="H792" t="s">
        <v>1460</v>
      </c>
    </row>
    <row r="793" spans="8:8" x14ac:dyDescent="0.25">
      <c r="H793" t="s">
        <v>1465</v>
      </c>
    </row>
    <row r="794" spans="8:8" x14ac:dyDescent="0.25">
      <c r="H794" t="s">
        <v>1467</v>
      </c>
    </row>
    <row r="795" spans="8:8" x14ac:dyDescent="0.25">
      <c r="H795" t="s">
        <v>1469</v>
      </c>
    </row>
    <row r="796" spans="8:8" x14ac:dyDescent="0.25">
      <c r="H796" t="s">
        <v>1471</v>
      </c>
    </row>
    <row r="797" spans="8:8" x14ac:dyDescent="0.25">
      <c r="H797" t="s">
        <v>1475</v>
      </c>
    </row>
    <row r="798" spans="8:8" x14ac:dyDescent="0.25">
      <c r="H798" t="s">
        <v>1476</v>
      </c>
    </row>
    <row r="799" spans="8:8" x14ac:dyDescent="0.25">
      <c r="H799" t="s">
        <v>1479</v>
      </c>
    </row>
    <row r="800" spans="8:8" x14ac:dyDescent="0.25">
      <c r="H800" t="s">
        <v>1462</v>
      </c>
    </row>
    <row r="801" spans="8:8" x14ac:dyDescent="0.25">
      <c r="H801" t="s">
        <v>4685</v>
      </c>
    </row>
    <row r="802" spans="8:8" x14ac:dyDescent="0.25">
      <c r="H802" t="s">
        <v>5194</v>
      </c>
    </row>
    <row r="803" spans="8:8" x14ac:dyDescent="0.25">
      <c r="H803" t="s">
        <v>1816</v>
      </c>
    </row>
    <row r="804" spans="8:8" x14ac:dyDescent="0.25">
      <c r="H804" t="s">
        <v>613</v>
      </c>
    </row>
    <row r="805" spans="8:8" x14ac:dyDescent="0.25">
      <c r="H805" t="s">
        <v>1483</v>
      </c>
    </row>
    <row r="806" spans="8:8" x14ac:dyDescent="0.25">
      <c r="H806" t="s">
        <v>2726</v>
      </c>
    </row>
    <row r="807" spans="8:8" x14ac:dyDescent="0.25">
      <c r="H807" t="s">
        <v>1484</v>
      </c>
    </row>
    <row r="808" spans="8:8" x14ac:dyDescent="0.25">
      <c r="H808" t="s">
        <v>1485</v>
      </c>
    </row>
    <row r="809" spans="8:8" x14ac:dyDescent="0.25">
      <c r="H809" t="s">
        <v>1125</v>
      </c>
    </row>
    <row r="810" spans="8:8" x14ac:dyDescent="0.25">
      <c r="H810" t="s">
        <v>3882</v>
      </c>
    </row>
    <row r="811" spans="8:8" x14ac:dyDescent="0.25">
      <c r="H811" t="s">
        <v>1131</v>
      </c>
    </row>
    <row r="812" spans="8:8" x14ac:dyDescent="0.25">
      <c r="H812" t="s">
        <v>4345</v>
      </c>
    </row>
    <row r="813" spans="8:8" x14ac:dyDescent="0.25">
      <c r="H813" t="s">
        <v>665</v>
      </c>
    </row>
    <row r="814" spans="8:8" x14ac:dyDescent="0.25">
      <c r="H814" t="s">
        <v>857</v>
      </c>
    </row>
    <row r="815" spans="8:8" x14ac:dyDescent="0.25">
      <c r="H815" t="s">
        <v>4002</v>
      </c>
    </row>
    <row r="816" spans="8:8" x14ac:dyDescent="0.25">
      <c r="H816" t="s">
        <v>4585</v>
      </c>
    </row>
    <row r="817" spans="8:8" x14ac:dyDescent="0.25">
      <c r="H817" t="s">
        <v>3811</v>
      </c>
    </row>
    <row r="818" spans="8:8" x14ac:dyDescent="0.25">
      <c r="H818" t="s">
        <v>517</v>
      </c>
    </row>
    <row r="819" spans="8:8" x14ac:dyDescent="0.25">
      <c r="H819" t="s">
        <v>714</v>
      </c>
    </row>
    <row r="820" spans="8:8" x14ac:dyDescent="0.25">
      <c r="H820" t="s">
        <v>105</v>
      </c>
    </row>
    <row r="821" spans="8:8" x14ac:dyDescent="0.25">
      <c r="H821" t="s">
        <v>1615</v>
      </c>
    </row>
    <row r="822" spans="8:8" x14ac:dyDescent="0.25">
      <c r="H822" t="s">
        <v>3262</v>
      </c>
    </row>
    <row r="823" spans="8:8" x14ac:dyDescent="0.25">
      <c r="H823" t="s">
        <v>5321</v>
      </c>
    </row>
    <row r="824" spans="8:8" x14ac:dyDescent="0.25">
      <c r="H824" t="s">
        <v>1614</v>
      </c>
    </row>
    <row r="825" spans="8:8" x14ac:dyDescent="0.25">
      <c r="H825" t="s">
        <v>1616</v>
      </c>
    </row>
    <row r="826" spans="8:8" x14ac:dyDescent="0.25">
      <c r="H826" t="s">
        <v>260</v>
      </c>
    </row>
    <row r="827" spans="8:8" x14ac:dyDescent="0.25">
      <c r="H827" t="s">
        <v>1012</v>
      </c>
    </row>
    <row r="828" spans="8:8" x14ac:dyDescent="0.25">
      <c r="H828" t="s">
        <v>1013</v>
      </c>
    </row>
    <row r="829" spans="8:8" x14ac:dyDescent="0.25">
      <c r="H829" t="s">
        <v>1014</v>
      </c>
    </row>
    <row r="830" spans="8:8" x14ac:dyDescent="0.25">
      <c r="H830" t="s">
        <v>1015</v>
      </c>
    </row>
    <row r="831" spans="8:8" x14ac:dyDescent="0.25">
      <c r="H831" t="s">
        <v>1016</v>
      </c>
    </row>
    <row r="832" spans="8:8" x14ac:dyDescent="0.25">
      <c r="H832" t="s">
        <v>1017</v>
      </c>
    </row>
    <row r="833" spans="8:8" x14ac:dyDescent="0.25">
      <c r="H833" t="s">
        <v>1018</v>
      </c>
    </row>
    <row r="834" spans="8:8" x14ac:dyDescent="0.25">
      <c r="H834" t="s">
        <v>1019</v>
      </c>
    </row>
    <row r="835" spans="8:8" x14ac:dyDescent="0.25">
      <c r="H835" t="s">
        <v>2143</v>
      </c>
    </row>
    <row r="836" spans="8:8" x14ac:dyDescent="0.25">
      <c r="H836" t="s">
        <v>1536</v>
      </c>
    </row>
    <row r="837" spans="8:8" x14ac:dyDescent="0.25">
      <c r="H837" t="s">
        <v>1538</v>
      </c>
    </row>
    <row r="838" spans="8:8" x14ac:dyDescent="0.25">
      <c r="H838" t="s">
        <v>1543</v>
      </c>
    </row>
    <row r="839" spans="8:8" x14ac:dyDescent="0.25">
      <c r="H839" t="s">
        <v>1668</v>
      </c>
    </row>
    <row r="840" spans="8:8" x14ac:dyDescent="0.25">
      <c r="H840" t="s">
        <v>1692</v>
      </c>
    </row>
    <row r="841" spans="8:8" x14ac:dyDescent="0.25">
      <c r="H841" t="s">
        <v>1696</v>
      </c>
    </row>
    <row r="842" spans="8:8" x14ac:dyDescent="0.25">
      <c r="H842" t="s">
        <v>455</v>
      </c>
    </row>
    <row r="843" spans="8:8" x14ac:dyDescent="0.25">
      <c r="H843" t="s">
        <v>1695</v>
      </c>
    </row>
    <row r="844" spans="8:8" x14ac:dyDescent="0.25">
      <c r="H844" t="s">
        <v>848</v>
      </c>
    </row>
    <row r="845" spans="8:8" x14ac:dyDescent="0.25">
      <c r="H845" t="s">
        <v>2982</v>
      </c>
    </row>
    <row r="846" spans="8:8" x14ac:dyDescent="0.25">
      <c r="H846" t="s">
        <v>1697</v>
      </c>
    </row>
    <row r="847" spans="8:8" x14ac:dyDescent="0.25">
      <c r="H847" t="s">
        <v>1698</v>
      </c>
    </row>
    <row r="848" spans="8:8" x14ac:dyDescent="0.25">
      <c r="H848" t="s">
        <v>1699</v>
      </c>
    </row>
    <row r="849" spans="8:8" x14ac:dyDescent="0.25">
      <c r="H849" t="s">
        <v>1700</v>
      </c>
    </row>
    <row r="850" spans="8:8" x14ac:dyDescent="0.25">
      <c r="H850" t="s">
        <v>4651</v>
      </c>
    </row>
    <row r="851" spans="8:8" x14ac:dyDescent="0.25">
      <c r="H851" t="s">
        <v>1703</v>
      </c>
    </row>
    <row r="852" spans="8:8" x14ac:dyDescent="0.25">
      <c r="H852" t="s">
        <v>2788</v>
      </c>
    </row>
    <row r="853" spans="8:8" x14ac:dyDescent="0.25">
      <c r="H853" t="s">
        <v>5322</v>
      </c>
    </row>
    <row r="854" spans="8:8" x14ac:dyDescent="0.25">
      <c r="H854" t="s">
        <v>5323</v>
      </c>
    </row>
    <row r="855" spans="8:8" x14ac:dyDescent="0.25">
      <c r="H855" t="s">
        <v>4634</v>
      </c>
    </row>
    <row r="856" spans="8:8" x14ac:dyDescent="0.25">
      <c r="H856" t="s">
        <v>614</v>
      </c>
    </row>
    <row r="857" spans="8:8" x14ac:dyDescent="0.25">
      <c r="H857" t="s">
        <v>715</v>
      </c>
    </row>
    <row r="858" spans="8:8" x14ac:dyDescent="0.25">
      <c r="H858" t="s">
        <v>716</v>
      </c>
    </row>
    <row r="859" spans="8:8" x14ac:dyDescent="0.25">
      <c r="H859" t="s">
        <v>2905</v>
      </c>
    </row>
    <row r="860" spans="8:8" x14ac:dyDescent="0.25">
      <c r="H860" t="s">
        <v>1704</v>
      </c>
    </row>
    <row r="861" spans="8:8" x14ac:dyDescent="0.25">
      <c r="H861" t="s">
        <v>1706</v>
      </c>
    </row>
    <row r="862" spans="8:8" x14ac:dyDescent="0.25">
      <c r="H862" t="s">
        <v>2621</v>
      </c>
    </row>
    <row r="863" spans="8:8" x14ac:dyDescent="0.25">
      <c r="H863" t="s">
        <v>1708</v>
      </c>
    </row>
    <row r="864" spans="8:8" x14ac:dyDescent="0.25">
      <c r="H864" t="s">
        <v>4714</v>
      </c>
    </row>
    <row r="865" spans="8:8" x14ac:dyDescent="0.25">
      <c r="H865" t="s">
        <v>4339</v>
      </c>
    </row>
    <row r="866" spans="8:8" x14ac:dyDescent="0.25">
      <c r="H866" t="s">
        <v>1713</v>
      </c>
    </row>
    <row r="867" spans="8:8" x14ac:dyDescent="0.25">
      <c r="H867" t="s">
        <v>2690</v>
      </c>
    </row>
    <row r="868" spans="8:8" x14ac:dyDescent="0.25">
      <c r="H868" t="s">
        <v>2669</v>
      </c>
    </row>
    <row r="869" spans="8:8" x14ac:dyDescent="0.25">
      <c r="H869" t="s">
        <v>3775</v>
      </c>
    </row>
    <row r="870" spans="8:8" x14ac:dyDescent="0.25">
      <c r="H870" t="s">
        <v>771</v>
      </c>
    </row>
    <row r="871" spans="8:8" x14ac:dyDescent="0.25">
      <c r="H871" t="s">
        <v>4928</v>
      </c>
    </row>
    <row r="872" spans="8:8" x14ac:dyDescent="0.25">
      <c r="H872" t="s">
        <v>5101</v>
      </c>
    </row>
    <row r="873" spans="8:8" x14ac:dyDescent="0.25">
      <c r="H873" t="s">
        <v>5105</v>
      </c>
    </row>
    <row r="874" spans="8:8" x14ac:dyDescent="0.25">
      <c r="H874" t="s">
        <v>2622</v>
      </c>
    </row>
    <row r="875" spans="8:8" x14ac:dyDescent="0.25">
      <c r="H875" t="s">
        <v>4468</v>
      </c>
    </row>
    <row r="876" spans="8:8" x14ac:dyDescent="0.25">
      <c r="H876" t="s">
        <v>5470</v>
      </c>
    </row>
    <row r="877" spans="8:8" x14ac:dyDescent="0.25">
      <c r="H877" t="s">
        <v>3187</v>
      </c>
    </row>
    <row r="878" spans="8:8" x14ac:dyDescent="0.25">
      <c r="H878" t="s">
        <v>4061</v>
      </c>
    </row>
    <row r="879" spans="8:8" x14ac:dyDescent="0.25">
      <c r="H879" t="s">
        <v>2108</v>
      </c>
    </row>
    <row r="880" spans="8:8" x14ac:dyDescent="0.25">
      <c r="H880" t="s">
        <v>5103</v>
      </c>
    </row>
    <row r="881" spans="8:8" x14ac:dyDescent="0.25">
      <c r="H881" t="s">
        <v>2645</v>
      </c>
    </row>
    <row r="882" spans="8:8" x14ac:dyDescent="0.25">
      <c r="H882" t="s">
        <v>2045</v>
      </c>
    </row>
    <row r="883" spans="8:8" x14ac:dyDescent="0.25">
      <c r="H883" t="s">
        <v>3154</v>
      </c>
    </row>
    <row r="884" spans="8:8" x14ac:dyDescent="0.25">
      <c r="H884" t="s">
        <v>5108</v>
      </c>
    </row>
    <row r="885" spans="8:8" x14ac:dyDescent="0.25">
      <c r="H885" t="s">
        <v>1717</v>
      </c>
    </row>
    <row r="886" spans="8:8" x14ac:dyDescent="0.25">
      <c r="H886" t="s">
        <v>2452</v>
      </c>
    </row>
    <row r="887" spans="8:8" x14ac:dyDescent="0.25">
      <c r="H887" t="s">
        <v>1726</v>
      </c>
    </row>
    <row r="888" spans="8:8" x14ac:dyDescent="0.25">
      <c r="H888" t="s">
        <v>826</v>
      </c>
    </row>
    <row r="889" spans="8:8" x14ac:dyDescent="0.25">
      <c r="H889" t="s">
        <v>4045</v>
      </c>
    </row>
    <row r="890" spans="8:8" x14ac:dyDescent="0.25">
      <c r="H890" t="s">
        <v>1754</v>
      </c>
    </row>
    <row r="891" spans="8:8" x14ac:dyDescent="0.25">
      <c r="H891" t="s">
        <v>3623</v>
      </c>
    </row>
    <row r="892" spans="8:8" x14ac:dyDescent="0.25">
      <c r="H892" t="s">
        <v>1725</v>
      </c>
    </row>
    <row r="893" spans="8:8" x14ac:dyDescent="0.25">
      <c r="H893" t="s">
        <v>4490</v>
      </c>
    </row>
    <row r="894" spans="8:8" x14ac:dyDescent="0.25">
      <c r="H894" t="s">
        <v>1206</v>
      </c>
    </row>
    <row r="895" spans="8:8" x14ac:dyDescent="0.25">
      <c r="H895" t="s">
        <v>1732</v>
      </c>
    </row>
    <row r="896" spans="8:8" x14ac:dyDescent="0.25">
      <c r="H896" t="s">
        <v>4765</v>
      </c>
    </row>
    <row r="897" spans="8:8" x14ac:dyDescent="0.25">
      <c r="H897" t="s">
        <v>3116</v>
      </c>
    </row>
    <row r="898" spans="8:8" x14ac:dyDescent="0.25">
      <c r="H898" t="s">
        <v>2195</v>
      </c>
    </row>
    <row r="899" spans="8:8" x14ac:dyDescent="0.25">
      <c r="H899" t="s">
        <v>2195</v>
      </c>
    </row>
    <row r="900" spans="8:8" x14ac:dyDescent="0.25">
      <c r="H900" t="s">
        <v>2727</v>
      </c>
    </row>
    <row r="901" spans="8:8" x14ac:dyDescent="0.25">
      <c r="H901" t="s">
        <v>1737</v>
      </c>
    </row>
    <row r="902" spans="8:8" x14ac:dyDescent="0.25">
      <c r="H902" t="s">
        <v>4215</v>
      </c>
    </row>
    <row r="903" spans="8:8" x14ac:dyDescent="0.25">
      <c r="H903" t="s">
        <v>4980</v>
      </c>
    </row>
    <row r="904" spans="8:8" x14ac:dyDescent="0.25">
      <c r="H904" t="s">
        <v>3131</v>
      </c>
    </row>
    <row r="905" spans="8:8" x14ac:dyDescent="0.25">
      <c r="H905" t="s">
        <v>1659</v>
      </c>
    </row>
    <row r="906" spans="8:8" x14ac:dyDescent="0.25">
      <c r="H906" t="s">
        <v>1738</v>
      </c>
    </row>
    <row r="907" spans="8:8" x14ac:dyDescent="0.25">
      <c r="H907" t="s">
        <v>570</v>
      </c>
    </row>
    <row r="908" spans="8:8" x14ac:dyDescent="0.25">
      <c r="H908" t="s">
        <v>3297</v>
      </c>
    </row>
    <row r="909" spans="8:8" x14ac:dyDescent="0.25">
      <c r="H909" t="s">
        <v>1741</v>
      </c>
    </row>
    <row r="910" spans="8:8" x14ac:dyDescent="0.25">
      <c r="H910" t="s">
        <v>1743</v>
      </c>
    </row>
    <row r="911" spans="8:8" x14ac:dyDescent="0.25">
      <c r="H911" t="s">
        <v>3138</v>
      </c>
    </row>
    <row r="912" spans="8:8" x14ac:dyDescent="0.25">
      <c r="H912" t="s">
        <v>1744</v>
      </c>
    </row>
    <row r="913" spans="8:8" x14ac:dyDescent="0.25">
      <c r="H913" t="s">
        <v>4654</v>
      </c>
    </row>
    <row r="914" spans="8:8" x14ac:dyDescent="0.25">
      <c r="H914" t="s">
        <v>2989</v>
      </c>
    </row>
    <row r="915" spans="8:8" x14ac:dyDescent="0.25">
      <c r="H915" t="s">
        <v>2830</v>
      </c>
    </row>
    <row r="916" spans="8:8" x14ac:dyDescent="0.25">
      <c r="H916" t="s">
        <v>1781</v>
      </c>
    </row>
    <row r="917" spans="8:8" x14ac:dyDescent="0.25">
      <c r="H917" t="s">
        <v>4102</v>
      </c>
    </row>
    <row r="918" spans="8:8" x14ac:dyDescent="0.25">
      <c r="H918" t="s">
        <v>2375</v>
      </c>
    </row>
    <row r="919" spans="8:8" x14ac:dyDescent="0.25">
      <c r="H919" t="s">
        <v>4719</v>
      </c>
    </row>
    <row r="920" spans="8:8" x14ac:dyDescent="0.25">
      <c r="H920" t="s">
        <v>4011</v>
      </c>
    </row>
    <row r="921" spans="8:8" x14ac:dyDescent="0.25">
      <c r="H921" t="s">
        <v>573</v>
      </c>
    </row>
    <row r="922" spans="8:8" x14ac:dyDescent="0.25">
      <c r="H922" t="s">
        <v>5248</v>
      </c>
    </row>
    <row r="923" spans="8:8" x14ac:dyDescent="0.25">
      <c r="H923" t="s">
        <v>2495</v>
      </c>
    </row>
    <row r="924" spans="8:8" x14ac:dyDescent="0.25">
      <c r="H924" t="s">
        <v>2571</v>
      </c>
    </row>
    <row r="925" spans="8:8" x14ac:dyDescent="0.25">
      <c r="H925" t="s">
        <v>3705</v>
      </c>
    </row>
    <row r="926" spans="8:8" x14ac:dyDescent="0.25">
      <c r="H926" t="s">
        <v>3278</v>
      </c>
    </row>
    <row r="927" spans="8:8" x14ac:dyDescent="0.25">
      <c r="H927" t="s">
        <v>938</v>
      </c>
    </row>
    <row r="928" spans="8:8" x14ac:dyDescent="0.25">
      <c r="H928" t="s">
        <v>3707</v>
      </c>
    </row>
    <row r="929" spans="8:8" x14ac:dyDescent="0.25">
      <c r="H929" t="s">
        <v>3876</v>
      </c>
    </row>
    <row r="930" spans="8:8" x14ac:dyDescent="0.25">
      <c r="H930" t="s">
        <v>3877</v>
      </c>
    </row>
    <row r="931" spans="8:8" x14ac:dyDescent="0.25">
      <c r="H931" t="s">
        <v>5291</v>
      </c>
    </row>
    <row r="932" spans="8:8" x14ac:dyDescent="0.25">
      <c r="H932" t="s">
        <v>3873</v>
      </c>
    </row>
    <row r="933" spans="8:8" x14ac:dyDescent="0.25">
      <c r="H933" t="s">
        <v>3874</v>
      </c>
    </row>
    <row r="934" spans="8:8" x14ac:dyDescent="0.25">
      <c r="H934" t="s">
        <v>3875</v>
      </c>
    </row>
    <row r="935" spans="8:8" x14ac:dyDescent="0.25">
      <c r="H935" t="s">
        <v>3878</v>
      </c>
    </row>
    <row r="936" spans="8:8" x14ac:dyDescent="0.25">
      <c r="H936" t="s">
        <v>3879</v>
      </c>
    </row>
    <row r="937" spans="8:8" x14ac:dyDescent="0.25">
      <c r="H937" t="s">
        <v>3881</v>
      </c>
    </row>
    <row r="938" spans="8:8" x14ac:dyDescent="0.25">
      <c r="H938" t="s">
        <v>3880</v>
      </c>
    </row>
    <row r="939" spans="8:8" x14ac:dyDescent="0.25">
      <c r="H939" t="s">
        <v>1520</v>
      </c>
    </row>
    <row r="940" spans="8:8" x14ac:dyDescent="0.25">
      <c r="H940" t="s">
        <v>2505</v>
      </c>
    </row>
    <row r="941" spans="8:8" x14ac:dyDescent="0.25">
      <c r="H941" t="s">
        <v>1208</v>
      </c>
    </row>
    <row r="942" spans="8:8" x14ac:dyDescent="0.25">
      <c r="H942" t="s">
        <v>1617</v>
      </c>
    </row>
    <row r="943" spans="8:8" x14ac:dyDescent="0.25">
      <c r="H943" t="s">
        <v>1421</v>
      </c>
    </row>
    <row r="944" spans="8:8" x14ac:dyDescent="0.25">
      <c r="H944" t="s">
        <v>4015</v>
      </c>
    </row>
    <row r="945" spans="8:8" x14ac:dyDescent="0.25">
      <c r="H945" t="s">
        <v>2693</v>
      </c>
    </row>
    <row r="946" spans="8:8" x14ac:dyDescent="0.25">
      <c r="H946" t="s">
        <v>5324</v>
      </c>
    </row>
    <row r="947" spans="8:8" x14ac:dyDescent="0.25">
      <c r="H947" t="s">
        <v>1747</v>
      </c>
    </row>
    <row r="948" spans="8:8" x14ac:dyDescent="0.25">
      <c r="H948" t="s">
        <v>4388</v>
      </c>
    </row>
    <row r="949" spans="8:8" x14ac:dyDescent="0.25">
      <c r="H949" t="s">
        <v>1749</v>
      </c>
    </row>
    <row r="950" spans="8:8" x14ac:dyDescent="0.25">
      <c r="H950" t="s">
        <v>1750</v>
      </c>
    </row>
    <row r="951" spans="8:8" x14ac:dyDescent="0.25">
      <c r="H951" t="s">
        <v>3658</v>
      </c>
    </row>
    <row r="952" spans="8:8" x14ac:dyDescent="0.25">
      <c r="H952" t="s">
        <v>1752</v>
      </c>
    </row>
    <row r="953" spans="8:8" x14ac:dyDescent="0.25">
      <c r="H953" t="s">
        <v>1751</v>
      </c>
    </row>
    <row r="954" spans="8:8" x14ac:dyDescent="0.25">
      <c r="H954" t="s">
        <v>456</v>
      </c>
    </row>
    <row r="955" spans="8:8" x14ac:dyDescent="0.25">
      <c r="H955" t="s">
        <v>456</v>
      </c>
    </row>
    <row r="956" spans="8:8" x14ac:dyDescent="0.25">
      <c r="H956" t="s">
        <v>2296</v>
      </c>
    </row>
    <row r="957" spans="8:8" x14ac:dyDescent="0.25">
      <c r="H957" t="s">
        <v>2124</v>
      </c>
    </row>
    <row r="958" spans="8:8" x14ac:dyDescent="0.25">
      <c r="H958" t="s">
        <v>3646</v>
      </c>
    </row>
    <row r="959" spans="8:8" x14ac:dyDescent="0.25">
      <c r="H959" t="s">
        <v>728</v>
      </c>
    </row>
    <row r="960" spans="8:8" x14ac:dyDescent="0.25">
      <c r="H960" t="s">
        <v>729</v>
      </c>
    </row>
    <row r="961" spans="8:8" x14ac:dyDescent="0.25">
      <c r="H961" t="s">
        <v>1757</v>
      </c>
    </row>
    <row r="962" spans="8:8" x14ac:dyDescent="0.25">
      <c r="H962" t="s">
        <v>1756</v>
      </c>
    </row>
    <row r="963" spans="8:8" x14ac:dyDescent="0.25">
      <c r="H963" t="s">
        <v>4644</v>
      </c>
    </row>
    <row r="964" spans="8:8" x14ac:dyDescent="0.25">
      <c r="H964" t="s">
        <v>4103</v>
      </c>
    </row>
    <row r="965" spans="8:8" x14ac:dyDescent="0.25">
      <c r="H965" t="s">
        <v>1351</v>
      </c>
    </row>
    <row r="966" spans="8:8" x14ac:dyDescent="0.25">
      <c r="H966" t="s">
        <v>4947</v>
      </c>
    </row>
    <row r="967" spans="8:8" x14ac:dyDescent="0.25">
      <c r="H967" t="s">
        <v>3467</v>
      </c>
    </row>
    <row r="968" spans="8:8" x14ac:dyDescent="0.25">
      <c r="H968" t="s">
        <v>3468</v>
      </c>
    </row>
    <row r="969" spans="8:8" x14ac:dyDescent="0.25">
      <c r="H969" t="s">
        <v>1244</v>
      </c>
    </row>
    <row r="970" spans="8:8" x14ac:dyDescent="0.25">
      <c r="H970" t="s">
        <v>504</v>
      </c>
    </row>
    <row r="971" spans="8:8" x14ac:dyDescent="0.25">
      <c r="H971" t="s">
        <v>869</v>
      </c>
    </row>
    <row r="972" spans="8:8" x14ac:dyDescent="0.25">
      <c r="H972" t="s">
        <v>645</v>
      </c>
    </row>
    <row r="973" spans="8:8" x14ac:dyDescent="0.25">
      <c r="H973" t="s">
        <v>651</v>
      </c>
    </row>
    <row r="974" spans="8:8" x14ac:dyDescent="0.25">
      <c r="H974" t="s">
        <v>1742</v>
      </c>
    </row>
    <row r="975" spans="8:8" x14ac:dyDescent="0.25">
      <c r="H975" t="s">
        <v>1760</v>
      </c>
    </row>
    <row r="976" spans="8:8" x14ac:dyDescent="0.25">
      <c r="H976" t="s">
        <v>5502</v>
      </c>
    </row>
    <row r="977" spans="8:8" x14ac:dyDescent="0.25">
      <c r="H977" t="s">
        <v>3349</v>
      </c>
    </row>
    <row r="978" spans="8:8" x14ac:dyDescent="0.25">
      <c r="H978" t="s">
        <v>4003</v>
      </c>
    </row>
    <row r="979" spans="8:8" x14ac:dyDescent="0.25">
      <c r="H979" t="s">
        <v>4720</v>
      </c>
    </row>
    <row r="980" spans="8:8" x14ac:dyDescent="0.25">
      <c r="H980" t="s">
        <v>1311</v>
      </c>
    </row>
    <row r="981" spans="8:8" x14ac:dyDescent="0.25">
      <c r="H981" t="s">
        <v>5451</v>
      </c>
    </row>
    <row r="982" spans="8:8" x14ac:dyDescent="0.25">
      <c r="H982" t="s">
        <v>1761</v>
      </c>
    </row>
    <row r="983" spans="8:8" x14ac:dyDescent="0.25">
      <c r="H983" t="s">
        <v>4731</v>
      </c>
    </row>
    <row r="984" spans="8:8" x14ac:dyDescent="0.25">
      <c r="H984" t="s">
        <v>5187</v>
      </c>
    </row>
    <row r="985" spans="8:8" x14ac:dyDescent="0.25">
      <c r="H985" t="s">
        <v>885</v>
      </c>
    </row>
    <row r="986" spans="8:8" x14ac:dyDescent="0.25">
      <c r="H986" t="s">
        <v>1764</v>
      </c>
    </row>
    <row r="987" spans="8:8" x14ac:dyDescent="0.25">
      <c r="H987" t="s">
        <v>1763</v>
      </c>
    </row>
    <row r="988" spans="8:8" x14ac:dyDescent="0.25">
      <c r="H988" t="s">
        <v>1400</v>
      </c>
    </row>
    <row r="989" spans="8:8" x14ac:dyDescent="0.25">
      <c r="H989" t="s">
        <v>988</v>
      </c>
    </row>
    <row r="990" spans="8:8" x14ac:dyDescent="0.25">
      <c r="H990" t="s">
        <v>1433</v>
      </c>
    </row>
    <row r="991" spans="8:8" x14ac:dyDescent="0.25">
      <c r="H991" t="s">
        <v>1765</v>
      </c>
    </row>
    <row r="992" spans="8:8" x14ac:dyDescent="0.25">
      <c r="H992" t="s">
        <v>1481</v>
      </c>
    </row>
    <row r="993" spans="8:8" x14ac:dyDescent="0.25">
      <c r="H993" t="s">
        <v>1481</v>
      </c>
    </row>
    <row r="994" spans="8:8" x14ac:dyDescent="0.25">
      <c r="H994" t="s">
        <v>2148</v>
      </c>
    </row>
    <row r="995" spans="8:8" x14ac:dyDescent="0.25">
      <c r="H995" t="s">
        <v>1547</v>
      </c>
    </row>
    <row r="996" spans="8:8" x14ac:dyDescent="0.25">
      <c r="H996" t="s">
        <v>1491</v>
      </c>
    </row>
    <row r="997" spans="8:8" x14ac:dyDescent="0.25">
      <c r="H997" t="s">
        <v>2305</v>
      </c>
    </row>
    <row r="998" spans="8:8" x14ac:dyDescent="0.25">
      <c r="H998" t="s">
        <v>2449</v>
      </c>
    </row>
    <row r="999" spans="8:8" x14ac:dyDescent="0.25">
      <c r="H999" t="s">
        <v>2109</v>
      </c>
    </row>
    <row r="1000" spans="8:8" x14ac:dyDescent="0.25">
      <c r="H1000" t="s">
        <v>2297</v>
      </c>
    </row>
    <row r="1001" spans="8:8" x14ac:dyDescent="0.25">
      <c r="H1001" t="s">
        <v>2455</v>
      </c>
    </row>
    <row r="1002" spans="8:8" x14ac:dyDescent="0.25">
      <c r="H1002" t="s">
        <v>5480</v>
      </c>
    </row>
    <row r="1003" spans="8:8" x14ac:dyDescent="0.25">
      <c r="H1003" t="s">
        <v>4197</v>
      </c>
    </row>
    <row r="1004" spans="8:8" x14ac:dyDescent="0.25">
      <c r="H1004" t="s">
        <v>2310</v>
      </c>
    </row>
    <row r="1005" spans="8:8" x14ac:dyDescent="0.25">
      <c r="H1005" t="s">
        <v>1768</v>
      </c>
    </row>
    <row r="1006" spans="8:8" x14ac:dyDescent="0.25">
      <c r="H1006" t="s">
        <v>4178</v>
      </c>
    </row>
    <row r="1007" spans="8:8" x14ac:dyDescent="0.25">
      <c r="H1007" t="s">
        <v>5389</v>
      </c>
    </row>
    <row r="1008" spans="8:8" x14ac:dyDescent="0.25">
      <c r="H1008" t="s">
        <v>2628</v>
      </c>
    </row>
    <row r="1009" spans="8:8" x14ac:dyDescent="0.25">
      <c r="H1009" t="s">
        <v>4849</v>
      </c>
    </row>
    <row r="1010" spans="8:8" x14ac:dyDescent="0.25">
      <c r="H1010" t="s">
        <v>1771</v>
      </c>
    </row>
    <row r="1011" spans="8:8" x14ac:dyDescent="0.25">
      <c r="H1011" t="s">
        <v>4450</v>
      </c>
    </row>
    <row r="1012" spans="8:8" x14ac:dyDescent="0.25">
      <c r="H1012" t="s">
        <v>3672</v>
      </c>
    </row>
    <row r="1013" spans="8:8" x14ac:dyDescent="0.25">
      <c r="H1013" t="s">
        <v>5496</v>
      </c>
    </row>
    <row r="1014" spans="8:8" x14ac:dyDescent="0.25">
      <c r="H1014" t="s">
        <v>4767</v>
      </c>
    </row>
    <row r="1015" spans="8:8" x14ac:dyDescent="0.25">
      <c r="H1015" t="s">
        <v>4180</v>
      </c>
    </row>
    <row r="1016" spans="8:8" x14ac:dyDescent="0.25">
      <c r="H1016" t="s">
        <v>1787</v>
      </c>
    </row>
    <row r="1017" spans="8:8" x14ac:dyDescent="0.25">
      <c r="H1017" t="s">
        <v>2695</v>
      </c>
    </row>
    <row r="1018" spans="8:8" x14ac:dyDescent="0.25">
      <c r="H1018" t="s">
        <v>4343</v>
      </c>
    </row>
    <row r="1019" spans="8:8" x14ac:dyDescent="0.25">
      <c r="H1019" t="s">
        <v>3975</v>
      </c>
    </row>
    <row r="1020" spans="8:8" x14ac:dyDescent="0.25">
      <c r="H1020" t="s">
        <v>5390</v>
      </c>
    </row>
    <row r="1021" spans="8:8" x14ac:dyDescent="0.25">
      <c r="H1021" t="s">
        <v>2196</v>
      </c>
    </row>
    <row r="1022" spans="8:8" x14ac:dyDescent="0.25">
      <c r="H1022" t="s">
        <v>2264</v>
      </c>
    </row>
    <row r="1023" spans="8:8" x14ac:dyDescent="0.25">
      <c r="H1023" t="s">
        <v>4191</v>
      </c>
    </row>
    <row r="1024" spans="8:8" x14ac:dyDescent="0.25">
      <c r="H1024" t="s">
        <v>3256</v>
      </c>
    </row>
    <row r="1025" spans="8:8" x14ac:dyDescent="0.25">
      <c r="H1025" t="s">
        <v>2813</v>
      </c>
    </row>
    <row r="1026" spans="8:8" x14ac:dyDescent="0.25">
      <c r="H1026" t="s">
        <v>1778</v>
      </c>
    </row>
    <row r="1027" spans="8:8" x14ac:dyDescent="0.25">
      <c r="H1027" t="s">
        <v>4275</v>
      </c>
    </row>
    <row r="1028" spans="8:8" x14ac:dyDescent="0.25">
      <c r="H1028" t="s">
        <v>1776</v>
      </c>
    </row>
    <row r="1029" spans="8:8" x14ac:dyDescent="0.25">
      <c r="H1029" t="s">
        <v>2952</v>
      </c>
    </row>
    <row r="1030" spans="8:8" x14ac:dyDescent="0.25">
      <c r="H1030" t="s">
        <v>4658</v>
      </c>
    </row>
    <row r="1031" spans="8:8" x14ac:dyDescent="0.25">
      <c r="H1031" t="s">
        <v>4499</v>
      </c>
    </row>
    <row r="1032" spans="8:8" x14ac:dyDescent="0.25">
      <c r="H1032" t="s">
        <v>1780</v>
      </c>
    </row>
    <row r="1033" spans="8:8" x14ac:dyDescent="0.25">
      <c r="H1033" t="s">
        <v>2627</v>
      </c>
    </row>
    <row r="1034" spans="8:8" x14ac:dyDescent="0.25">
      <c r="H1034" t="s">
        <v>1792</v>
      </c>
    </row>
    <row r="1035" spans="8:8" x14ac:dyDescent="0.25">
      <c r="H1035" t="s">
        <v>923</v>
      </c>
    </row>
    <row r="1036" spans="8:8" x14ac:dyDescent="0.25">
      <c r="H1036" t="s">
        <v>924</v>
      </c>
    </row>
    <row r="1037" spans="8:8" x14ac:dyDescent="0.25">
      <c r="H1037" t="s">
        <v>2623</v>
      </c>
    </row>
    <row r="1038" spans="8:8" x14ac:dyDescent="0.25">
      <c r="H1038" t="s">
        <v>2638</v>
      </c>
    </row>
    <row r="1039" spans="8:8" x14ac:dyDescent="0.25">
      <c r="H1039" t="s">
        <v>721</v>
      </c>
    </row>
    <row r="1040" spans="8:8" x14ac:dyDescent="0.25">
      <c r="H1040" t="s">
        <v>3488</v>
      </c>
    </row>
    <row r="1041" spans="8:8" x14ac:dyDescent="0.25">
      <c r="H1041" t="s">
        <v>3279</v>
      </c>
    </row>
    <row r="1042" spans="8:8" x14ac:dyDescent="0.25">
      <c r="H1042" t="s">
        <v>4312</v>
      </c>
    </row>
    <row r="1043" spans="8:8" x14ac:dyDescent="0.25">
      <c r="H1043" t="s">
        <v>1789</v>
      </c>
    </row>
    <row r="1044" spans="8:8" x14ac:dyDescent="0.25">
      <c r="H1044" t="s">
        <v>4472</v>
      </c>
    </row>
    <row r="1045" spans="8:8" x14ac:dyDescent="0.25">
      <c r="H1045" t="s">
        <v>886</v>
      </c>
    </row>
    <row r="1046" spans="8:8" x14ac:dyDescent="0.25">
      <c r="H1046" t="s">
        <v>518</v>
      </c>
    </row>
    <row r="1047" spans="8:8" x14ac:dyDescent="0.25">
      <c r="H1047" t="s">
        <v>1796</v>
      </c>
    </row>
    <row r="1048" spans="8:8" x14ac:dyDescent="0.25">
      <c r="H1048" t="s">
        <v>1796</v>
      </c>
    </row>
    <row r="1049" spans="8:8" x14ac:dyDescent="0.25">
      <c r="H1049" t="s">
        <v>3405</v>
      </c>
    </row>
    <row r="1050" spans="8:8" x14ac:dyDescent="0.25">
      <c r="H1050" t="s">
        <v>2546</v>
      </c>
    </row>
    <row r="1051" spans="8:8" x14ac:dyDescent="0.25">
      <c r="H1051" t="s">
        <v>2681</v>
      </c>
    </row>
    <row r="1052" spans="8:8" x14ac:dyDescent="0.25">
      <c r="H1052" t="s">
        <v>5116</v>
      </c>
    </row>
    <row r="1053" spans="8:8" x14ac:dyDescent="0.25">
      <c r="H1053" t="s">
        <v>1661</v>
      </c>
    </row>
    <row r="1054" spans="8:8" x14ac:dyDescent="0.25">
      <c r="H1054" t="s">
        <v>1661</v>
      </c>
    </row>
    <row r="1055" spans="8:8" x14ac:dyDescent="0.25">
      <c r="H1055" t="s">
        <v>2314</v>
      </c>
    </row>
    <row r="1056" spans="8:8" x14ac:dyDescent="0.25">
      <c r="H1056" t="s">
        <v>2235</v>
      </c>
    </row>
    <row r="1057" spans="8:8" x14ac:dyDescent="0.25">
      <c r="H1057" t="s">
        <v>2986</v>
      </c>
    </row>
    <row r="1058" spans="8:8" x14ac:dyDescent="0.25">
      <c r="H1058" t="s">
        <v>3462</v>
      </c>
    </row>
    <row r="1059" spans="8:8" x14ac:dyDescent="0.25">
      <c r="H1059" t="s">
        <v>879</v>
      </c>
    </row>
    <row r="1060" spans="8:8" x14ac:dyDescent="0.25">
      <c r="H1060" t="s">
        <v>3121</v>
      </c>
    </row>
    <row r="1061" spans="8:8" x14ac:dyDescent="0.25">
      <c r="H1061" t="s">
        <v>4295</v>
      </c>
    </row>
    <row r="1062" spans="8:8" x14ac:dyDescent="0.25">
      <c r="H1062" t="s">
        <v>4407</v>
      </c>
    </row>
    <row r="1063" spans="8:8" x14ac:dyDescent="0.25">
      <c r="H1063" t="s">
        <v>772</v>
      </c>
    </row>
    <row r="1064" spans="8:8" x14ac:dyDescent="0.25">
      <c r="H1064" t="s">
        <v>1802</v>
      </c>
    </row>
    <row r="1065" spans="8:8" x14ac:dyDescent="0.25">
      <c r="H1065" t="s">
        <v>1803</v>
      </c>
    </row>
    <row r="1066" spans="8:8" x14ac:dyDescent="0.25">
      <c r="H1066" t="s">
        <v>4813</v>
      </c>
    </row>
    <row r="1067" spans="8:8" x14ac:dyDescent="0.25">
      <c r="H1067" t="s">
        <v>2783</v>
      </c>
    </row>
    <row r="1068" spans="8:8" x14ac:dyDescent="0.25">
      <c r="H1068" t="s">
        <v>2783</v>
      </c>
    </row>
    <row r="1069" spans="8:8" x14ac:dyDescent="0.25">
      <c r="H1069" t="s">
        <v>4392</v>
      </c>
    </row>
    <row r="1070" spans="8:8" x14ac:dyDescent="0.25">
      <c r="H1070" t="s">
        <v>3692</v>
      </c>
    </row>
    <row r="1071" spans="8:8" x14ac:dyDescent="0.25">
      <c r="H1071" t="s">
        <v>2265</v>
      </c>
    </row>
    <row r="1072" spans="8:8" x14ac:dyDescent="0.25">
      <c r="H1072" t="s">
        <v>1809</v>
      </c>
    </row>
    <row r="1073" spans="8:8" x14ac:dyDescent="0.25">
      <c r="H1073" t="s">
        <v>1976</v>
      </c>
    </row>
    <row r="1074" spans="8:8" x14ac:dyDescent="0.25">
      <c r="H1074" t="s">
        <v>3140</v>
      </c>
    </row>
    <row r="1075" spans="8:8" x14ac:dyDescent="0.25">
      <c r="H1075" t="s">
        <v>4572</v>
      </c>
    </row>
    <row r="1076" spans="8:8" x14ac:dyDescent="0.25">
      <c r="H1076" t="s">
        <v>1811</v>
      </c>
    </row>
    <row r="1077" spans="8:8" x14ac:dyDescent="0.25">
      <c r="H1077" t="s">
        <v>4653</v>
      </c>
    </row>
    <row r="1078" spans="8:8" x14ac:dyDescent="0.25">
      <c r="H1078" t="s">
        <v>1814</v>
      </c>
    </row>
    <row r="1079" spans="8:8" x14ac:dyDescent="0.25">
      <c r="H1079" t="s">
        <v>519</v>
      </c>
    </row>
    <row r="1080" spans="8:8" x14ac:dyDescent="0.25">
      <c r="H1080" t="s">
        <v>4954</v>
      </c>
    </row>
    <row r="1081" spans="8:8" x14ac:dyDescent="0.25">
      <c r="H1081" t="s">
        <v>4189</v>
      </c>
    </row>
    <row r="1082" spans="8:8" x14ac:dyDescent="0.25">
      <c r="H1082" t="s">
        <v>462</v>
      </c>
    </row>
    <row r="1083" spans="8:8" x14ac:dyDescent="0.25">
      <c r="H1083" t="s">
        <v>3299</v>
      </c>
    </row>
    <row r="1084" spans="8:8" x14ac:dyDescent="0.25">
      <c r="H1084" t="s">
        <v>1618</v>
      </c>
    </row>
    <row r="1085" spans="8:8" x14ac:dyDescent="0.25">
      <c r="H1085" t="s">
        <v>1611</v>
      </c>
    </row>
    <row r="1086" spans="8:8" x14ac:dyDescent="0.25">
      <c r="H1086" t="s">
        <v>1819</v>
      </c>
    </row>
    <row r="1087" spans="8:8" x14ac:dyDescent="0.25">
      <c r="H1087" t="s">
        <v>1820</v>
      </c>
    </row>
    <row r="1088" spans="8:8" x14ac:dyDescent="0.25">
      <c r="H1088" t="s">
        <v>958</v>
      </c>
    </row>
    <row r="1089" spans="8:8" x14ac:dyDescent="0.25">
      <c r="H1089" t="s">
        <v>1680</v>
      </c>
    </row>
    <row r="1090" spans="8:8" x14ac:dyDescent="0.25">
      <c r="H1090" t="s">
        <v>1832</v>
      </c>
    </row>
    <row r="1091" spans="8:8" x14ac:dyDescent="0.25">
      <c r="H1091" t="s">
        <v>3233</v>
      </c>
    </row>
    <row r="1092" spans="8:8" x14ac:dyDescent="0.25">
      <c r="H1092" t="s">
        <v>3163</v>
      </c>
    </row>
    <row r="1093" spans="8:8" x14ac:dyDescent="0.25">
      <c r="H1093" t="s">
        <v>3912</v>
      </c>
    </row>
    <row r="1094" spans="8:8" x14ac:dyDescent="0.25">
      <c r="H1094" t="s">
        <v>5533</v>
      </c>
    </row>
    <row r="1095" spans="8:8" x14ac:dyDescent="0.25">
      <c r="H1095" t="s">
        <v>4778</v>
      </c>
    </row>
    <row r="1096" spans="8:8" x14ac:dyDescent="0.25">
      <c r="H1096" t="s">
        <v>2814</v>
      </c>
    </row>
    <row r="1097" spans="8:8" x14ac:dyDescent="0.25">
      <c r="H1097" t="s">
        <v>1709</v>
      </c>
    </row>
    <row r="1098" spans="8:8" x14ac:dyDescent="0.25">
      <c r="H1098" t="s">
        <v>586</v>
      </c>
    </row>
    <row r="1099" spans="8:8" x14ac:dyDescent="0.25">
      <c r="H1099" t="s">
        <v>887</v>
      </c>
    </row>
    <row r="1100" spans="8:8" x14ac:dyDescent="0.25">
      <c r="H1100" t="s">
        <v>1835</v>
      </c>
    </row>
    <row r="1101" spans="8:8" x14ac:dyDescent="0.25">
      <c r="H1101" t="s">
        <v>888</v>
      </c>
    </row>
    <row r="1102" spans="8:8" x14ac:dyDescent="0.25">
      <c r="H1102" t="s">
        <v>2453</v>
      </c>
    </row>
    <row r="1103" spans="8:8" x14ac:dyDescent="0.25">
      <c r="H1103" t="s">
        <v>3141</v>
      </c>
    </row>
    <row r="1104" spans="8:8" x14ac:dyDescent="0.25">
      <c r="H1104" t="s">
        <v>3812</v>
      </c>
    </row>
    <row r="1105" spans="8:8" x14ac:dyDescent="0.25">
      <c r="H1105" t="s">
        <v>4227</v>
      </c>
    </row>
    <row r="1106" spans="8:8" x14ac:dyDescent="0.25">
      <c r="H1106" t="s">
        <v>1569</v>
      </c>
    </row>
    <row r="1107" spans="8:8" x14ac:dyDescent="0.25">
      <c r="H1107" t="s">
        <v>5391</v>
      </c>
    </row>
    <row r="1108" spans="8:8" x14ac:dyDescent="0.25">
      <c r="H1108" t="s">
        <v>3155</v>
      </c>
    </row>
    <row r="1109" spans="8:8" x14ac:dyDescent="0.25">
      <c r="H1109" t="s">
        <v>1829</v>
      </c>
    </row>
    <row r="1110" spans="8:8" x14ac:dyDescent="0.25">
      <c r="H1110" t="s">
        <v>1830</v>
      </c>
    </row>
    <row r="1111" spans="8:8" x14ac:dyDescent="0.25">
      <c r="H1111" t="s">
        <v>2198</v>
      </c>
    </row>
    <row r="1112" spans="8:8" x14ac:dyDescent="0.25">
      <c r="H1112" t="s">
        <v>743</v>
      </c>
    </row>
    <row r="1113" spans="8:8" x14ac:dyDescent="0.25">
      <c r="H1113" t="s">
        <v>5329</v>
      </c>
    </row>
    <row r="1114" spans="8:8" x14ac:dyDescent="0.25">
      <c r="H1114" t="s">
        <v>2395</v>
      </c>
    </row>
    <row r="1115" spans="8:8" x14ac:dyDescent="0.25">
      <c r="H1115" t="s">
        <v>2315</v>
      </c>
    </row>
    <row r="1116" spans="8:8" x14ac:dyDescent="0.25">
      <c r="H1116" t="s">
        <v>4721</v>
      </c>
    </row>
    <row r="1117" spans="8:8" x14ac:dyDescent="0.25">
      <c r="H1117" t="s">
        <v>512</v>
      </c>
    </row>
    <row r="1118" spans="8:8" x14ac:dyDescent="0.25">
      <c r="H1118" t="s">
        <v>1836</v>
      </c>
    </row>
    <row r="1119" spans="8:8" x14ac:dyDescent="0.25">
      <c r="H1119" t="s">
        <v>3117</v>
      </c>
    </row>
    <row r="1120" spans="8:8" x14ac:dyDescent="0.25">
      <c r="H1120" t="s">
        <v>3230</v>
      </c>
    </row>
    <row r="1121" spans="8:8" x14ac:dyDescent="0.25">
      <c r="H1121" t="s">
        <v>5256</v>
      </c>
    </row>
    <row r="1122" spans="8:8" x14ac:dyDescent="0.25">
      <c r="H1122" t="s">
        <v>796</v>
      </c>
    </row>
    <row r="1123" spans="8:8" x14ac:dyDescent="0.25">
      <c r="H1123" t="s">
        <v>5076</v>
      </c>
    </row>
    <row r="1124" spans="8:8" x14ac:dyDescent="0.25">
      <c r="H1124" t="s">
        <v>1276</v>
      </c>
    </row>
    <row r="1125" spans="8:8" x14ac:dyDescent="0.25">
      <c r="H1125" t="s">
        <v>2471</v>
      </c>
    </row>
    <row r="1126" spans="8:8" x14ac:dyDescent="0.25">
      <c r="H1126" t="s">
        <v>881</v>
      </c>
    </row>
    <row r="1127" spans="8:8" x14ac:dyDescent="0.25">
      <c r="H1127" t="s">
        <v>2316</v>
      </c>
    </row>
    <row r="1128" spans="8:8" x14ac:dyDescent="0.25">
      <c r="H1128" t="s">
        <v>1841</v>
      </c>
    </row>
    <row r="1129" spans="8:8" x14ac:dyDescent="0.25">
      <c r="H1129" t="s">
        <v>521</v>
      </c>
    </row>
    <row r="1130" spans="8:8" x14ac:dyDescent="0.25">
      <c r="H1130" t="s">
        <v>1956</v>
      </c>
    </row>
    <row r="1131" spans="8:8" x14ac:dyDescent="0.25">
      <c r="H1131" t="s">
        <v>1855</v>
      </c>
    </row>
    <row r="1132" spans="8:8" x14ac:dyDescent="0.25">
      <c r="H1132" t="s">
        <v>1856</v>
      </c>
    </row>
    <row r="1133" spans="8:8" x14ac:dyDescent="0.25">
      <c r="H1133" t="s">
        <v>4131</v>
      </c>
    </row>
    <row r="1134" spans="8:8" x14ac:dyDescent="0.25">
      <c r="H1134" t="s">
        <v>2403</v>
      </c>
    </row>
    <row r="1135" spans="8:8" x14ac:dyDescent="0.25">
      <c r="H1135" t="s">
        <v>3583</v>
      </c>
    </row>
    <row r="1136" spans="8:8" x14ac:dyDescent="0.25">
      <c r="H1136" t="s">
        <v>2182</v>
      </c>
    </row>
    <row r="1137" spans="8:8" x14ac:dyDescent="0.25">
      <c r="H1137" t="s">
        <v>2463</v>
      </c>
    </row>
    <row r="1138" spans="8:8" x14ac:dyDescent="0.25">
      <c r="H1138" t="s">
        <v>2303</v>
      </c>
    </row>
    <row r="1139" spans="8:8" x14ac:dyDescent="0.25">
      <c r="H1139" t="s">
        <v>2318</v>
      </c>
    </row>
    <row r="1140" spans="8:8" x14ac:dyDescent="0.25">
      <c r="H1140" t="s">
        <v>3341</v>
      </c>
    </row>
    <row r="1141" spans="8:8" x14ac:dyDescent="0.25">
      <c r="H1141" t="s">
        <v>1845</v>
      </c>
    </row>
    <row r="1142" spans="8:8" x14ac:dyDescent="0.25">
      <c r="H1142" t="s">
        <v>4622</v>
      </c>
    </row>
    <row r="1143" spans="8:8" x14ac:dyDescent="0.25">
      <c r="H1143" t="s">
        <v>1852</v>
      </c>
    </row>
    <row r="1144" spans="8:8" x14ac:dyDescent="0.25">
      <c r="H1144" t="s">
        <v>1519</v>
      </c>
    </row>
    <row r="1145" spans="8:8" x14ac:dyDescent="0.25">
      <c r="H1145" t="s">
        <v>1932</v>
      </c>
    </row>
    <row r="1146" spans="8:8" x14ac:dyDescent="0.25">
      <c r="H1146" t="s">
        <v>2137</v>
      </c>
    </row>
    <row r="1147" spans="8:8" x14ac:dyDescent="0.25">
      <c r="H1147" t="s">
        <v>4841</v>
      </c>
    </row>
    <row r="1148" spans="8:8" x14ac:dyDescent="0.25">
      <c r="H1148" t="s">
        <v>2097</v>
      </c>
    </row>
    <row r="1149" spans="8:8" x14ac:dyDescent="0.25">
      <c r="H1149" t="s">
        <v>2590</v>
      </c>
    </row>
    <row r="1150" spans="8:8" x14ac:dyDescent="0.25">
      <c r="H1150" t="s">
        <v>1853</v>
      </c>
    </row>
    <row r="1151" spans="8:8" x14ac:dyDescent="0.25">
      <c r="H1151" t="s">
        <v>1854</v>
      </c>
    </row>
    <row r="1152" spans="8:8" x14ac:dyDescent="0.25">
      <c r="H1152" t="s">
        <v>3285</v>
      </c>
    </row>
    <row r="1153" spans="8:8" x14ac:dyDescent="0.25">
      <c r="H1153" t="s">
        <v>2560</v>
      </c>
    </row>
    <row r="1154" spans="8:8" x14ac:dyDescent="0.25">
      <c r="H1154" t="s">
        <v>1812</v>
      </c>
    </row>
    <row r="1155" spans="8:8" x14ac:dyDescent="0.25">
      <c r="H1155" t="s">
        <v>1858</v>
      </c>
    </row>
    <row r="1156" spans="8:8" x14ac:dyDescent="0.25">
      <c r="H1156" t="s">
        <v>1866</v>
      </c>
    </row>
    <row r="1157" spans="8:8" x14ac:dyDescent="0.25">
      <c r="H1157" t="s">
        <v>3514</v>
      </c>
    </row>
    <row r="1158" spans="8:8" x14ac:dyDescent="0.25">
      <c r="H1158" t="s">
        <v>622</v>
      </c>
    </row>
    <row r="1159" spans="8:8" x14ac:dyDescent="0.25">
      <c r="H1159" t="s">
        <v>2320</v>
      </c>
    </row>
    <row r="1160" spans="8:8" x14ac:dyDescent="0.25">
      <c r="H1160" t="s">
        <v>784</v>
      </c>
    </row>
    <row r="1161" spans="8:8" x14ac:dyDescent="0.25">
      <c r="H1161" t="s">
        <v>2688</v>
      </c>
    </row>
    <row r="1162" spans="8:8" x14ac:dyDescent="0.25">
      <c r="H1162" t="s">
        <v>2958</v>
      </c>
    </row>
    <row r="1163" spans="8:8" x14ac:dyDescent="0.25">
      <c r="H1163" t="s">
        <v>1010</v>
      </c>
    </row>
    <row r="1164" spans="8:8" x14ac:dyDescent="0.25">
      <c r="H1164" t="s">
        <v>1010</v>
      </c>
    </row>
    <row r="1165" spans="8:8" x14ac:dyDescent="0.25">
      <c r="H1165" t="s">
        <v>3181</v>
      </c>
    </row>
    <row r="1166" spans="8:8" x14ac:dyDescent="0.25">
      <c r="H1166" t="s">
        <v>4656</v>
      </c>
    </row>
    <row r="1167" spans="8:8" x14ac:dyDescent="0.25">
      <c r="H1167" t="s">
        <v>785</v>
      </c>
    </row>
    <row r="1168" spans="8:8" x14ac:dyDescent="0.25">
      <c r="H1168" t="s">
        <v>785</v>
      </c>
    </row>
    <row r="1169" spans="8:8" x14ac:dyDescent="0.25">
      <c r="H1169" t="s">
        <v>795</v>
      </c>
    </row>
    <row r="1170" spans="8:8" x14ac:dyDescent="0.25">
      <c r="H1170" t="s">
        <v>4936</v>
      </c>
    </row>
    <row r="1171" spans="8:8" x14ac:dyDescent="0.25">
      <c r="H1171" t="s">
        <v>5112</v>
      </c>
    </row>
    <row r="1172" spans="8:8" x14ac:dyDescent="0.25">
      <c r="H1172" t="s">
        <v>1795</v>
      </c>
    </row>
    <row r="1173" spans="8:8" x14ac:dyDescent="0.25">
      <c r="H1173" t="s">
        <v>1872</v>
      </c>
    </row>
    <row r="1174" spans="8:8" x14ac:dyDescent="0.25">
      <c r="H1174" t="s">
        <v>1873</v>
      </c>
    </row>
    <row r="1175" spans="8:8" x14ac:dyDescent="0.25">
      <c r="H1175" t="s">
        <v>5004</v>
      </c>
    </row>
    <row r="1176" spans="8:8" x14ac:dyDescent="0.25">
      <c r="H1176" t="s">
        <v>1241</v>
      </c>
    </row>
    <row r="1177" spans="8:8" x14ac:dyDescent="0.25">
      <c r="H1177" t="s">
        <v>3317</v>
      </c>
    </row>
    <row r="1178" spans="8:8" x14ac:dyDescent="0.25">
      <c r="H1178" t="s">
        <v>3709</v>
      </c>
    </row>
    <row r="1179" spans="8:8" x14ac:dyDescent="0.25">
      <c r="H1179" t="s">
        <v>2967</v>
      </c>
    </row>
    <row r="1180" spans="8:8" x14ac:dyDescent="0.25">
      <c r="H1180" t="s">
        <v>3460</v>
      </c>
    </row>
    <row r="1181" spans="8:8" x14ac:dyDescent="0.25">
      <c r="H1181" t="s">
        <v>694</v>
      </c>
    </row>
    <row r="1182" spans="8:8" x14ac:dyDescent="0.25">
      <c r="H1182" t="s">
        <v>3793</v>
      </c>
    </row>
    <row r="1183" spans="8:8" x14ac:dyDescent="0.25">
      <c r="H1183" t="s">
        <v>908</v>
      </c>
    </row>
    <row r="1184" spans="8:8" x14ac:dyDescent="0.25">
      <c r="H1184" t="s">
        <v>1875</v>
      </c>
    </row>
    <row r="1185" spans="8:8" x14ac:dyDescent="0.25">
      <c r="H1185" t="s">
        <v>1875</v>
      </c>
    </row>
    <row r="1186" spans="8:8" x14ac:dyDescent="0.25">
      <c r="H1186" t="s">
        <v>1876</v>
      </c>
    </row>
    <row r="1187" spans="8:8" x14ac:dyDescent="0.25">
      <c r="H1187" t="s">
        <v>1877</v>
      </c>
    </row>
    <row r="1188" spans="8:8" x14ac:dyDescent="0.25">
      <c r="H1188" t="s">
        <v>2853</v>
      </c>
    </row>
    <row r="1189" spans="8:8" x14ac:dyDescent="0.25">
      <c r="H1189" t="s">
        <v>1180</v>
      </c>
    </row>
    <row r="1190" spans="8:8" x14ac:dyDescent="0.25">
      <c r="H1190" t="s">
        <v>2331</v>
      </c>
    </row>
    <row r="1191" spans="8:8" x14ac:dyDescent="0.25">
      <c r="H1191" t="s">
        <v>1177</v>
      </c>
    </row>
    <row r="1192" spans="8:8" x14ac:dyDescent="0.25">
      <c r="H1192" t="s">
        <v>3685</v>
      </c>
    </row>
    <row r="1193" spans="8:8" x14ac:dyDescent="0.25">
      <c r="H1193" t="s">
        <v>1899</v>
      </c>
    </row>
    <row r="1194" spans="8:8" x14ac:dyDescent="0.25">
      <c r="H1194" t="s">
        <v>1901</v>
      </c>
    </row>
    <row r="1195" spans="8:8" x14ac:dyDescent="0.25">
      <c r="H1195" t="s">
        <v>1445</v>
      </c>
    </row>
    <row r="1196" spans="8:8" x14ac:dyDescent="0.25">
      <c r="H1196" t="s">
        <v>717</v>
      </c>
    </row>
    <row r="1197" spans="8:8" x14ac:dyDescent="0.25">
      <c r="H1197" t="s">
        <v>870</v>
      </c>
    </row>
    <row r="1198" spans="8:8" x14ac:dyDescent="0.25">
      <c r="H1198" t="s">
        <v>3779</v>
      </c>
    </row>
    <row r="1199" spans="8:8" x14ac:dyDescent="0.25">
      <c r="H1199" t="s">
        <v>2596</v>
      </c>
    </row>
    <row r="1200" spans="8:8" x14ac:dyDescent="0.25">
      <c r="H1200" t="s">
        <v>3191</v>
      </c>
    </row>
    <row r="1201" spans="8:8" x14ac:dyDescent="0.25">
      <c r="H1201" t="s">
        <v>5494</v>
      </c>
    </row>
    <row r="1202" spans="8:8" x14ac:dyDescent="0.25">
      <c r="H1202" t="s">
        <v>1162</v>
      </c>
    </row>
    <row r="1203" spans="8:8" x14ac:dyDescent="0.25">
      <c r="H1203" t="s">
        <v>1672</v>
      </c>
    </row>
    <row r="1204" spans="8:8" x14ac:dyDescent="0.25">
      <c r="H1204" t="s">
        <v>1672</v>
      </c>
    </row>
    <row r="1205" spans="8:8" x14ac:dyDescent="0.25">
      <c r="H1205" t="s">
        <v>4646</v>
      </c>
    </row>
    <row r="1206" spans="8:8" x14ac:dyDescent="0.25">
      <c r="H1206" t="s">
        <v>1905</v>
      </c>
    </row>
    <row r="1207" spans="8:8" x14ac:dyDescent="0.25">
      <c r="H1207" t="s">
        <v>2082</v>
      </c>
    </row>
    <row r="1208" spans="8:8" x14ac:dyDescent="0.25">
      <c r="H1208" t="s">
        <v>2082</v>
      </c>
    </row>
    <row r="1209" spans="8:8" x14ac:dyDescent="0.25">
      <c r="H1209" t="s">
        <v>2082</v>
      </c>
    </row>
    <row r="1210" spans="8:8" x14ac:dyDescent="0.25">
      <c r="H1210" t="s">
        <v>4558</v>
      </c>
    </row>
    <row r="1211" spans="8:8" x14ac:dyDescent="0.25">
      <c r="H1211" t="s">
        <v>2857</v>
      </c>
    </row>
    <row r="1212" spans="8:8" x14ac:dyDescent="0.25">
      <c r="H1212" t="s">
        <v>4314</v>
      </c>
    </row>
    <row r="1213" spans="8:8" x14ac:dyDescent="0.25">
      <c r="H1213" t="s">
        <v>2047</v>
      </c>
    </row>
    <row r="1214" spans="8:8" x14ac:dyDescent="0.25">
      <c r="H1214" t="s">
        <v>1915</v>
      </c>
    </row>
    <row r="1215" spans="8:8" x14ac:dyDescent="0.25">
      <c r="H1215" t="s">
        <v>3037</v>
      </c>
    </row>
    <row r="1216" spans="8:8" x14ac:dyDescent="0.25">
      <c r="H1216" t="s">
        <v>1499</v>
      </c>
    </row>
    <row r="1217" spans="8:8" x14ac:dyDescent="0.25">
      <c r="H1217" t="s">
        <v>2080</v>
      </c>
    </row>
    <row r="1218" spans="8:8" x14ac:dyDescent="0.25">
      <c r="H1218" t="s">
        <v>5188</v>
      </c>
    </row>
    <row r="1219" spans="8:8" x14ac:dyDescent="0.25">
      <c r="H1219" t="s">
        <v>1643</v>
      </c>
    </row>
    <row r="1220" spans="8:8" x14ac:dyDescent="0.25">
      <c r="H1220" t="s">
        <v>2038</v>
      </c>
    </row>
    <row r="1221" spans="8:8" x14ac:dyDescent="0.25">
      <c r="H1221" t="s">
        <v>4961</v>
      </c>
    </row>
    <row r="1222" spans="8:8" x14ac:dyDescent="0.25">
      <c r="H1222" t="s">
        <v>3190</v>
      </c>
    </row>
    <row r="1223" spans="8:8" x14ac:dyDescent="0.25">
      <c r="H1223" t="s">
        <v>1437</v>
      </c>
    </row>
    <row r="1224" spans="8:8" x14ac:dyDescent="0.25">
      <c r="H1224" t="s">
        <v>4387</v>
      </c>
    </row>
    <row r="1225" spans="8:8" x14ac:dyDescent="0.25">
      <c r="H1225" t="s">
        <v>1101</v>
      </c>
    </row>
    <row r="1226" spans="8:8" x14ac:dyDescent="0.25">
      <c r="H1226" t="s">
        <v>5498</v>
      </c>
    </row>
    <row r="1227" spans="8:8" x14ac:dyDescent="0.25">
      <c r="H1227" t="s">
        <v>4520</v>
      </c>
    </row>
    <row r="1228" spans="8:8" x14ac:dyDescent="0.25">
      <c r="H1228" t="s">
        <v>602</v>
      </c>
    </row>
    <row r="1229" spans="8:8" x14ac:dyDescent="0.25">
      <c r="H1229" t="s">
        <v>1937</v>
      </c>
    </row>
    <row r="1230" spans="8:8" x14ac:dyDescent="0.25">
      <c r="H1230" t="s">
        <v>2723</v>
      </c>
    </row>
    <row r="1231" spans="8:8" x14ac:dyDescent="0.25">
      <c r="H1231" t="s">
        <v>3208</v>
      </c>
    </row>
    <row r="1232" spans="8:8" x14ac:dyDescent="0.25">
      <c r="H1232" t="s">
        <v>3917</v>
      </c>
    </row>
    <row r="1233" spans="8:8" x14ac:dyDescent="0.25">
      <c r="H1233" t="s">
        <v>1098</v>
      </c>
    </row>
    <row r="1234" spans="8:8" x14ac:dyDescent="0.25">
      <c r="H1234" t="s">
        <v>1098</v>
      </c>
    </row>
    <row r="1235" spans="8:8" x14ac:dyDescent="0.25">
      <c r="H1235" t="s">
        <v>1748</v>
      </c>
    </row>
    <row r="1236" spans="8:8" x14ac:dyDescent="0.25">
      <c r="H1236" t="s">
        <v>2918</v>
      </c>
    </row>
    <row r="1237" spans="8:8" x14ac:dyDescent="0.25">
      <c r="H1237" t="s">
        <v>3064</v>
      </c>
    </row>
    <row r="1238" spans="8:8" x14ac:dyDescent="0.25">
      <c r="H1238" t="s">
        <v>1103</v>
      </c>
    </row>
    <row r="1239" spans="8:8" x14ac:dyDescent="0.25">
      <c r="H1239" t="s">
        <v>3070</v>
      </c>
    </row>
    <row r="1240" spans="8:8" x14ac:dyDescent="0.25">
      <c r="H1240" t="s">
        <v>3338</v>
      </c>
    </row>
    <row r="1241" spans="8:8" x14ac:dyDescent="0.25">
      <c r="H1241" t="s">
        <v>1104</v>
      </c>
    </row>
    <row r="1242" spans="8:8" x14ac:dyDescent="0.25">
      <c r="H1242" t="s">
        <v>1105</v>
      </c>
    </row>
    <row r="1243" spans="8:8" x14ac:dyDescent="0.25">
      <c r="H1243" t="s">
        <v>3871</v>
      </c>
    </row>
    <row r="1244" spans="8:8" x14ac:dyDescent="0.25">
      <c r="H1244" t="s">
        <v>3935</v>
      </c>
    </row>
    <row r="1245" spans="8:8" x14ac:dyDescent="0.25">
      <c r="H1245" t="s">
        <v>3982</v>
      </c>
    </row>
    <row r="1246" spans="8:8" x14ac:dyDescent="0.25">
      <c r="H1246" t="s">
        <v>4321</v>
      </c>
    </row>
    <row r="1247" spans="8:8" x14ac:dyDescent="0.25">
      <c r="H1247" t="s">
        <v>4441</v>
      </c>
    </row>
    <row r="1248" spans="8:8" x14ac:dyDescent="0.25">
      <c r="H1248" t="s">
        <v>4814</v>
      </c>
    </row>
    <row r="1249" spans="8:8" x14ac:dyDescent="0.25">
      <c r="H1249" t="s">
        <v>4847</v>
      </c>
    </row>
    <row r="1250" spans="8:8" x14ac:dyDescent="0.25">
      <c r="H1250" t="s">
        <v>5094</v>
      </c>
    </row>
    <row r="1251" spans="8:8" x14ac:dyDescent="0.25">
      <c r="H1251" t="s">
        <v>3626</v>
      </c>
    </row>
    <row r="1252" spans="8:8" x14ac:dyDescent="0.25">
      <c r="H1252" t="s">
        <v>5265</v>
      </c>
    </row>
    <row r="1253" spans="8:8" x14ac:dyDescent="0.25">
      <c r="H1253" t="s">
        <v>262</v>
      </c>
    </row>
    <row r="1254" spans="8:8" x14ac:dyDescent="0.25">
      <c r="H1254" t="s">
        <v>1786</v>
      </c>
    </row>
    <row r="1255" spans="8:8" x14ac:dyDescent="0.25">
      <c r="H1255" t="s">
        <v>4693</v>
      </c>
    </row>
    <row r="1256" spans="8:8" x14ac:dyDescent="0.25">
      <c r="H1256" t="s">
        <v>2858</v>
      </c>
    </row>
    <row r="1257" spans="8:8" x14ac:dyDescent="0.25">
      <c r="H1257" t="s">
        <v>5342</v>
      </c>
    </row>
    <row r="1258" spans="8:8" x14ac:dyDescent="0.25">
      <c r="H1258" t="s">
        <v>4840</v>
      </c>
    </row>
    <row r="1259" spans="8:8" x14ac:dyDescent="0.25">
      <c r="H1259" t="s">
        <v>3562</v>
      </c>
    </row>
    <row r="1260" spans="8:8" x14ac:dyDescent="0.25">
      <c r="H1260" t="s">
        <v>5467</v>
      </c>
    </row>
    <row r="1261" spans="8:8" x14ac:dyDescent="0.25">
      <c r="H1261" t="s">
        <v>1722</v>
      </c>
    </row>
    <row r="1262" spans="8:8" x14ac:dyDescent="0.25">
      <c r="H1262" t="s">
        <v>4065</v>
      </c>
    </row>
    <row r="1263" spans="8:8" x14ac:dyDescent="0.25">
      <c r="H1263" t="s">
        <v>1102</v>
      </c>
    </row>
    <row r="1264" spans="8:8" x14ac:dyDescent="0.25">
      <c r="H1264" t="s">
        <v>1140</v>
      </c>
    </row>
    <row r="1265" spans="8:8" x14ac:dyDescent="0.25">
      <c r="H1265" t="s">
        <v>978</v>
      </c>
    </row>
    <row r="1266" spans="8:8" x14ac:dyDescent="0.25">
      <c r="H1266" t="s">
        <v>1907</v>
      </c>
    </row>
    <row r="1267" spans="8:8" x14ac:dyDescent="0.25">
      <c r="H1267" t="s">
        <v>858</v>
      </c>
    </row>
    <row r="1268" spans="8:8" x14ac:dyDescent="0.25">
      <c r="H1268" t="s">
        <v>1378</v>
      </c>
    </row>
    <row r="1269" spans="8:8" x14ac:dyDescent="0.25">
      <c r="H1269" t="s">
        <v>3130</v>
      </c>
    </row>
    <row r="1270" spans="8:8" x14ac:dyDescent="0.25">
      <c r="H1270" t="s">
        <v>871</v>
      </c>
    </row>
    <row r="1271" spans="8:8" x14ac:dyDescent="0.25">
      <c r="H1271" t="s">
        <v>843</v>
      </c>
    </row>
    <row r="1272" spans="8:8" x14ac:dyDescent="0.25">
      <c r="H1272" t="s">
        <v>2349</v>
      </c>
    </row>
    <row r="1273" spans="8:8" x14ac:dyDescent="0.25">
      <c r="H1273" t="s">
        <v>996</v>
      </c>
    </row>
    <row r="1274" spans="8:8" x14ac:dyDescent="0.25">
      <c r="H1274" t="s">
        <v>1909</v>
      </c>
    </row>
    <row r="1275" spans="8:8" x14ac:dyDescent="0.25">
      <c r="H1275" t="s">
        <v>948</v>
      </c>
    </row>
    <row r="1276" spans="8:8" x14ac:dyDescent="0.25">
      <c r="H1276" t="s">
        <v>1910</v>
      </c>
    </row>
    <row r="1277" spans="8:8" x14ac:dyDescent="0.25">
      <c r="H1277" t="s">
        <v>1219</v>
      </c>
    </row>
    <row r="1278" spans="8:8" x14ac:dyDescent="0.25">
      <c r="H1278" t="s">
        <v>4770</v>
      </c>
    </row>
    <row r="1279" spans="8:8" x14ac:dyDescent="0.25">
      <c r="H1279" t="s">
        <v>4313</v>
      </c>
    </row>
    <row r="1280" spans="8:8" x14ac:dyDescent="0.25">
      <c r="H1280" t="s">
        <v>1912</v>
      </c>
    </row>
    <row r="1281" spans="8:8" x14ac:dyDescent="0.25">
      <c r="H1281" t="s">
        <v>3563</v>
      </c>
    </row>
    <row r="1282" spans="8:8" x14ac:dyDescent="0.25">
      <c r="H1282" t="s">
        <v>2397</v>
      </c>
    </row>
    <row r="1283" spans="8:8" x14ac:dyDescent="0.25">
      <c r="H1283" t="s">
        <v>2545</v>
      </c>
    </row>
    <row r="1284" spans="8:8" x14ac:dyDescent="0.25">
      <c r="H1284" t="s">
        <v>1918</v>
      </c>
    </row>
    <row r="1285" spans="8:8" x14ac:dyDescent="0.25">
      <c r="H1285" t="s">
        <v>2396</v>
      </c>
    </row>
    <row r="1286" spans="8:8" x14ac:dyDescent="0.25">
      <c r="H1286" t="s">
        <v>3909</v>
      </c>
    </row>
    <row r="1287" spans="8:8" x14ac:dyDescent="0.25">
      <c r="H1287" t="s">
        <v>1236</v>
      </c>
    </row>
    <row r="1288" spans="8:8" x14ac:dyDescent="0.25">
      <c r="H1288" t="s">
        <v>1919</v>
      </c>
    </row>
    <row r="1289" spans="8:8" x14ac:dyDescent="0.25">
      <c r="H1289" t="s">
        <v>1920</v>
      </c>
    </row>
    <row r="1290" spans="8:8" x14ac:dyDescent="0.25">
      <c r="H1290" t="s">
        <v>3226</v>
      </c>
    </row>
    <row r="1291" spans="8:8" x14ac:dyDescent="0.25">
      <c r="H1291" t="s">
        <v>587</v>
      </c>
    </row>
    <row r="1292" spans="8:8" x14ac:dyDescent="0.25">
      <c r="H1292" t="s">
        <v>1191</v>
      </c>
    </row>
    <row r="1293" spans="8:8" x14ac:dyDescent="0.25">
      <c r="H1293" t="s">
        <v>4907</v>
      </c>
    </row>
    <row r="1294" spans="8:8" x14ac:dyDescent="0.25">
      <c r="H1294" t="s">
        <v>2988</v>
      </c>
    </row>
    <row r="1295" spans="8:8" x14ac:dyDescent="0.25">
      <c r="H1295" t="s">
        <v>2650</v>
      </c>
    </row>
    <row r="1296" spans="8:8" x14ac:dyDescent="0.25">
      <c r="H1296" t="s">
        <v>3234</v>
      </c>
    </row>
    <row r="1297" spans="8:8" x14ac:dyDescent="0.25">
      <c r="H1297" t="s">
        <v>5326</v>
      </c>
    </row>
    <row r="1298" spans="8:8" x14ac:dyDescent="0.25">
      <c r="H1298" t="s">
        <v>1921</v>
      </c>
    </row>
    <row r="1299" spans="8:8" x14ac:dyDescent="0.25">
      <c r="H1299" t="s">
        <v>1923</v>
      </c>
    </row>
    <row r="1300" spans="8:8" x14ac:dyDescent="0.25">
      <c r="H1300" t="s">
        <v>2155</v>
      </c>
    </row>
    <row r="1301" spans="8:8" x14ac:dyDescent="0.25">
      <c r="H1301" t="s">
        <v>1329</v>
      </c>
    </row>
    <row r="1302" spans="8:8" x14ac:dyDescent="0.25">
      <c r="H1302" t="s">
        <v>4104</v>
      </c>
    </row>
    <row r="1303" spans="8:8" x14ac:dyDescent="0.25">
      <c r="H1303" t="s">
        <v>2678</v>
      </c>
    </row>
    <row r="1304" spans="8:8" x14ac:dyDescent="0.25">
      <c r="H1304" t="s">
        <v>1924</v>
      </c>
    </row>
    <row r="1305" spans="8:8" x14ac:dyDescent="0.25">
      <c r="H1305" t="s">
        <v>4689</v>
      </c>
    </row>
    <row r="1306" spans="8:8" x14ac:dyDescent="0.25">
      <c r="H1306" t="s">
        <v>4771</v>
      </c>
    </row>
    <row r="1307" spans="8:8" x14ac:dyDescent="0.25">
      <c r="H1307" t="s">
        <v>5209</v>
      </c>
    </row>
    <row r="1308" spans="8:8" x14ac:dyDescent="0.25">
      <c r="H1308" t="s">
        <v>1926</v>
      </c>
    </row>
    <row r="1309" spans="8:8" x14ac:dyDescent="0.25">
      <c r="H1309" t="s">
        <v>3316</v>
      </c>
    </row>
    <row r="1310" spans="8:8" x14ac:dyDescent="0.25">
      <c r="H1310" t="s">
        <v>1448</v>
      </c>
    </row>
    <row r="1311" spans="8:8" x14ac:dyDescent="0.25">
      <c r="H1311" t="s">
        <v>902</v>
      </c>
    </row>
    <row r="1312" spans="8:8" x14ac:dyDescent="0.25">
      <c r="H1312" t="s">
        <v>1928</v>
      </c>
    </row>
    <row r="1313" spans="8:8" x14ac:dyDescent="0.25">
      <c r="H1313" t="s">
        <v>5510</v>
      </c>
    </row>
    <row r="1314" spans="8:8" x14ac:dyDescent="0.25">
      <c r="H1314" t="s">
        <v>3820</v>
      </c>
    </row>
    <row r="1315" spans="8:8" x14ac:dyDescent="0.25">
      <c r="H1315" t="s">
        <v>3312</v>
      </c>
    </row>
    <row r="1316" spans="8:8" x14ac:dyDescent="0.25">
      <c r="H1316" t="s">
        <v>1929</v>
      </c>
    </row>
    <row r="1317" spans="8:8" x14ac:dyDescent="0.25">
      <c r="H1317" t="s">
        <v>1930</v>
      </c>
    </row>
    <row r="1318" spans="8:8" x14ac:dyDescent="0.25">
      <c r="H1318" t="s">
        <v>5525</v>
      </c>
    </row>
    <row r="1319" spans="8:8" x14ac:dyDescent="0.25">
      <c r="H1319" t="s">
        <v>1694</v>
      </c>
    </row>
    <row r="1320" spans="8:8" x14ac:dyDescent="0.25">
      <c r="H1320" t="s">
        <v>1507</v>
      </c>
    </row>
    <row r="1321" spans="8:8" x14ac:dyDescent="0.25">
      <c r="H1321" t="s">
        <v>3781</v>
      </c>
    </row>
    <row r="1322" spans="8:8" x14ac:dyDescent="0.25">
      <c r="H1322" t="s">
        <v>1072</v>
      </c>
    </row>
    <row r="1323" spans="8:8" x14ac:dyDescent="0.25">
      <c r="H1323" t="s">
        <v>2839</v>
      </c>
    </row>
    <row r="1324" spans="8:8" x14ac:dyDescent="0.25">
      <c r="H1324" t="s">
        <v>1931</v>
      </c>
    </row>
    <row r="1325" spans="8:8" x14ac:dyDescent="0.25">
      <c r="H1325" t="s">
        <v>1935</v>
      </c>
    </row>
    <row r="1326" spans="8:8" x14ac:dyDescent="0.25">
      <c r="H1326" t="s">
        <v>1938</v>
      </c>
    </row>
    <row r="1327" spans="8:8" x14ac:dyDescent="0.25">
      <c r="H1327" t="s">
        <v>1939</v>
      </c>
    </row>
    <row r="1328" spans="8:8" x14ac:dyDescent="0.25">
      <c r="H1328" t="s">
        <v>1941</v>
      </c>
    </row>
    <row r="1329" spans="8:8" x14ac:dyDescent="0.25">
      <c r="H1329" t="s">
        <v>1942</v>
      </c>
    </row>
    <row r="1330" spans="8:8" x14ac:dyDescent="0.25">
      <c r="H1330" t="s">
        <v>1943</v>
      </c>
    </row>
    <row r="1331" spans="8:8" x14ac:dyDescent="0.25">
      <c r="H1331" t="s">
        <v>760</v>
      </c>
    </row>
    <row r="1332" spans="8:8" x14ac:dyDescent="0.25">
      <c r="H1332" t="s">
        <v>2927</v>
      </c>
    </row>
    <row r="1333" spans="8:8" x14ac:dyDescent="0.25">
      <c r="H1333" t="s">
        <v>682</v>
      </c>
    </row>
    <row r="1334" spans="8:8" x14ac:dyDescent="0.25">
      <c r="H1334" t="s">
        <v>1834</v>
      </c>
    </row>
    <row r="1335" spans="8:8" x14ac:dyDescent="0.25">
      <c r="H1335" t="s">
        <v>2481</v>
      </c>
    </row>
    <row r="1336" spans="8:8" x14ac:dyDescent="0.25">
      <c r="H1336" t="s">
        <v>730</v>
      </c>
    </row>
    <row r="1337" spans="8:8" x14ac:dyDescent="0.25">
      <c r="H1337" t="s">
        <v>731</v>
      </c>
    </row>
    <row r="1338" spans="8:8" x14ac:dyDescent="0.25">
      <c r="H1338" t="s">
        <v>2796</v>
      </c>
    </row>
    <row r="1339" spans="8:8" x14ac:dyDescent="0.25">
      <c r="H1339" t="s">
        <v>1005</v>
      </c>
    </row>
    <row r="1340" spans="8:8" x14ac:dyDescent="0.25">
      <c r="H1340" t="s">
        <v>3989</v>
      </c>
    </row>
    <row r="1341" spans="8:8" x14ac:dyDescent="0.25">
      <c r="H1341" t="s">
        <v>5029</v>
      </c>
    </row>
    <row r="1342" spans="8:8" x14ac:dyDescent="0.25">
      <c r="H1342" t="s">
        <v>588</v>
      </c>
    </row>
    <row r="1343" spans="8:8" x14ac:dyDescent="0.25">
      <c r="H1343" t="s">
        <v>1731</v>
      </c>
    </row>
    <row r="1344" spans="8:8" x14ac:dyDescent="0.25">
      <c r="H1344" t="s">
        <v>3849</v>
      </c>
    </row>
    <row r="1345" spans="8:8" x14ac:dyDescent="0.25">
      <c r="H1345" t="s">
        <v>1093</v>
      </c>
    </row>
    <row r="1346" spans="8:8" x14ac:dyDescent="0.25">
      <c r="H1346" t="s">
        <v>1945</v>
      </c>
    </row>
    <row r="1347" spans="8:8" x14ac:dyDescent="0.25">
      <c r="H1347" t="s">
        <v>1129</v>
      </c>
    </row>
    <row r="1348" spans="8:8" x14ac:dyDescent="0.25">
      <c r="H1348" t="s">
        <v>2087</v>
      </c>
    </row>
    <row r="1349" spans="8:8" x14ac:dyDescent="0.25">
      <c r="H1349" t="s">
        <v>3963</v>
      </c>
    </row>
    <row r="1350" spans="8:8" x14ac:dyDescent="0.25">
      <c r="H1350" t="s">
        <v>2656</v>
      </c>
    </row>
    <row r="1351" spans="8:8" x14ac:dyDescent="0.25">
      <c r="H1351" t="s">
        <v>1947</v>
      </c>
    </row>
    <row r="1352" spans="8:8" x14ac:dyDescent="0.25">
      <c r="H1352" t="s">
        <v>1948</v>
      </c>
    </row>
    <row r="1353" spans="8:8" x14ac:dyDescent="0.25">
      <c r="H1353" t="s">
        <v>2766</v>
      </c>
    </row>
    <row r="1354" spans="8:8" x14ac:dyDescent="0.25">
      <c r="H1354" t="s">
        <v>3834</v>
      </c>
    </row>
    <row r="1355" spans="8:8" x14ac:dyDescent="0.25">
      <c r="H1355" t="s">
        <v>1900</v>
      </c>
    </row>
    <row r="1356" spans="8:8" x14ac:dyDescent="0.25">
      <c r="H1356" t="s">
        <v>1927</v>
      </c>
    </row>
    <row r="1357" spans="8:8" x14ac:dyDescent="0.25">
      <c r="H1357" t="s">
        <v>1953</v>
      </c>
    </row>
    <row r="1358" spans="8:8" x14ac:dyDescent="0.25">
      <c r="H1358" t="s">
        <v>1954</v>
      </c>
    </row>
    <row r="1359" spans="8:8" x14ac:dyDescent="0.25">
      <c r="H1359" t="s">
        <v>5455</v>
      </c>
    </row>
    <row r="1360" spans="8:8" x14ac:dyDescent="0.25">
      <c r="H1360" t="s">
        <v>2013</v>
      </c>
    </row>
    <row r="1361" spans="8:8" x14ac:dyDescent="0.25">
      <c r="H1361" t="s">
        <v>2014</v>
      </c>
    </row>
    <row r="1362" spans="8:8" x14ac:dyDescent="0.25">
      <c r="H1362" t="s">
        <v>4612</v>
      </c>
    </row>
    <row r="1363" spans="8:8" x14ac:dyDescent="0.25">
      <c r="H1363" t="s">
        <v>1969</v>
      </c>
    </row>
    <row r="1364" spans="8:8" x14ac:dyDescent="0.25">
      <c r="H1364" t="s">
        <v>1959</v>
      </c>
    </row>
    <row r="1365" spans="8:8" x14ac:dyDescent="0.25">
      <c r="H1365" t="s">
        <v>1949</v>
      </c>
    </row>
    <row r="1366" spans="8:8" x14ac:dyDescent="0.25">
      <c r="H1366" t="s">
        <v>1045</v>
      </c>
    </row>
    <row r="1367" spans="8:8" x14ac:dyDescent="0.25">
      <c r="H1367" t="s">
        <v>4597</v>
      </c>
    </row>
    <row r="1368" spans="8:8" x14ac:dyDescent="0.25">
      <c r="H1368" t="s">
        <v>2077</v>
      </c>
    </row>
    <row r="1369" spans="8:8" x14ac:dyDescent="0.25">
      <c r="H1369" t="s">
        <v>1957</v>
      </c>
    </row>
    <row r="1370" spans="8:8" x14ac:dyDescent="0.25">
      <c r="H1370" t="s">
        <v>840</v>
      </c>
    </row>
    <row r="1371" spans="8:8" x14ac:dyDescent="0.25">
      <c r="H1371" t="s">
        <v>1552</v>
      </c>
    </row>
    <row r="1372" spans="8:8" x14ac:dyDescent="0.25">
      <c r="H1372" t="s">
        <v>2576</v>
      </c>
    </row>
    <row r="1373" spans="8:8" x14ac:dyDescent="0.25">
      <c r="H1373" t="s">
        <v>1961</v>
      </c>
    </row>
    <row r="1374" spans="8:8" x14ac:dyDescent="0.25">
      <c r="H1374" t="s">
        <v>1962</v>
      </c>
    </row>
    <row r="1375" spans="8:8" x14ac:dyDescent="0.25">
      <c r="H1375" t="s">
        <v>1964</v>
      </c>
    </row>
    <row r="1376" spans="8:8" x14ac:dyDescent="0.25">
      <c r="H1376" t="s">
        <v>4209</v>
      </c>
    </row>
    <row r="1377" spans="8:8" x14ac:dyDescent="0.25">
      <c r="H1377" t="s">
        <v>1966</v>
      </c>
    </row>
    <row r="1378" spans="8:8" x14ac:dyDescent="0.25">
      <c r="H1378" t="s">
        <v>4973</v>
      </c>
    </row>
    <row r="1379" spans="8:8" x14ac:dyDescent="0.25">
      <c r="H1379" t="s">
        <v>4769</v>
      </c>
    </row>
    <row r="1380" spans="8:8" x14ac:dyDescent="0.25">
      <c r="H1380" t="s">
        <v>2532</v>
      </c>
    </row>
    <row r="1381" spans="8:8" x14ac:dyDescent="0.25">
      <c r="H1381" t="s">
        <v>4670</v>
      </c>
    </row>
    <row r="1382" spans="8:8" x14ac:dyDescent="0.25">
      <c r="H1382" t="s">
        <v>1903</v>
      </c>
    </row>
    <row r="1383" spans="8:8" x14ac:dyDescent="0.25">
      <c r="H1383" t="s">
        <v>1972</v>
      </c>
    </row>
    <row r="1384" spans="8:8" x14ac:dyDescent="0.25">
      <c r="H1384" t="s">
        <v>1342</v>
      </c>
    </row>
    <row r="1385" spans="8:8" x14ac:dyDescent="0.25">
      <c r="H1385" t="s">
        <v>5064</v>
      </c>
    </row>
    <row r="1386" spans="8:8" x14ac:dyDescent="0.25">
      <c r="H1386" t="s">
        <v>1860</v>
      </c>
    </row>
    <row r="1387" spans="8:8" x14ac:dyDescent="0.25">
      <c r="H1387" t="s">
        <v>4494</v>
      </c>
    </row>
    <row r="1388" spans="8:8" x14ac:dyDescent="0.25">
      <c r="H1388" t="s">
        <v>5428</v>
      </c>
    </row>
    <row r="1389" spans="8:8" x14ac:dyDescent="0.25">
      <c r="H1389" t="s">
        <v>1682</v>
      </c>
    </row>
    <row r="1390" spans="8:8" x14ac:dyDescent="0.25">
      <c r="H1390" t="s">
        <v>3231</v>
      </c>
    </row>
    <row r="1391" spans="8:8" x14ac:dyDescent="0.25">
      <c r="H1391" t="s">
        <v>4964</v>
      </c>
    </row>
    <row r="1392" spans="8:8" x14ac:dyDescent="0.25">
      <c r="H1392" t="s">
        <v>2136</v>
      </c>
    </row>
    <row r="1393" spans="8:8" x14ac:dyDescent="0.25">
      <c r="H1393" t="s">
        <v>2322</v>
      </c>
    </row>
    <row r="1394" spans="8:8" x14ac:dyDescent="0.25">
      <c r="H1394" t="s">
        <v>3036</v>
      </c>
    </row>
    <row r="1395" spans="8:8" x14ac:dyDescent="0.25">
      <c r="H1395" t="s">
        <v>752</v>
      </c>
    </row>
    <row r="1396" spans="8:8" x14ac:dyDescent="0.25">
      <c r="H1396" t="s">
        <v>1596</v>
      </c>
    </row>
    <row r="1397" spans="8:8" x14ac:dyDescent="0.25">
      <c r="H1397" t="s">
        <v>4393</v>
      </c>
    </row>
    <row r="1398" spans="8:8" x14ac:dyDescent="0.25">
      <c r="H1398" t="s">
        <v>781</v>
      </c>
    </row>
    <row r="1399" spans="8:8" x14ac:dyDescent="0.25">
      <c r="H1399" t="s">
        <v>4723</v>
      </c>
    </row>
    <row r="1400" spans="8:8" x14ac:dyDescent="0.25">
      <c r="H1400" t="s">
        <v>5006</v>
      </c>
    </row>
    <row r="1401" spans="8:8" x14ac:dyDescent="0.25">
      <c r="H1401" t="s">
        <v>5211</v>
      </c>
    </row>
    <row r="1402" spans="8:8" x14ac:dyDescent="0.25">
      <c r="H1402" t="s">
        <v>3847</v>
      </c>
    </row>
    <row r="1403" spans="8:8" x14ac:dyDescent="0.25">
      <c r="H1403" t="s">
        <v>4647</v>
      </c>
    </row>
    <row r="1404" spans="8:8" x14ac:dyDescent="0.25">
      <c r="H1404" t="s">
        <v>1455</v>
      </c>
    </row>
    <row r="1405" spans="8:8" x14ac:dyDescent="0.25">
      <c r="H1405" t="s">
        <v>5193</v>
      </c>
    </row>
    <row r="1406" spans="8:8" x14ac:dyDescent="0.25">
      <c r="H1406" t="s">
        <v>3822</v>
      </c>
    </row>
    <row r="1407" spans="8:8" x14ac:dyDescent="0.25">
      <c r="H1407" t="s">
        <v>1981</v>
      </c>
    </row>
    <row r="1408" spans="8:8" x14ac:dyDescent="0.25">
      <c r="H1408" t="s">
        <v>1982</v>
      </c>
    </row>
    <row r="1409" spans="8:8" x14ac:dyDescent="0.25">
      <c r="H1409" t="s">
        <v>1983</v>
      </c>
    </row>
    <row r="1410" spans="8:8" x14ac:dyDescent="0.25">
      <c r="H1410" t="s">
        <v>1984</v>
      </c>
    </row>
    <row r="1411" spans="8:8" x14ac:dyDescent="0.25">
      <c r="H1411" t="s">
        <v>1987</v>
      </c>
    </row>
    <row r="1412" spans="8:8" x14ac:dyDescent="0.25">
      <c r="H1412" t="s">
        <v>4997</v>
      </c>
    </row>
    <row r="1413" spans="8:8" x14ac:dyDescent="0.25">
      <c r="H1413" t="s">
        <v>4724</v>
      </c>
    </row>
    <row r="1414" spans="8:8" x14ac:dyDescent="0.25">
      <c r="H1414" t="s">
        <v>1989</v>
      </c>
    </row>
    <row r="1415" spans="8:8" x14ac:dyDescent="0.25">
      <c r="H1415" t="s">
        <v>4106</v>
      </c>
    </row>
    <row r="1416" spans="8:8" x14ac:dyDescent="0.25">
      <c r="H1416" t="s">
        <v>1590</v>
      </c>
    </row>
    <row r="1417" spans="8:8" x14ac:dyDescent="0.25">
      <c r="H1417" t="s">
        <v>1991</v>
      </c>
    </row>
    <row r="1418" spans="8:8" x14ac:dyDescent="0.25">
      <c r="H1418" t="s">
        <v>1993</v>
      </c>
    </row>
    <row r="1419" spans="8:8" x14ac:dyDescent="0.25">
      <c r="H1419" t="s">
        <v>4700</v>
      </c>
    </row>
    <row r="1420" spans="8:8" x14ac:dyDescent="0.25">
      <c r="H1420" t="s">
        <v>1995</v>
      </c>
    </row>
    <row r="1421" spans="8:8" x14ac:dyDescent="0.25">
      <c r="H1421" t="s">
        <v>2092</v>
      </c>
    </row>
    <row r="1422" spans="8:8" x14ac:dyDescent="0.25">
      <c r="H1422" t="s">
        <v>4120</v>
      </c>
    </row>
    <row r="1423" spans="8:8" x14ac:dyDescent="0.25">
      <c r="H1423" t="s">
        <v>3718</v>
      </c>
    </row>
    <row r="1424" spans="8:8" x14ac:dyDescent="0.25">
      <c r="H1424" t="s">
        <v>1999</v>
      </c>
    </row>
    <row r="1425" spans="8:8" x14ac:dyDescent="0.25">
      <c r="H1425" t="s">
        <v>4144</v>
      </c>
    </row>
    <row r="1426" spans="8:8" x14ac:dyDescent="0.25">
      <c r="H1426" t="s">
        <v>3710</v>
      </c>
    </row>
    <row r="1427" spans="8:8" x14ac:dyDescent="0.25">
      <c r="H1427" t="s">
        <v>926</v>
      </c>
    </row>
    <row r="1428" spans="8:8" x14ac:dyDescent="0.25">
      <c r="H1428" t="s">
        <v>4948</v>
      </c>
    </row>
    <row r="1429" spans="8:8" x14ac:dyDescent="0.25">
      <c r="H1429" t="s">
        <v>5075</v>
      </c>
    </row>
    <row r="1430" spans="8:8" x14ac:dyDescent="0.25">
      <c r="H1430" t="s">
        <v>1511</v>
      </c>
    </row>
    <row r="1431" spans="8:8" x14ac:dyDescent="0.25">
      <c r="H1431" t="s">
        <v>2001</v>
      </c>
    </row>
    <row r="1432" spans="8:8" x14ac:dyDescent="0.25">
      <c r="H1432" t="s">
        <v>2114</v>
      </c>
    </row>
    <row r="1433" spans="8:8" x14ac:dyDescent="0.25">
      <c r="H1433" t="s">
        <v>2113</v>
      </c>
    </row>
    <row r="1434" spans="8:8" x14ac:dyDescent="0.25">
      <c r="H1434" t="s">
        <v>2111</v>
      </c>
    </row>
    <row r="1435" spans="8:8" x14ac:dyDescent="0.25">
      <c r="H1435" t="s">
        <v>2112</v>
      </c>
    </row>
    <row r="1436" spans="8:8" x14ac:dyDescent="0.25">
      <c r="H1436" t="s">
        <v>2110</v>
      </c>
    </row>
    <row r="1437" spans="8:8" x14ac:dyDescent="0.25">
      <c r="H1437" t="s">
        <v>5415</v>
      </c>
    </row>
    <row r="1438" spans="8:8" x14ac:dyDescent="0.25">
      <c r="H1438" t="s">
        <v>5422</v>
      </c>
    </row>
    <row r="1439" spans="8:8" x14ac:dyDescent="0.25">
      <c r="H1439" t="s">
        <v>2186</v>
      </c>
    </row>
    <row r="1440" spans="8:8" x14ac:dyDescent="0.25">
      <c r="H1440" t="s">
        <v>1207</v>
      </c>
    </row>
    <row r="1441" spans="8:8" x14ac:dyDescent="0.25">
      <c r="H1441" t="s">
        <v>2017</v>
      </c>
    </row>
    <row r="1442" spans="8:8" x14ac:dyDescent="0.25">
      <c r="H1442" t="s">
        <v>1496</v>
      </c>
    </row>
    <row r="1443" spans="8:8" x14ac:dyDescent="0.25">
      <c r="H1443" t="s">
        <v>2193</v>
      </c>
    </row>
    <row r="1444" spans="8:8" x14ac:dyDescent="0.25">
      <c r="H1444" t="s">
        <v>4288</v>
      </c>
    </row>
    <row r="1445" spans="8:8" x14ac:dyDescent="0.25">
      <c r="H1445" t="s">
        <v>2477</v>
      </c>
    </row>
    <row r="1446" spans="8:8" x14ac:dyDescent="0.25">
      <c r="H1446" t="s">
        <v>4726</v>
      </c>
    </row>
    <row r="1447" spans="8:8" x14ac:dyDescent="0.25">
      <c r="H1447" t="s">
        <v>3640</v>
      </c>
    </row>
    <row r="1448" spans="8:8" x14ac:dyDescent="0.25">
      <c r="H1448" t="s">
        <v>4412</v>
      </c>
    </row>
    <row r="1449" spans="8:8" x14ac:dyDescent="0.25">
      <c r="H1449" t="s">
        <v>2267</v>
      </c>
    </row>
    <row r="1450" spans="8:8" x14ac:dyDescent="0.25">
      <c r="H1450" t="s">
        <v>2022</v>
      </c>
    </row>
    <row r="1451" spans="8:8" x14ac:dyDescent="0.25">
      <c r="H1451" t="s">
        <v>1968</v>
      </c>
    </row>
    <row r="1452" spans="8:8" x14ac:dyDescent="0.25">
      <c r="H1452" t="s">
        <v>1645</v>
      </c>
    </row>
    <row r="1453" spans="8:8" x14ac:dyDescent="0.25">
      <c r="H1453" t="s">
        <v>2024</v>
      </c>
    </row>
    <row r="1454" spans="8:8" x14ac:dyDescent="0.25">
      <c r="H1454" t="s">
        <v>2026</v>
      </c>
    </row>
    <row r="1455" spans="8:8" x14ac:dyDescent="0.25">
      <c r="H1455" t="s">
        <v>2027</v>
      </c>
    </row>
    <row r="1456" spans="8:8" x14ac:dyDescent="0.25">
      <c r="H1456" t="s">
        <v>1259</v>
      </c>
    </row>
    <row r="1457" spans="8:8" x14ac:dyDescent="0.25">
      <c r="H1457" t="s">
        <v>4156</v>
      </c>
    </row>
    <row r="1458" spans="8:8" x14ac:dyDescent="0.25">
      <c r="H1458" t="s">
        <v>4107</v>
      </c>
    </row>
    <row r="1459" spans="8:8" x14ac:dyDescent="0.25">
      <c r="H1459" t="s">
        <v>3142</v>
      </c>
    </row>
    <row r="1460" spans="8:8" x14ac:dyDescent="0.25">
      <c r="H1460" t="s">
        <v>761</v>
      </c>
    </row>
    <row r="1461" spans="8:8" x14ac:dyDescent="0.25">
      <c r="H1461" t="s">
        <v>4975</v>
      </c>
    </row>
    <row r="1462" spans="8:8" x14ac:dyDescent="0.25">
      <c r="H1462" t="s">
        <v>2753</v>
      </c>
    </row>
    <row r="1463" spans="8:8" x14ac:dyDescent="0.25">
      <c r="H1463" t="s">
        <v>3143</v>
      </c>
    </row>
    <row r="1464" spans="8:8" x14ac:dyDescent="0.25">
      <c r="H1464" t="s">
        <v>849</v>
      </c>
    </row>
    <row r="1465" spans="8:8" x14ac:dyDescent="0.25">
      <c r="H1465" t="s">
        <v>4088</v>
      </c>
    </row>
    <row r="1466" spans="8:8" x14ac:dyDescent="0.25">
      <c r="H1466" t="s">
        <v>2033</v>
      </c>
    </row>
    <row r="1467" spans="8:8" x14ac:dyDescent="0.25">
      <c r="H1467" t="s">
        <v>827</v>
      </c>
    </row>
    <row r="1468" spans="8:8" x14ac:dyDescent="0.25">
      <c r="H1468" t="s">
        <v>2034</v>
      </c>
    </row>
    <row r="1469" spans="8:8" x14ac:dyDescent="0.25">
      <c r="H1469" t="s">
        <v>4690</v>
      </c>
    </row>
    <row r="1470" spans="8:8" x14ac:dyDescent="0.25">
      <c r="H1470" t="s">
        <v>872</v>
      </c>
    </row>
    <row r="1471" spans="8:8" x14ac:dyDescent="0.25">
      <c r="H1471" t="s">
        <v>4259</v>
      </c>
    </row>
    <row r="1472" spans="8:8" x14ac:dyDescent="0.25">
      <c r="H1472" t="s">
        <v>873</v>
      </c>
    </row>
    <row r="1473" spans="8:8" x14ac:dyDescent="0.25">
      <c r="H1473" t="s">
        <v>874</v>
      </c>
    </row>
    <row r="1474" spans="8:8" x14ac:dyDescent="0.25">
      <c r="H1474" t="s">
        <v>1790</v>
      </c>
    </row>
    <row r="1475" spans="8:8" x14ac:dyDescent="0.25">
      <c r="H1475" t="s">
        <v>4545</v>
      </c>
    </row>
    <row r="1476" spans="8:8" x14ac:dyDescent="0.25">
      <c r="H1476" t="s">
        <v>1883</v>
      </c>
    </row>
    <row r="1477" spans="8:8" x14ac:dyDescent="0.25">
      <c r="H1477" t="s">
        <v>4302</v>
      </c>
    </row>
    <row r="1478" spans="8:8" x14ac:dyDescent="0.25">
      <c r="H1478" t="s">
        <v>1884</v>
      </c>
    </row>
    <row r="1479" spans="8:8" x14ac:dyDescent="0.25">
      <c r="H1479" t="s">
        <v>762</v>
      </c>
    </row>
    <row r="1480" spans="8:8" x14ac:dyDescent="0.25">
      <c r="H1480" t="s">
        <v>2321</v>
      </c>
    </row>
    <row r="1481" spans="8:8" x14ac:dyDescent="0.25">
      <c r="H1481" t="s">
        <v>2236</v>
      </c>
    </row>
    <row r="1482" spans="8:8" x14ac:dyDescent="0.25">
      <c r="H1482" t="s">
        <v>3584</v>
      </c>
    </row>
    <row r="1483" spans="8:8" x14ac:dyDescent="0.25">
      <c r="H1483" t="s">
        <v>3858</v>
      </c>
    </row>
    <row r="1484" spans="8:8" x14ac:dyDescent="0.25">
      <c r="H1484" t="s">
        <v>1635</v>
      </c>
    </row>
    <row r="1485" spans="8:8" x14ac:dyDescent="0.25">
      <c r="H1485" t="s">
        <v>3949</v>
      </c>
    </row>
    <row r="1486" spans="8:8" x14ac:dyDescent="0.25">
      <c r="H1486" t="s">
        <v>4887</v>
      </c>
    </row>
    <row r="1487" spans="8:8" x14ac:dyDescent="0.25">
      <c r="H1487" t="s">
        <v>4880</v>
      </c>
    </row>
    <row r="1488" spans="8:8" x14ac:dyDescent="0.25">
      <c r="H1488" t="s">
        <v>2049</v>
      </c>
    </row>
    <row r="1489" spans="8:8" x14ac:dyDescent="0.25">
      <c r="H1489" t="s">
        <v>2050</v>
      </c>
    </row>
    <row r="1490" spans="8:8" x14ac:dyDescent="0.25">
      <c r="H1490" t="s">
        <v>4303</v>
      </c>
    </row>
    <row r="1491" spans="8:8" x14ac:dyDescent="0.25">
      <c r="H1491" t="s">
        <v>2433</v>
      </c>
    </row>
    <row r="1492" spans="8:8" x14ac:dyDescent="0.25">
      <c r="H1492" t="s">
        <v>5354</v>
      </c>
    </row>
    <row r="1493" spans="8:8" x14ac:dyDescent="0.25">
      <c r="H1493" t="s">
        <v>3716</v>
      </c>
    </row>
    <row r="1494" spans="8:8" x14ac:dyDescent="0.25">
      <c r="H1494" t="s">
        <v>1869</v>
      </c>
    </row>
    <row r="1495" spans="8:8" x14ac:dyDescent="0.25">
      <c r="H1495" t="s">
        <v>2058</v>
      </c>
    </row>
    <row r="1496" spans="8:8" x14ac:dyDescent="0.25">
      <c r="H1496" t="s">
        <v>2054</v>
      </c>
    </row>
    <row r="1497" spans="8:8" x14ac:dyDescent="0.25">
      <c r="H1497" t="s">
        <v>4932</v>
      </c>
    </row>
    <row r="1498" spans="8:8" x14ac:dyDescent="0.25">
      <c r="H1498" t="s">
        <v>862</v>
      </c>
    </row>
    <row r="1499" spans="8:8" x14ac:dyDescent="0.25">
      <c r="H1499" t="s">
        <v>3275</v>
      </c>
    </row>
    <row r="1500" spans="8:8" x14ac:dyDescent="0.25">
      <c r="H1500" t="s">
        <v>4481</v>
      </c>
    </row>
    <row r="1501" spans="8:8" x14ac:dyDescent="0.25">
      <c r="H1501" t="s">
        <v>655</v>
      </c>
    </row>
    <row r="1502" spans="8:8" x14ac:dyDescent="0.25">
      <c r="H1502" t="s">
        <v>1505</v>
      </c>
    </row>
    <row r="1503" spans="8:8" x14ac:dyDescent="0.25">
      <c r="H1503" t="s">
        <v>1718</v>
      </c>
    </row>
    <row r="1504" spans="8:8" x14ac:dyDescent="0.25">
      <c r="H1504" t="s">
        <v>1727</v>
      </c>
    </row>
    <row r="1505" spans="8:8" x14ac:dyDescent="0.25">
      <c r="H1505" t="s">
        <v>1735</v>
      </c>
    </row>
    <row r="1506" spans="8:8" x14ac:dyDescent="0.25">
      <c r="H1506" t="s">
        <v>1773</v>
      </c>
    </row>
    <row r="1507" spans="8:8" x14ac:dyDescent="0.25">
      <c r="H1507" t="s">
        <v>875</v>
      </c>
    </row>
    <row r="1508" spans="8:8" x14ac:dyDescent="0.25">
      <c r="H1508" t="s">
        <v>4480</v>
      </c>
    </row>
    <row r="1509" spans="8:8" x14ac:dyDescent="0.25">
      <c r="H1509" t="s">
        <v>1371</v>
      </c>
    </row>
    <row r="1510" spans="8:8" x14ac:dyDescent="0.25">
      <c r="H1510" t="s">
        <v>1365</v>
      </c>
    </row>
    <row r="1511" spans="8:8" x14ac:dyDescent="0.25">
      <c r="H1511" t="s">
        <v>2362</v>
      </c>
    </row>
    <row r="1512" spans="8:8" x14ac:dyDescent="0.25">
      <c r="H1512" t="s">
        <v>1370</v>
      </c>
    </row>
    <row r="1513" spans="8:8" x14ac:dyDescent="0.25">
      <c r="H1513" t="s">
        <v>5212</v>
      </c>
    </row>
    <row r="1514" spans="8:8" x14ac:dyDescent="0.25">
      <c r="H1514" t="s">
        <v>4478</v>
      </c>
    </row>
    <row r="1515" spans="8:8" x14ac:dyDescent="0.25">
      <c r="H1515" t="s">
        <v>4479</v>
      </c>
    </row>
    <row r="1516" spans="8:8" x14ac:dyDescent="0.25">
      <c r="H1516" t="s">
        <v>3060</v>
      </c>
    </row>
    <row r="1517" spans="8:8" x14ac:dyDescent="0.25">
      <c r="H1517" t="s">
        <v>850</v>
      </c>
    </row>
    <row r="1518" spans="8:8" x14ac:dyDescent="0.25">
      <c r="H1518" t="s">
        <v>3211</v>
      </c>
    </row>
    <row r="1519" spans="8:8" x14ac:dyDescent="0.25">
      <c r="H1519" t="s">
        <v>2664</v>
      </c>
    </row>
    <row r="1520" spans="8:8" x14ac:dyDescent="0.25">
      <c r="H1520" t="s">
        <v>3146</v>
      </c>
    </row>
    <row r="1521" spans="8:8" x14ac:dyDescent="0.25">
      <c r="H1521" t="s">
        <v>1360</v>
      </c>
    </row>
    <row r="1522" spans="8:8" x14ac:dyDescent="0.25">
      <c r="H1522" t="s">
        <v>1359</v>
      </c>
    </row>
    <row r="1523" spans="8:8" x14ac:dyDescent="0.25">
      <c r="H1523" t="s">
        <v>3289</v>
      </c>
    </row>
    <row r="1524" spans="8:8" x14ac:dyDescent="0.25">
      <c r="H1524" t="s">
        <v>3443</v>
      </c>
    </row>
    <row r="1525" spans="8:8" x14ac:dyDescent="0.25">
      <c r="H1525" t="s">
        <v>3559</v>
      </c>
    </row>
    <row r="1526" spans="8:8" x14ac:dyDescent="0.25">
      <c r="H1526" t="s">
        <v>1842</v>
      </c>
    </row>
    <row r="1527" spans="8:8" x14ac:dyDescent="0.25">
      <c r="H1527" t="s">
        <v>2317</v>
      </c>
    </row>
    <row r="1528" spans="8:8" x14ac:dyDescent="0.25">
      <c r="H1528" t="s">
        <v>1368</v>
      </c>
    </row>
    <row r="1529" spans="8:8" x14ac:dyDescent="0.25">
      <c r="H1529" t="s">
        <v>4201</v>
      </c>
    </row>
    <row r="1530" spans="8:8" x14ac:dyDescent="0.25">
      <c r="H1530" t="s">
        <v>1358</v>
      </c>
    </row>
    <row r="1531" spans="8:8" x14ac:dyDescent="0.25">
      <c r="H1531" t="s">
        <v>4208</v>
      </c>
    </row>
    <row r="1532" spans="8:8" x14ac:dyDescent="0.25">
      <c r="H1532" t="s">
        <v>4268</v>
      </c>
    </row>
    <row r="1533" spans="8:8" x14ac:dyDescent="0.25">
      <c r="H1533" t="s">
        <v>851</v>
      </c>
    </row>
    <row r="1534" spans="8:8" x14ac:dyDescent="0.25">
      <c r="H1534" t="s">
        <v>1257</v>
      </c>
    </row>
    <row r="1535" spans="8:8" x14ac:dyDescent="0.25">
      <c r="H1535" t="s">
        <v>2945</v>
      </c>
    </row>
    <row r="1536" spans="8:8" x14ac:dyDescent="0.25">
      <c r="H1536" t="s">
        <v>1422</v>
      </c>
    </row>
    <row r="1537" spans="8:8" x14ac:dyDescent="0.25">
      <c r="H1537" t="s">
        <v>852</v>
      </c>
    </row>
    <row r="1538" spans="8:8" x14ac:dyDescent="0.25">
      <c r="H1538" t="s">
        <v>853</v>
      </c>
    </row>
    <row r="1539" spans="8:8" x14ac:dyDescent="0.25">
      <c r="H1539" t="s">
        <v>854</v>
      </c>
    </row>
    <row r="1540" spans="8:8" x14ac:dyDescent="0.25">
      <c r="H1540" t="s">
        <v>1424</v>
      </c>
    </row>
    <row r="1541" spans="8:8" x14ac:dyDescent="0.25">
      <c r="H1541" t="s">
        <v>2083</v>
      </c>
    </row>
    <row r="1542" spans="8:8" x14ac:dyDescent="0.25">
      <c r="H1542" t="s">
        <v>4554</v>
      </c>
    </row>
    <row r="1543" spans="8:8" x14ac:dyDescent="0.25">
      <c r="H1543" t="s">
        <v>2084</v>
      </c>
    </row>
    <row r="1544" spans="8:8" x14ac:dyDescent="0.25">
      <c r="H1544" t="s">
        <v>2849</v>
      </c>
    </row>
    <row r="1545" spans="8:8" x14ac:dyDescent="0.25">
      <c r="H1545" t="s">
        <v>5405</v>
      </c>
    </row>
    <row r="1546" spans="8:8" x14ac:dyDescent="0.25">
      <c r="H1546" t="s">
        <v>4157</v>
      </c>
    </row>
    <row r="1547" spans="8:8" x14ac:dyDescent="0.25">
      <c r="H1547" t="s">
        <v>4725</v>
      </c>
    </row>
    <row r="1548" spans="8:8" x14ac:dyDescent="0.25">
      <c r="H1548" t="s">
        <v>5438</v>
      </c>
    </row>
    <row r="1549" spans="8:8" x14ac:dyDescent="0.25">
      <c r="H1549" t="s">
        <v>5401</v>
      </c>
    </row>
    <row r="1550" spans="8:8" x14ac:dyDescent="0.25">
      <c r="H1550" t="s">
        <v>2920</v>
      </c>
    </row>
    <row r="1551" spans="8:8" x14ac:dyDescent="0.25">
      <c r="H1551" t="s">
        <v>2600</v>
      </c>
    </row>
    <row r="1552" spans="8:8" x14ac:dyDescent="0.25">
      <c r="H1552" t="s">
        <v>4544</v>
      </c>
    </row>
    <row r="1553" spans="8:8" x14ac:dyDescent="0.25">
      <c r="H1553" t="s">
        <v>1041</v>
      </c>
    </row>
    <row r="1554" spans="8:8" x14ac:dyDescent="0.25">
      <c r="H1554" t="s">
        <v>1046</v>
      </c>
    </row>
    <row r="1555" spans="8:8" x14ac:dyDescent="0.25">
      <c r="H1555" t="s">
        <v>2055</v>
      </c>
    </row>
    <row r="1556" spans="8:8" x14ac:dyDescent="0.25">
      <c r="H1556" t="s">
        <v>4833</v>
      </c>
    </row>
    <row r="1557" spans="8:8" x14ac:dyDescent="0.25">
      <c r="H1557" t="s">
        <v>5067</v>
      </c>
    </row>
    <row r="1558" spans="8:8" x14ac:dyDescent="0.25">
      <c r="H1558" t="s">
        <v>4596</v>
      </c>
    </row>
    <row r="1559" spans="8:8" x14ac:dyDescent="0.25">
      <c r="H1559" t="s">
        <v>1808</v>
      </c>
    </row>
    <row r="1560" spans="8:8" x14ac:dyDescent="0.25">
      <c r="H1560" t="s">
        <v>4868</v>
      </c>
    </row>
    <row r="1561" spans="8:8" x14ac:dyDescent="0.25">
      <c r="H1561" t="s">
        <v>4959</v>
      </c>
    </row>
    <row r="1562" spans="8:8" x14ac:dyDescent="0.25">
      <c r="H1562" t="s">
        <v>4212</v>
      </c>
    </row>
    <row r="1563" spans="8:8" x14ac:dyDescent="0.25">
      <c r="H1563" t="s">
        <v>3952</v>
      </c>
    </row>
    <row r="1564" spans="8:8" x14ac:dyDescent="0.25">
      <c r="H1564" t="s">
        <v>1042</v>
      </c>
    </row>
    <row r="1565" spans="8:8" x14ac:dyDescent="0.25">
      <c r="H1565" t="s">
        <v>2676</v>
      </c>
    </row>
    <row r="1566" spans="8:8" x14ac:dyDescent="0.25">
      <c r="H1566" t="s">
        <v>4803</v>
      </c>
    </row>
    <row r="1567" spans="8:8" x14ac:dyDescent="0.25">
      <c r="H1567" t="s">
        <v>4498</v>
      </c>
    </row>
    <row r="1568" spans="8:8" x14ac:dyDescent="0.25">
      <c r="H1568" t="s">
        <v>5403</v>
      </c>
    </row>
    <row r="1569" spans="8:8" x14ac:dyDescent="0.25">
      <c r="H1569" t="s">
        <v>3552</v>
      </c>
    </row>
    <row r="1570" spans="8:8" x14ac:dyDescent="0.25">
      <c r="H1570" t="s">
        <v>1043</v>
      </c>
    </row>
    <row r="1571" spans="8:8" x14ac:dyDescent="0.25">
      <c r="H1571" t="s">
        <v>5200</v>
      </c>
    </row>
    <row r="1572" spans="8:8" x14ac:dyDescent="0.25">
      <c r="H1572" t="s">
        <v>4336</v>
      </c>
    </row>
    <row r="1573" spans="8:8" x14ac:dyDescent="0.25">
      <c r="H1573" t="s">
        <v>2064</v>
      </c>
    </row>
    <row r="1574" spans="8:8" x14ac:dyDescent="0.25">
      <c r="H1574" t="s">
        <v>5402</v>
      </c>
    </row>
    <row r="1575" spans="8:8" x14ac:dyDescent="0.25">
      <c r="H1575" t="s">
        <v>4547</v>
      </c>
    </row>
    <row r="1576" spans="8:8" x14ac:dyDescent="0.25">
      <c r="H1576" t="s">
        <v>5535</v>
      </c>
    </row>
    <row r="1577" spans="8:8" x14ac:dyDescent="0.25">
      <c r="H1577" t="s">
        <v>5060</v>
      </c>
    </row>
    <row r="1578" spans="8:8" x14ac:dyDescent="0.25">
      <c r="H1578" t="s">
        <v>1083</v>
      </c>
    </row>
    <row r="1579" spans="8:8" x14ac:dyDescent="0.25">
      <c r="H1579" t="s">
        <v>1083</v>
      </c>
    </row>
    <row r="1580" spans="8:8" x14ac:dyDescent="0.25">
      <c r="H1580" t="s">
        <v>1083</v>
      </c>
    </row>
    <row r="1581" spans="8:8" x14ac:dyDescent="0.25">
      <c r="H1581" t="s">
        <v>2048</v>
      </c>
    </row>
    <row r="1582" spans="8:8" x14ac:dyDescent="0.25">
      <c r="H1582" t="s">
        <v>3066</v>
      </c>
    </row>
    <row r="1583" spans="8:8" x14ac:dyDescent="0.25">
      <c r="H1583" t="s">
        <v>1084</v>
      </c>
    </row>
    <row r="1584" spans="8:8" x14ac:dyDescent="0.25">
      <c r="H1584" t="s">
        <v>5433</v>
      </c>
    </row>
    <row r="1585" spans="8:8" x14ac:dyDescent="0.25">
      <c r="H1585" t="s">
        <v>1688</v>
      </c>
    </row>
    <row r="1586" spans="8:8" x14ac:dyDescent="0.25">
      <c r="H1586" t="s">
        <v>5234</v>
      </c>
    </row>
    <row r="1587" spans="8:8" x14ac:dyDescent="0.25">
      <c r="H1587" t="s">
        <v>3096</v>
      </c>
    </row>
    <row r="1588" spans="8:8" x14ac:dyDescent="0.25">
      <c r="H1588" t="s">
        <v>2826</v>
      </c>
    </row>
    <row r="1589" spans="8:8" x14ac:dyDescent="0.25">
      <c r="H1589" t="s">
        <v>1712</v>
      </c>
    </row>
    <row r="1590" spans="8:8" x14ac:dyDescent="0.25">
      <c r="H1590" t="s">
        <v>5373</v>
      </c>
    </row>
    <row r="1591" spans="8:8" x14ac:dyDescent="0.25">
      <c r="H1591" t="s">
        <v>3258</v>
      </c>
    </row>
    <row r="1592" spans="8:8" x14ac:dyDescent="0.25">
      <c r="H1592" t="s">
        <v>1895</v>
      </c>
    </row>
    <row r="1593" spans="8:8" x14ac:dyDescent="0.25">
      <c r="H1593" t="s">
        <v>3125</v>
      </c>
    </row>
    <row r="1594" spans="8:8" x14ac:dyDescent="0.25">
      <c r="H1594" t="s">
        <v>1597</v>
      </c>
    </row>
    <row r="1595" spans="8:8" x14ac:dyDescent="0.25">
      <c r="H1595" t="s">
        <v>3170</v>
      </c>
    </row>
    <row r="1596" spans="8:8" x14ac:dyDescent="0.25">
      <c r="H1596" t="s">
        <v>3171</v>
      </c>
    </row>
    <row r="1597" spans="8:8" x14ac:dyDescent="0.25">
      <c r="H1597" t="s">
        <v>4549</v>
      </c>
    </row>
    <row r="1598" spans="8:8" x14ac:dyDescent="0.25">
      <c r="H1598" t="s">
        <v>2116</v>
      </c>
    </row>
    <row r="1599" spans="8:8" x14ac:dyDescent="0.25">
      <c r="H1599" t="s">
        <v>4602</v>
      </c>
    </row>
    <row r="1600" spans="8:8" x14ac:dyDescent="0.25">
      <c r="H1600" t="s">
        <v>3321</v>
      </c>
    </row>
    <row r="1601" spans="8:8" x14ac:dyDescent="0.25">
      <c r="H1601" t="s">
        <v>1053</v>
      </c>
    </row>
    <row r="1602" spans="8:8" x14ac:dyDescent="0.25">
      <c r="H1602" t="s">
        <v>1053</v>
      </c>
    </row>
    <row r="1603" spans="8:8" x14ac:dyDescent="0.25">
      <c r="H1603" t="s">
        <v>2413</v>
      </c>
    </row>
    <row r="1604" spans="8:8" x14ac:dyDescent="0.25">
      <c r="H1604" t="s">
        <v>1457</v>
      </c>
    </row>
    <row r="1605" spans="8:8" x14ac:dyDescent="0.25">
      <c r="H1605" t="s">
        <v>564</v>
      </c>
    </row>
    <row r="1606" spans="8:8" x14ac:dyDescent="0.25">
      <c r="H1606" t="s">
        <v>2309</v>
      </c>
    </row>
    <row r="1607" spans="8:8" x14ac:dyDescent="0.25">
      <c r="H1607" t="s">
        <v>2118</v>
      </c>
    </row>
    <row r="1608" spans="8:8" x14ac:dyDescent="0.25">
      <c r="H1608" t="s">
        <v>2354</v>
      </c>
    </row>
    <row r="1609" spans="8:8" x14ac:dyDescent="0.25">
      <c r="H1609" t="s">
        <v>695</v>
      </c>
    </row>
    <row r="1610" spans="8:8" x14ac:dyDescent="0.25">
      <c r="H1610" t="s">
        <v>2119</v>
      </c>
    </row>
    <row r="1611" spans="8:8" x14ac:dyDescent="0.25">
      <c r="H1611" t="s">
        <v>2131</v>
      </c>
    </row>
    <row r="1612" spans="8:8" x14ac:dyDescent="0.25">
      <c r="H1612" t="s">
        <v>1861</v>
      </c>
    </row>
    <row r="1613" spans="8:8" x14ac:dyDescent="0.25">
      <c r="H1613" t="s">
        <v>3024</v>
      </c>
    </row>
    <row r="1614" spans="8:8" x14ac:dyDescent="0.25">
      <c r="H1614" t="s">
        <v>3385</v>
      </c>
    </row>
    <row r="1615" spans="8:8" x14ac:dyDescent="0.25">
      <c r="H1615" t="s">
        <v>4159</v>
      </c>
    </row>
    <row r="1616" spans="8:8" x14ac:dyDescent="0.25">
      <c r="H1616" t="s">
        <v>3232</v>
      </c>
    </row>
    <row r="1617" spans="8:8" x14ac:dyDescent="0.25">
      <c r="H1617" t="s">
        <v>3253</v>
      </c>
    </row>
    <row r="1618" spans="8:8" x14ac:dyDescent="0.25">
      <c r="H1618" t="s">
        <v>505</v>
      </c>
    </row>
    <row r="1619" spans="8:8" x14ac:dyDescent="0.25">
      <c r="H1619" t="s">
        <v>2938</v>
      </c>
    </row>
    <row r="1620" spans="8:8" x14ac:dyDescent="0.25">
      <c r="H1620" t="s">
        <v>3428</v>
      </c>
    </row>
    <row r="1621" spans="8:8" x14ac:dyDescent="0.25">
      <c r="H1621" t="s">
        <v>4089</v>
      </c>
    </row>
    <row r="1622" spans="8:8" x14ac:dyDescent="0.25">
      <c r="H1622" t="s">
        <v>506</v>
      </c>
    </row>
    <row r="1623" spans="8:8" x14ac:dyDescent="0.25">
      <c r="H1623" t="s">
        <v>2132</v>
      </c>
    </row>
    <row r="1624" spans="8:8" x14ac:dyDescent="0.25">
      <c r="H1624" t="s">
        <v>507</v>
      </c>
    </row>
    <row r="1625" spans="8:8" x14ac:dyDescent="0.25">
      <c r="H1625" t="s">
        <v>5258</v>
      </c>
    </row>
    <row r="1626" spans="8:8" x14ac:dyDescent="0.25">
      <c r="H1626" t="s">
        <v>2361</v>
      </c>
    </row>
    <row r="1627" spans="8:8" x14ac:dyDescent="0.25">
      <c r="H1627" t="s">
        <v>744</v>
      </c>
    </row>
    <row r="1628" spans="8:8" x14ac:dyDescent="0.25">
      <c r="H1628" t="s">
        <v>666</v>
      </c>
    </row>
    <row r="1629" spans="8:8" x14ac:dyDescent="0.25">
      <c r="H1629" t="s">
        <v>266</v>
      </c>
    </row>
    <row r="1630" spans="8:8" x14ac:dyDescent="0.25">
      <c r="H1630" t="s">
        <v>2078</v>
      </c>
    </row>
    <row r="1631" spans="8:8" x14ac:dyDescent="0.25">
      <c r="H1631" t="s">
        <v>1870</v>
      </c>
    </row>
    <row r="1632" spans="8:8" x14ac:dyDescent="0.25">
      <c r="H1632" t="s">
        <v>2566</v>
      </c>
    </row>
    <row r="1633" spans="8:8" x14ac:dyDescent="0.25">
      <c r="H1633" t="s">
        <v>2269</v>
      </c>
    </row>
    <row r="1634" spans="8:8" x14ac:dyDescent="0.25">
      <c r="H1634" t="s">
        <v>2325</v>
      </c>
    </row>
    <row r="1635" spans="8:8" x14ac:dyDescent="0.25">
      <c r="H1635" t="s">
        <v>3449</v>
      </c>
    </row>
    <row r="1636" spans="8:8" x14ac:dyDescent="0.25">
      <c r="H1636" t="s">
        <v>5431</v>
      </c>
    </row>
    <row r="1637" spans="8:8" x14ac:dyDescent="0.25">
      <c r="H1637" t="s">
        <v>2263</v>
      </c>
    </row>
    <row r="1638" spans="8:8" x14ac:dyDescent="0.25">
      <c r="H1638" t="s">
        <v>2263</v>
      </c>
    </row>
    <row r="1639" spans="8:8" x14ac:dyDescent="0.25">
      <c r="H1639" t="s">
        <v>1644</v>
      </c>
    </row>
    <row r="1640" spans="8:8" x14ac:dyDescent="0.25">
      <c r="H1640" t="s">
        <v>1282</v>
      </c>
    </row>
    <row r="1641" spans="8:8" x14ac:dyDescent="0.25">
      <c r="H1641" t="s">
        <v>2663</v>
      </c>
    </row>
    <row r="1642" spans="8:8" x14ac:dyDescent="0.25">
      <c r="H1642" t="s">
        <v>3038</v>
      </c>
    </row>
    <row r="1643" spans="8:8" x14ac:dyDescent="0.25">
      <c r="H1643" t="s">
        <v>1261</v>
      </c>
    </row>
    <row r="1644" spans="8:8" x14ac:dyDescent="0.25">
      <c r="H1644" t="s">
        <v>1831</v>
      </c>
    </row>
    <row r="1645" spans="8:8" x14ac:dyDescent="0.25">
      <c r="H1645" t="s">
        <v>1831</v>
      </c>
    </row>
    <row r="1646" spans="8:8" x14ac:dyDescent="0.25">
      <c r="H1646" t="s">
        <v>2151</v>
      </c>
    </row>
    <row r="1647" spans="8:8" x14ac:dyDescent="0.25">
      <c r="H1647" t="s">
        <v>2152</v>
      </c>
    </row>
    <row r="1648" spans="8:8" x14ac:dyDescent="0.25">
      <c r="H1648" t="s">
        <v>2153</v>
      </c>
    </row>
    <row r="1649" spans="8:8" x14ac:dyDescent="0.25">
      <c r="H1649" t="s">
        <v>3442</v>
      </c>
    </row>
    <row r="1650" spans="8:8" x14ac:dyDescent="0.25">
      <c r="H1650" t="s">
        <v>3610</v>
      </c>
    </row>
    <row r="1651" spans="8:8" x14ac:dyDescent="0.25">
      <c r="H1651" t="s">
        <v>4696</v>
      </c>
    </row>
    <row r="1652" spans="8:8" x14ac:dyDescent="0.25">
      <c r="H1652" t="s">
        <v>1683</v>
      </c>
    </row>
    <row r="1653" spans="8:8" x14ac:dyDescent="0.25">
      <c r="H1653" t="s">
        <v>2896</v>
      </c>
    </row>
    <row r="1654" spans="8:8" x14ac:dyDescent="0.25">
      <c r="H1654" t="s">
        <v>5162</v>
      </c>
    </row>
    <row r="1655" spans="8:8" x14ac:dyDescent="0.25">
      <c r="H1655" t="s">
        <v>3238</v>
      </c>
    </row>
    <row r="1656" spans="8:8" x14ac:dyDescent="0.25">
      <c r="H1656" t="s">
        <v>1702</v>
      </c>
    </row>
    <row r="1657" spans="8:8" x14ac:dyDescent="0.25">
      <c r="H1657" t="s">
        <v>5463</v>
      </c>
    </row>
    <row r="1658" spans="8:8" x14ac:dyDescent="0.25">
      <c r="H1658" t="s">
        <v>2679</v>
      </c>
    </row>
    <row r="1659" spans="8:8" x14ac:dyDescent="0.25">
      <c r="H1659" t="s">
        <v>3666</v>
      </c>
    </row>
    <row r="1660" spans="8:8" x14ac:dyDescent="0.25">
      <c r="H1660" t="s">
        <v>4627</v>
      </c>
    </row>
    <row r="1661" spans="8:8" x14ac:dyDescent="0.25">
      <c r="H1661" t="s">
        <v>5495</v>
      </c>
    </row>
    <row r="1662" spans="8:8" x14ac:dyDescent="0.25">
      <c r="H1662" t="s">
        <v>5021</v>
      </c>
    </row>
    <row r="1663" spans="8:8" x14ac:dyDescent="0.25">
      <c r="H1663" t="s">
        <v>5161</v>
      </c>
    </row>
    <row r="1664" spans="8:8" x14ac:dyDescent="0.25">
      <c r="H1664" t="s">
        <v>3147</v>
      </c>
    </row>
    <row r="1665" spans="8:8" x14ac:dyDescent="0.25">
      <c r="H1665" t="s">
        <v>3954</v>
      </c>
    </row>
    <row r="1666" spans="8:8" x14ac:dyDescent="0.25">
      <c r="H1666" t="s">
        <v>2439</v>
      </c>
    </row>
    <row r="1667" spans="8:8" x14ac:dyDescent="0.25">
      <c r="H1667" t="s">
        <v>2651</v>
      </c>
    </row>
    <row r="1668" spans="8:8" x14ac:dyDescent="0.25">
      <c r="H1668" t="s">
        <v>3184</v>
      </c>
    </row>
    <row r="1669" spans="8:8" x14ac:dyDescent="0.25">
      <c r="H1669" t="s">
        <v>3429</v>
      </c>
    </row>
    <row r="1670" spans="8:8" x14ac:dyDescent="0.25">
      <c r="H1670" t="s">
        <v>3606</v>
      </c>
    </row>
    <row r="1671" spans="8:8" x14ac:dyDescent="0.25">
      <c r="H1671" t="s">
        <v>4075</v>
      </c>
    </row>
    <row r="1672" spans="8:8" x14ac:dyDescent="0.25">
      <c r="H1672" t="s">
        <v>2806</v>
      </c>
    </row>
    <row r="1673" spans="8:8" x14ac:dyDescent="0.25">
      <c r="H1673" t="s">
        <v>4937</v>
      </c>
    </row>
    <row r="1674" spans="8:8" x14ac:dyDescent="0.25">
      <c r="H1674" t="s">
        <v>5036</v>
      </c>
    </row>
    <row r="1675" spans="8:8" x14ac:dyDescent="0.25">
      <c r="H1675" t="s">
        <v>5213</v>
      </c>
    </row>
    <row r="1676" spans="8:8" x14ac:dyDescent="0.25">
      <c r="H1676" t="s">
        <v>2815</v>
      </c>
    </row>
    <row r="1677" spans="8:8" x14ac:dyDescent="0.25">
      <c r="H1677" t="s">
        <v>2158</v>
      </c>
    </row>
    <row r="1678" spans="8:8" x14ac:dyDescent="0.25">
      <c r="H1678" t="s">
        <v>2159</v>
      </c>
    </row>
    <row r="1679" spans="8:8" x14ac:dyDescent="0.25">
      <c r="H1679" t="s">
        <v>2162</v>
      </c>
    </row>
    <row r="1680" spans="8:8" x14ac:dyDescent="0.25">
      <c r="H1680" t="s">
        <v>2163</v>
      </c>
    </row>
    <row r="1681" spans="8:8" x14ac:dyDescent="0.25">
      <c r="H1681" t="s">
        <v>1032</v>
      </c>
    </row>
    <row r="1682" spans="8:8" x14ac:dyDescent="0.25">
      <c r="H1682" t="s">
        <v>508</v>
      </c>
    </row>
    <row r="1683" spans="8:8" x14ac:dyDescent="0.25">
      <c r="H1683" t="s">
        <v>3720</v>
      </c>
    </row>
    <row r="1684" spans="8:8" x14ac:dyDescent="0.25">
      <c r="H1684" t="s">
        <v>5508</v>
      </c>
    </row>
    <row r="1685" spans="8:8" x14ac:dyDescent="0.25">
      <c r="H1685" t="s">
        <v>2168</v>
      </c>
    </row>
    <row r="1686" spans="8:8" x14ac:dyDescent="0.25">
      <c r="H1686" t="s">
        <v>2794</v>
      </c>
    </row>
    <row r="1687" spans="8:8" x14ac:dyDescent="0.25">
      <c r="H1687" t="s">
        <v>2170</v>
      </c>
    </row>
    <row r="1688" spans="8:8" x14ac:dyDescent="0.25">
      <c r="H1688" t="s">
        <v>5201</v>
      </c>
    </row>
    <row r="1689" spans="8:8" x14ac:dyDescent="0.25">
      <c r="H1689" t="s">
        <v>2326</v>
      </c>
    </row>
    <row r="1690" spans="8:8" x14ac:dyDescent="0.25">
      <c r="H1690" t="s">
        <v>4967</v>
      </c>
    </row>
    <row r="1691" spans="8:8" x14ac:dyDescent="0.25">
      <c r="H1691" t="s">
        <v>2177</v>
      </c>
    </row>
    <row r="1692" spans="8:8" x14ac:dyDescent="0.25">
      <c r="H1692" t="s">
        <v>3366</v>
      </c>
    </row>
    <row r="1693" spans="8:8" x14ac:dyDescent="0.25">
      <c r="H1693" t="s">
        <v>3221</v>
      </c>
    </row>
    <row r="1694" spans="8:8" x14ac:dyDescent="0.25">
      <c r="H1694" t="s">
        <v>5071</v>
      </c>
    </row>
    <row r="1695" spans="8:8" x14ac:dyDescent="0.25">
      <c r="H1695" t="s">
        <v>925</v>
      </c>
    </row>
    <row r="1696" spans="8:8" x14ac:dyDescent="0.25">
      <c r="H1696" t="s">
        <v>1522</v>
      </c>
    </row>
    <row r="1697" spans="8:8" x14ac:dyDescent="0.25">
      <c r="H1697" t="s">
        <v>1710</v>
      </c>
    </row>
    <row r="1698" spans="8:8" x14ac:dyDescent="0.25">
      <c r="H1698" t="s">
        <v>3520</v>
      </c>
    </row>
    <row r="1699" spans="8:8" x14ac:dyDescent="0.25">
      <c r="H1699" t="s">
        <v>4132</v>
      </c>
    </row>
    <row r="1700" spans="8:8" x14ac:dyDescent="0.25">
      <c r="H1700" t="s">
        <v>995</v>
      </c>
    </row>
    <row r="1701" spans="8:8" x14ac:dyDescent="0.25">
      <c r="H1701" t="s">
        <v>2817</v>
      </c>
    </row>
    <row r="1702" spans="8:8" x14ac:dyDescent="0.25">
      <c r="H1702" t="s">
        <v>4304</v>
      </c>
    </row>
    <row r="1703" spans="8:8" x14ac:dyDescent="0.25">
      <c r="H1703" t="s">
        <v>1472</v>
      </c>
    </row>
    <row r="1704" spans="8:8" x14ac:dyDescent="0.25">
      <c r="H1704" t="s">
        <v>2754</v>
      </c>
    </row>
    <row r="1705" spans="8:8" x14ac:dyDescent="0.25">
      <c r="H1705" t="s">
        <v>3486</v>
      </c>
    </row>
    <row r="1706" spans="8:8" x14ac:dyDescent="0.25">
      <c r="H1706" t="s">
        <v>3938</v>
      </c>
    </row>
    <row r="1707" spans="8:8" x14ac:dyDescent="0.25">
      <c r="H1707" t="s">
        <v>3993</v>
      </c>
    </row>
    <row r="1708" spans="8:8" x14ac:dyDescent="0.25">
      <c r="H1708" t="s">
        <v>3367</v>
      </c>
    </row>
    <row r="1709" spans="8:8" x14ac:dyDescent="0.25">
      <c r="H1709" t="s">
        <v>4248</v>
      </c>
    </row>
    <row r="1710" spans="8:8" x14ac:dyDescent="0.25">
      <c r="H1710" t="s">
        <v>4249</v>
      </c>
    </row>
    <row r="1711" spans="8:8" x14ac:dyDescent="0.25">
      <c r="H1711" t="s">
        <v>4252</v>
      </c>
    </row>
    <row r="1712" spans="8:8" x14ac:dyDescent="0.25">
      <c r="H1712" t="s">
        <v>4674</v>
      </c>
    </row>
    <row r="1713" spans="8:8" x14ac:dyDescent="0.25">
      <c r="H1713" t="s">
        <v>4675</v>
      </c>
    </row>
    <row r="1714" spans="8:8" x14ac:dyDescent="0.25">
      <c r="H1714" t="s">
        <v>2178</v>
      </c>
    </row>
    <row r="1715" spans="8:8" x14ac:dyDescent="0.25">
      <c r="H1715" t="s">
        <v>2249</v>
      </c>
    </row>
    <row r="1716" spans="8:8" x14ac:dyDescent="0.25">
      <c r="H1716" t="s">
        <v>2180</v>
      </c>
    </row>
    <row r="1717" spans="8:8" x14ac:dyDescent="0.25">
      <c r="H1717" t="s">
        <v>2179</v>
      </c>
    </row>
    <row r="1718" spans="8:8" x14ac:dyDescent="0.25">
      <c r="H1718" t="s">
        <v>4972</v>
      </c>
    </row>
    <row r="1719" spans="8:8" x14ac:dyDescent="0.25">
      <c r="H1719" t="s">
        <v>5085</v>
      </c>
    </row>
    <row r="1720" spans="8:8" x14ac:dyDescent="0.25">
      <c r="H1720" t="s">
        <v>2205</v>
      </c>
    </row>
    <row r="1721" spans="8:8" x14ac:dyDescent="0.25">
      <c r="H1721" t="s">
        <v>2270</v>
      </c>
    </row>
    <row r="1722" spans="8:8" x14ac:dyDescent="0.25">
      <c r="H1722" t="s">
        <v>2134</v>
      </c>
    </row>
    <row r="1723" spans="8:8" x14ac:dyDescent="0.25">
      <c r="H1723" t="s">
        <v>2184</v>
      </c>
    </row>
    <row r="1724" spans="8:8" x14ac:dyDescent="0.25">
      <c r="H1724" t="s">
        <v>1874</v>
      </c>
    </row>
    <row r="1725" spans="8:8" x14ac:dyDescent="0.25">
      <c r="H1725" t="s">
        <v>5313</v>
      </c>
    </row>
    <row r="1726" spans="8:8" x14ac:dyDescent="0.25">
      <c r="H1726" t="s">
        <v>5313</v>
      </c>
    </row>
    <row r="1727" spans="8:8" x14ac:dyDescent="0.25">
      <c r="H1727" t="s">
        <v>3065</v>
      </c>
    </row>
    <row r="1728" spans="8:8" x14ac:dyDescent="0.25">
      <c r="H1728" t="s">
        <v>3039</v>
      </c>
    </row>
    <row r="1729" spans="8:8" x14ac:dyDescent="0.25">
      <c r="H1729" t="s">
        <v>1085</v>
      </c>
    </row>
    <row r="1730" spans="8:8" x14ac:dyDescent="0.25">
      <c r="H1730" t="s">
        <v>2748</v>
      </c>
    </row>
    <row r="1731" spans="8:8" x14ac:dyDescent="0.25">
      <c r="H1731" t="s">
        <v>1488</v>
      </c>
    </row>
    <row r="1732" spans="8:8" x14ac:dyDescent="0.25">
      <c r="H1732" t="s">
        <v>2188</v>
      </c>
    </row>
    <row r="1733" spans="8:8" x14ac:dyDescent="0.25">
      <c r="H1733" t="s">
        <v>628</v>
      </c>
    </row>
    <row r="1734" spans="8:8" x14ac:dyDescent="0.25">
      <c r="H1734" t="s">
        <v>2189</v>
      </c>
    </row>
    <row r="1735" spans="8:8" x14ac:dyDescent="0.25">
      <c r="H1735" t="s">
        <v>2194</v>
      </c>
    </row>
    <row r="1736" spans="8:8" x14ac:dyDescent="0.25">
      <c r="H1736" t="s">
        <v>2206</v>
      </c>
    </row>
    <row r="1737" spans="8:8" x14ac:dyDescent="0.25">
      <c r="H1737" t="s">
        <v>2209</v>
      </c>
    </row>
    <row r="1738" spans="8:8" x14ac:dyDescent="0.25">
      <c r="H1738" t="s">
        <v>2224</v>
      </c>
    </row>
    <row r="1739" spans="8:8" x14ac:dyDescent="0.25">
      <c r="H1739" t="s">
        <v>3776</v>
      </c>
    </row>
    <row r="1740" spans="8:8" x14ac:dyDescent="0.25">
      <c r="H1740" t="s">
        <v>5137</v>
      </c>
    </row>
    <row r="1741" spans="8:8" x14ac:dyDescent="0.25">
      <c r="H1741" t="s">
        <v>3250</v>
      </c>
    </row>
    <row r="1742" spans="8:8" x14ac:dyDescent="0.25">
      <c r="H1742" t="s">
        <v>5096</v>
      </c>
    </row>
    <row r="1743" spans="8:8" x14ac:dyDescent="0.25">
      <c r="H1743" t="s">
        <v>2216</v>
      </c>
    </row>
    <row r="1744" spans="8:8" x14ac:dyDescent="0.25">
      <c r="H1744" t="s">
        <v>2217</v>
      </c>
    </row>
    <row r="1745" spans="8:8" x14ac:dyDescent="0.25">
      <c r="H1745" t="s">
        <v>2218</v>
      </c>
    </row>
    <row r="1746" spans="8:8" x14ac:dyDescent="0.25">
      <c r="H1746" t="s">
        <v>2219</v>
      </c>
    </row>
    <row r="1747" spans="8:8" x14ac:dyDescent="0.25">
      <c r="H1747" t="s">
        <v>2220</v>
      </c>
    </row>
    <row r="1748" spans="8:8" x14ac:dyDescent="0.25">
      <c r="H1748" t="s">
        <v>2221</v>
      </c>
    </row>
    <row r="1749" spans="8:8" x14ac:dyDescent="0.25">
      <c r="H1749" t="s">
        <v>2222</v>
      </c>
    </row>
    <row r="1750" spans="8:8" x14ac:dyDescent="0.25">
      <c r="H1750" t="s">
        <v>2223</v>
      </c>
    </row>
    <row r="1751" spans="8:8" x14ac:dyDescent="0.25">
      <c r="H1751" t="s">
        <v>268</v>
      </c>
    </row>
    <row r="1752" spans="8:8" x14ac:dyDescent="0.25">
      <c r="H1752" t="s">
        <v>3348</v>
      </c>
    </row>
    <row r="1753" spans="8:8" x14ac:dyDescent="0.25">
      <c r="H1753" t="s">
        <v>3348</v>
      </c>
    </row>
    <row r="1754" spans="8:8" x14ac:dyDescent="0.25">
      <c r="H1754" t="s">
        <v>4621</v>
      </c>
    </row>
    <row r="1755" spans="8:8" x14ac:dyDescent="0.25">
      <c r="H1755" t="s">
        <v>2493</v>
      </c>
    </row>
    <row r="1756" spans="8:8" x14ac:dyDescent="0.25">
      <c r="H1756" t="s">
        <v>2503</v>
      </c>
    </row>
    <row r="1757" spans="8:8" x14ac:dyDescent="0.25">
      <c r="H1757" t="s">
        <v>3122</v>
      </c>
    </row>
    <row r="1758" spans="8:8" x14ac:dyDescent="0.25">
      <c r="H1758" t="s">
        <v>4588</v>
      </c>
    </row>
    <row r="1759" spans="8:8" x14ac:dyDescent="0.25">
      <c r="H1759" t="s">
        <v>4485</v>
      </c>
    </row>
    <row r="1760" spans="8:8" x14ac:dyDescent="0.25">
      <c r="H1760" t="s">
        <v>4417</v>
      </c>
    </row>
    <row r="1761" spans="8:8" x14ac:dyDescent="0.25">
      <c r="H1761" t="s">
        <v>4109</v>
      </c>
    </row>
    <row r="1762" spans="8:8" x14ac:dyDescent="0.25">
      <c r="H1762" t="s">
        <v>4566</v>
      </c>
    </row>
    <row r="1763" spans="8:8" x14ac:dyDescent="0.25">
      <c r="H1763" t="s">
        <v>5327</v>
      </c>
    </row>
    <row r="1764" spans="8:8" x14ac:dyDescent="0.25">
      <c r="H1764" t="s">
        <v>4662</v>
      </c>
    </row>
    <row r="1765" spans="8:8" x14ac:dyDescent="0.25">
      <c r="H1765" t="s">
        <v>2021</v>
      </c>
    </row>
    <row r="1766" spans="8:8" x14ac:dyDescent="0.25">
      <c r="H1766" t="s">
        <v>2226</v>
      </c>
    </row>
    <row r="1767" spans="8:8" x14ac:dyDescent="0.25">
      <c r="H1767" t="s">
        <v>3915</v>
      </c>
    </row>
    <row r="1768" spans="8:8" x14ac:dyDescent="0.25">
      <c r="H1768" t="s">
        <v>1495</v>
      </c>
    </row>
    <row r="1769" spans="8:8" x14ac:dyDescent="0.25">
      <c r="H1769" t="s">
        <v>2713</v>
      </c>
    </row>
    <row r="1770" spans="8:8" x14ac:dyDescent="0.25">
      <c r="H1770" t="s">
        <v>5127</v>
      </c>
    </row>
    <row r="1771" spans="8:8" x14ac:dyDescent="0.25">
      <c r="H1771" t="s">
        <v>4591</v>
      </c>
    </row>
    <row r="1772" spans="8:8" x14ac:dyDescent="0.25">
      <c r="H1772" t="s">
        <v>2228</v>
      </c>
    </row>
    <row r="1773" spans="8:8" x14ac:dyDescent="0.25">
      <c r="H1773" t="s">
        <v>2227</v>
      </c>
    </row>
    <row r="1774" spans="8:8" x14ac:dyDescent="0.25">
      <c r="H1774" t="s">
        <v>1047</v>
      </c>
    </row>
    <row r="1775" spans="8:8" x14ac:dyDescent="0.25">
      <c r="H1775" t="s">
        <v>2234</v>
      </c>
    </row>
    <row r="1776" spans="8:8" x14ac:dyDescent="0.25">
      <c r="H1776" t="s">
        <v>4824</v>
      </c>
    </row>
    <row r="1777" spans="8:8" x14ac:dyDescent="0.25">
      <c r="H1777" t="s">
        <v>4021</v>
      </c>
    </row>
    <row r="1778" spans="8:8" x14ac:dyDescent="0.25">
      <c r="H1778" t="s">
        <v>4110</v>
      </c>
    </row>
    <row r="1779" spans="8:8" x14ac:dyDescent="0.25">
      <c r="H1779" t="s">
        <v>5338</v>
      </c>
    </row>
    <row r="1780" spans="8:8" x14ac:dyDescent="0.25">
      <c r="H1780" t="s">
        <v>5118</v>
      </c>
    </row>
    <row r="1781" spans="8:8" x14ac:dyDescent="0.25">
      <c r="H1781" t="s">
        <v>3723</v>
      </c>
    </row>
    <row r="1782" spans="8:8" x14ac:dyDescent="0.25">
      <c r="H1782" t="s">
        <v>4315</v>
      </c>
    </row>
    <row r="1783" spans="8:8" x14ac:dyDescent="0.25">
      <c r="H1783" t="s">
        <v>2171</v>
      </c>
    </row>
    <row r="1784" spans="8:8" x14ac:dyDescent="0.25">
      <c r="H1784" t="s">
        <v>3600</v>
      </c>
    </row>
    <row r="1785" spans="8:8" x14ac:dyDescent="0.25">
      <c r="H1785" t="s">
        <v>3041</v>
      </c>
    </row>
    <row r="1786" spans="8:8" x14ac:dyDescent="0.25">
      <c r="H1786" t="s">
        <v>2247</v>
      </c>
    </row>
    <row r="1787" spans="8:8" x14ac:dyDescent="0.25">
      <c r="H1787" t="s">
        <v>4994</v>
      </c>
    </row>
    <row r="1788" spans="8:8" x14ac:dyDescent="0.25">
      <c r="H1788" t="s">
        <v>4073</v>
      </c>
    </row>
    <row r="1789" spans="8:8" x14ac:dyDescent="0.25">
      <c r="H1789" t="s">
        <v>2250</v>
      </c>
    </row>
    <row r="1790" spans="8:8" x14ac:dyDescent="0.25">
      <c r="H1790" t="s">
        <v>2251</v>
      </c>
    </row>
    <row r="1791" spans="8:8" x14ac:dyDescent="0.25">
      <c r="H1791" t="s">
        <v>2252</v>
      </c>
    </row>
    <row r="1792" spans="8:8" x14ac:dyDescent="0.25">
      <c r="H1792" t="s">
        <v>5121</v>
      </c>
    </row>
    <row r="1793" spans="8:8" x14ac:dyDescent="0.25">
      <c r="H1793" t="s">
        <v>2416</v>
      </c>
    </row>
    <row r="1794" spans="8:8" x14ac:dyDescent="0.25">
      <c r="H1794" t="s">
        <v>3093</v>
      </c>
    </row>
    <row r="1795" spans="8:8" x14ac:dyDescent="0.25">
      <c r="H1795" t="s">
        <v>2253</v>
      </c>
    </row>
    <row r="1796" spans="8:8" x14ac:dyDescent="0.25">
      <c r="H1796" t="s">
        <v>2260</v>
      </c>
    </row>
    <row r="1797" spans="8:8" x14ac:dyDescent="0.25">
      <c r="H1797" t="s">
        <v>1850</v>
      </c>
    </row>
    <row r="1798" spans="8:8" x14ac:dyDescent="0.25">
      <c r="H1798" t="s">
        <v>270</v>
      </c>
    </row>
    <row r="1799" spans="8:8" x14ac:dyDescent="0.25">
      <c r="H1799" t="s">
        <v>1670</v>
      </c>
    </row>
    <row r="1800" spans="8:8" x14ac:dyDescent="0.25">
      <c r="H1800" t="s">
        <v>3832</v>
      </c>
    </row>
    <row r="1801" spans="8:8" x14ac:dyDescent="0.25">
      <c r="H1801" t="s">
        <v>1804</v>
      </c>
    </row>
    <row r="1802" spans="8:8" x14ac:dyDescent="0.25">
      <c r="H1802" t="s">
        <v>5233</v>
      </c>
    </row>
    <row r="1803" spans="8:8" x14ac:dyDescent="0.25">
      <c r="H1803" t="s">
        <v>2201</v>
      </c>
    </row>
    <row r="1804" spans="8:8" x14ac:dyDescent="0.25">
      <c r="H1804" t="s">
        <v>5486</v>
      </c>
    </row>
    <row r="1805" spans="8:8" x14ac:dyDescent="0.25">
      <c r="H1805" t="s">
        <v>2773</v>
      </c>
    </row>
    <row r="1806" spans="8:8" x14ac:dyDescent="0.25">
      <c r="H1806" t="s">
        <v>5446</v>
      </c>
    </row>
    <row r="1807" spans="8:8" x14ac:dyDescent="0.25">
      <c r="H1807" t="s">
        <v>2972</v>
      </c>
    </row>
    <row r="1808" spans="8:8" x14ac:dyDescent="0.25">
      <c r="H1808" t="s">
        <v>991</v>
      </c>
    </row>
    <row r="1809" spans="8:8" x14ac:dyDescent="0.25">
      <c r="H1809" t="s">
        <v>5066</v>
      </c>
    </row>
    <row r="1810" spans="8:8" x14ac:dyDescent="0.25">
      <c r="H1810" t="s">
        <v>3742</v>
      </c>
    </row>
    <row r="1811" spans="8:8" x14ac:dyDescent="0.25">
      <c r="H1811" t="s">
        <v>3768</v>
      </c>
    </row>
    <row r="1812" spans="8:8" x14ac:dyDescent="0.25">
      <c r="H1812" t="s">
        <v>4806</v>
      </c>
    </row>
    <row r="1813" spans="8:8" x14ac:dyDescent="0.25">
      <c r="H1813" t="s">
        <v>5058</v>
      </c>
    </row>
    <row r="1814" spans="8:8" x14ac:dyDescent="0.25">
      <c r="H1814" t="s">
        <v>1441</v>
      </c>
    </row>
    <row r="1815" spans="8:8" x14ac:dyDescent="0.25">
      <c r="H1815" t="s">
        <v>5330</v>
      </c>
    </row>
    <row r="1816" spans="8:8" x14ac:dyDescent="0.25">
      <c r="H1816" t="s">
        <v>1774</v>
      </c>
    </row>
    <row r="1817" spans="8:8" x14ac:dyDescent="0.25">
      <c r="H1817" t="s">
        <v>2527</v>
      </c>
    </row>
    <row r="1818" spans="8:8" x14ac:dyDescent="0.25">
      <c r="H1818" t="s">
        <v>797</v>
      </c>
    </row>
    <row r="1819" spans="8:8" x14ac:dyDescent="0.25">
      <c r="H1819" t="s">
        <v>1226</v>
      </c>
    </row>
    <row r="1820" spans="8:8" x14ac:dyDescent="0.25">
      <c r="H1820" t="s">
        <v>3100</v>
      </c>
    </row>
    <row r="1821" spans="8:8" x14ac:dyDescent="0.25">
      <c r="H1821" t="s">
        <v>799</v>
      </c>
    </row>
    <row r="1822" spans="8:8" x14ac:dyDescent="0.25">
      <c r="H1822" t="s">
        <v>800</v>
      </c>
    </row>
    <row r="1823" spans="8:8" x14ac:dyDescent="0.25">
      <c r="H1823" t="s">
        <v>2819</v>
      </c>
    </row>
    <row r="1824" spans="8:8" x14ac:dyDescent="0.25">
      <c r="H1824" t="s">
        <v>2324</v>
      </c>
    </row>
    <row r="1825" spans="8:8" x14ac:dyDescent="0.25">
      <c r="H1825" t="s">
        <v>4963</v>
      </c>
    </row>
    <row r="1826" spans="8:8" x14ac:dyDescent="0.25">
      <c r="H1826" t="s">
        <v>876</v>
      </c>
    </row>
    <row r="1827" spans="8:8" x14ac:dyDescent="0.25">
      <c r="H1827" t="s">
        <v>877</v>
      </c>
    </row>
    <row r="1828" spans="8:8" x14ac:dyDescent="0.25">
      <c r="H1828" t="s">
        <v>4742</v>
      </c>
    </row>
    <row r="1829" spans="8:8" x14ac:dyDescent="0.25">
      <c r="H1829" t="s">
        <v>4400</v>
      </c>
    </row>
    <row r="1830" spans="8:8" x14ac:dyDescent="0.25">
      <c r="H1830" t="s">
        <v>1613</v>
      </c>
    </row>
    <row r="1831" spans="8:8" x14ac:dyDescent="0.25">
      <c r="H1831" t="s">
        <v>2293</v>
      </c>
    </row>
    <row r="1832" spans="8:8" x14ac:dyDescent="0.25">
      <c r="H1832" t="s">
        <v>4538</v>
      </c>
    </row>
    <row r="1833" spans="8:8" x14ac:dyDescent="0.25">
      <c r="H1833" t="s">
        <v>5000</v>
      </c>
    </row>
    <row r="1834" spans="8:8" x14ac:dyDescent="0.25">
      <c r="H1834" t="s">
        <v>2419</v>
      </c>
    </row>
    <row r="1835" spans="8:8" x14ac:dyDescent="0.25">
      <c r="H1835" t="s">
        <v>1404</v>
      </c>
    </row>
    <row r="1836" spans="8:8" x14ac:dyDescent="0.25">
      <c r="H1836" t="s">
        <v>4190</v>
      </c>
    </row>
    <row r="1837" spans="8:8" x14ac:dyDescent="0.25">
      <c r="H1837" t="s">
        <v>4569</v>
      </c>
    </row>
    <row r="1838" spans="8:8" x14ac:dyDescent="0.25">
      <c r="H1838" t="s">
        <v>4600</v>
      </c>
    </row>
    <row r="1839" spans="8:8" x14ac:dyDescent="0.25">
      <c r="H1839" t="s">
        <v>2895</v>
      </c>
    </row>
    <row r="1840" spans="8:8" x14ac:dyDescent="0.25">
      <c r="H1840" t="s">
        <v>5228</v>
      </c>
    </row>
    <row r="1841" spans="8:8" x14ac:dyDescent="0.25">
      <c r="H1841" t="s">
        <v>3890</v>
      </c>
    </row>
    <row r="1842" spans="8:8" x14ac:dyDescent="0.25">
      <c r="H1842" t="s">
        <v>973</v>
      </c>
    </row>
    <row r="1843" spans="8:8" x14ac:dyDescent="0.25">
      <c r="H1843" t="s">
        <v>5386</v>
      </c>
    </row>
    <row r="1844" spans="8:8" x14ac:dyDescent="0.25">
      <c r="H1844" t="s">
        <v>3193</v>
      </c>
    </row>
    <row r="1845" spans="8:8" x14ac:dyDescent="0.25">
      <c r="H1845" t="s">
        <v>660</v>
      </c>
    </row>
    <row r="1846" spans="8:8" x14ac:dyDescent="0.25">
      <c r="H1846" t="s">
        <v>2846</v>
      </c>
    </row>
    <row r="1847" spans="8:8" x14ac:dyDescent="0.25">
      <c r="H1847" t="s">
        <v>5192</v>
      </c>
    </row>
    <row r="1848" spans="8:8" x14ac:dyDescent="0.25">
      <c r="H1848" t="s">
        <v>1936</v>
      </c>
    </row>
    <row r="1849" spans="8:8" x14ac:dyDescent="0.25">
      <c r="H1849" t="s">
        <v>1797</v>
      </c>
    </row>
    <row r="1850" spans="8:8" x14ac:dyDescent="0.25">
      <c r="H1850" t="s">
        <v>3919</v>
      </c>
    </row>
    <row r="1851" spans="8:8" x14ac:dyDescent="0.25">
      <c r="H1851" t="s">
        <v>4422</v>
      </c>
    </row>
    <row r="1852" spans="8:8" x14ac:dyDescent="0.25">
      <c r="H1852" t="s">
        <v>4280</v>
      </c>
    </row>
    <row r="1853" spans="8:8" x14ac:dyDescent="0.25">
      <c r="H1853" t="s">
        <v>5139</v>
      </c>
    </row>
    <row r="1854" spans="8:8" x14ac:dyDescent="0.25">
      <c r="H1854" t="s">
        <v>2327</v>
      </c>
    </row>
    <row r="1855" spans="8:8" x14ac:dyDescent="0.25">
      <c r="H1855" t="s">
        <v>2376</v>
      </c>
    </row>
    <row r="1856" spans="8:8" x14ac:dyDescent="0.25">
      <c r="H1856" t="s">
        <v>4892</v>
      </c>
    </row>
    <row r="1857" spans="8:8" x14ac:dyDescent="0.25">
      <c r="H1857" t="s">
        <v>4500</v>
      </c>
    </row>
    <row r="1858" spans="8:8" x14ac:dyDescent="0.25">
      <c r="H1858" t="s">
        <v>2427</v>
      </c>
    </row>
    <row r="1859" spans="8:8" x14ac:dyDescent="0.25">
      <c r="H1859" t="s">
        <v>609</v>
      </c>
    </row>
    <row r="1860" spans="8:8" x14ac:dyDescent="0.25">
      <c r="H1860" t="s">
        <v>1684</v>
      </c>
    </row>
    <row r="1861" spans="8:8" x14ac:dyDescent="0.25">
      <c r="H1861" t="s">
        <v>2248</v>
      </c>
    </row>
    <row r="1862" spans="8:8" x14ac:dyDescent="0.25">
      <c r="H1862" t="s">
        <v>497</v>
      </c>
    </row>
    <row r="1863" spans="8:8" x14ac:dyDescent="0.25">
      <c r="H1863" t="s">
        <v>3032</v>
      </c>
    </row>
    <row r="1864" spans="8:8" x14ac:dyDescent="0.25">
      <c r="H1864" t="s">
        <v>527</v>
      </c>
    </row>
    <row r="1865" spans="8:8" x14ac:dyDescent="0.25">
      <c r="H1865" t="s">
        <v>2428</v>
      </c>
    </row>
    <row r="1866" spans="8:8" x14ac:dyDescent="0.25">
      <c r="H1866" t="s">
        <v>1119</v>
      </c>
    </row>
    <row r="1867" spans="8:8" x14ac:dyDescent="0.25">
      <c r="H1867" t="s">
        <v>4564</v>
      </c>
    </row>
    <row r="1868" spans="8:8" x14ac:dyDescent="0.25">
      <c r="H1868" t="s">
        <v>1107</v>
      </c>
    </row>
    <row r="1869" spans="8:8" x14ac:dyDescent="0.25">
      <c r="H1869" t="s">
        <v>2429</v>
      </c>
    </row>
    <row r="1870" spans="8:8" x14ac:dyDescent="0.25">
      <c r="H1870" t="s">
        <v>2430</v>
      </c>
    </row>
    <row r="1871" spans="8:8" x14ac:dyDescent="0.25">
      <c r="H1871" t="s">
        <v>4861</v>
      </c>
    </row>
    <row r="1872" spans="8:8" x14ac:dyDescent="0.25">
      <c r="H1872" t="s">
        <v>4287</v>
      </c>
    </row>
    <row r="1873" spans="8:8" x14ac:dyDescent="0.25">
      <c r="H1873" t="s">
        <v>1086</v>
      </c>
    </row>
    <row r="1874" spans="8:8" x14ac:dyDescent="0.25">
      <c r="H1874" t="s">
        <v>5197</v>
      </c>
    </row>
    <row r="1875" spans="8:8" x14ac:dyDescent="0.25">
      <c r="H1875" t="s">
        <v>5419</v>
      </c>
    </row>
    <row r="1876" spans="8:8" x14ac:dyDescent="0.25">
      <c r="H1876" t="s">
        <v>5376</v>
      </c>
    </row>
    <row r="1877" spans="8:8" x14ac:dyDescent="0.25">
      <c r="H1877" t="s">
        <v>2740</v>
      </c>
    </row>
    <row r="1878" spans="8:8" x14ac:dyDescent="0.25">
      <c r="H1878" t="s">
        <v>801</v>
      </c>
    </row>
    <row r="1879" spans="8:8" x14ac:dyDescent="0.25">
      <c r="H1879" t="s">
        <v>4014</v>
      </c>
    </row>
    <row r="1880" spans="8:8" x14ac:dyDescent="0.25">
      <c r="H1880" t="s">
        <v>945</v>
      </c>
    </row>
    <row r="1881" spans="8:8" x14ac:dyDescent="0.25">
      <c r="H1881" t="s">
        <v>945</v>
      </c>
    </row>
    <row r="1882" spans="8:8" x14ac:dyDescent="0.25">
      <c r="H1882" t="s">
        <v>2431</v>
      </c>
    </row>
    <row r="1883" spans="8:8" x14ac:dyDescent="0.25">
      <c r="H1883" t="s">
        <v>4415</v>
      </c>
    </row>
    <row r="1884" spans="8:8" x14ac:dyDescent="0.25">
      <c r="H1884" t="s">
        <v>2123</v>
      </c>
    </row>
    <row r="1885" spans="8:8" x14ac:dyDescent="0.25">
      <c r="H1885" t="s">
        <v>2123</v>
      </c>
    </row>
    <row r="1886" spans="8:8" x14ac:dyDescent="0.25">
      <c r="H1886" t="s">
        <v>1254</v>
      </c>
    </row>
    <row r="1887" spans="8:8" x14ac:dyDescent="0.25">
      <c r="H1887" t="s">
        <v>2432</v>
      </c>
    </row>
    <row r="1888" spans="8:8" x14ac:dyDescent="0.25">
      <c r="H1888" t="s">
        <v>1888</v>
      </c>
    </row>
    <row r="1889" spans="8:8" x14ac:dyDescent="0.25">
      <c r="H1889" t="s">
        <v>662</v>
      </c>
    </row>
    <row r="1890" spans="8:8" x14ac:dyDescent="0.25">
      <c r="H1890" t="s">
        <v>1862</v>
      </c>
    </row>
    <row r="1891" spans="8:8" x14ac:dyDescent="0.25">
      <c r="H1891" t="s">
        <v>4128</v>
      </c>
    </row>
    <row r="1892" spans="8:8" x14ac:dyDescent="0.25">
      <c r="H1892" t="s">
        <v>1304</v>
      </c>
    </row>
    <row r="1893" spans="8:8" x14ac:dyDescent="0.25">
      <c r="H1893" t="s">
        <v>4048</v>
      </c>
    </row>
    <row r="1894" spans="8:8" x14ac:dyDescent="0.25">
      <c r="H1894" t="s">
        <v>2214</v>
      </c>
    </row>
    <row r="1895" spans="8:8" x14ac:dyDescent="0.25">
      <c r="H1895" t="s">
        <v>3043</v>
      </c>
    </row>
    <row r="1896" spans="8:8" x14ac:dyDescent="0.25">
      <c r="H1896" t="s">
        <v>4557</v>
      </c>
    </row>
    <row r="1897" spans="8:8" x14ac:dyDescent="0.25">
      <c r="H1897" t="s">
        <v>1319</v>
      </c>
    </row>
    <row r="1898" spans="8:8" x14ac:dyDescent="0.25">
      <c r="H1898" t="s">
        <v>1320</v>
      </c>
    </row>
    <row r="1899" spans="8:8" x14ac:dyDescent="0.25">
      <c r="H1899" t="s">
        <v>5083</v>
      </c>
    </row>
    <row r="1900" spans="8:8" x14ac:dyDescent="0.25">
      <c r="H1900" t="s">
        <v>1326</v>
      </c>
    </row>
    <row r="1901" spans="8:8" x14ac:dyDescent="0.25">
      <c r="H1901" t="s">
        <v>2434</v>
      </c>
    </row>
    <row r="1902" spans="8:8" x14ac:dyDescent="0.25">
      <c r="H1902" t="s">
        <v>2435</v>
      </c>
    </row>
    <row r="1903" spans="8:8" x14ac:dyDescent="0.25">
      <c r="H1903" t="s">
        <v>1685</v>
      </c>
    </row>
    <row r="1904" spans="8:8" x14ac:dyDescent="0.25">
      <c r="H1904" t="s">
        <v>4772</v>
      </c>
    </row>
    <row r="1905" spans="8:8" x14ac:dyDescent="0.25">
      <c r="H1905" t="s">
        <v>5484</v>
      </c>
    </row>
    <row r="1906" spans="8:8" x14ac:dyDescent="0.25">
      <c r="H1906" t="s">
        <v>5395</v>
      </c>
    </row>
    <row r="1907" spans="8:8" x14ac:dyDescent="0.25">
      <c r="H1907" t="s">
        <v>5294</v>
      </c>
    </row>
    <row r="1908" spans="8:8" x14ac:dyDescent="0.25">
      <c r="H1908" t="s">
        <v>3607</v>
      </c>
    </row>
    <row r="1909" spans="8:8" x14ac:dyDescent="0.25">
      <c r="H1909" t="s">
        <v>4837</v>
      </c>
    </row>
    <row r="1910" spans="8:8" x14ac:dyDescent="0.25">
      <c r="H1910" t="s">
        <v>4360</v>
      </c>
    </row>
    <row r="1911" spans="8:8" x14ac:dyDescent="0.25">
      <c r="H1911" t="s">
        <v>3653</v>
      </c>
    </row>
    <row r="1912" spans="8:8" x14ac:dyDescent="0.25">
      <c r="H1912" t="s">
        <v>532</v>
      </c>
    </row>
    <row r="1913" spans="8:8" x14ac:dyDescent="0.25">
      <c r="H1913" t="s">
        <v>828</v>
      </c>
    </row>
    <row r="1914" spans="8:8" x14ac:dyDescent="0.25">
      <c r="H1914" t="s">
        <v>828</v>
      </c>
    </row>
    <row r="1915" spans="8:8" x14ac:dyDescent="0.25">
      <c r="H1915" t="s">
        <v>4237</v>
      </c>
    </row>
    <row r="1916" spans="8:8" x14ac:dyDescent="0.25">
      <c r="H1916" t="s">
        <v>4523</v>
      </c>
    </row>
    <row r="1917" spans="8:8" x14ac:dyDescent="0.25">
      <c r="H1917" t="s">
        <v>2821</v>
      </c>
    </row>
    <row r="1918" spans="8:8" x14ac:dyDescent="0.25">
      <c r="H1918" t="s">
        <v>3351</v>
      </c>
    </row>
    <row r="1919" spans="8:8" x14ac:dyDescent="0.25">
      <c r="H1919" t="s">
        <v>5216</v>
      </c>
    </row>
    <row r="1920" spans="8:8" x14ac:dyDescent="0.25">
      <c r="H1920" t="s">
        <v>4848</v>
      </c>
    </row>
    <row r="1921" spans="8:8" x14ac:dyDescent="0.25">
      <c r="H1921" t="s">
        <v>486</v>
      </c>
    </row>
    <row r="1922" spans="8:8" x14ac:dyDescent="0.25">
      <c r="H1922" t="s">
        <v>2254</v>
      </c>
    </row>
    <row r="1923" spans="8:8" x14ac:dyDescent="0.25">
      <c r="H1923" t="s">
        <v>4901</v>
      </c>
    </row>
    <row r="1924" spans="8:8" x14ac:dyDescent="0.25">
      <c r="H1924" t="s">
        <v>5385</v>
      </c>
    </row>
    <row r="1925" spans="8:8" x14ac:dyDescent="0.25">
      <c r="H1925" t="s">
        <v>5251</v>
      </c>
    </row>
    <row r="1926" spans="8:8" x14ac:dyDescent="0.25">
      <c r="H1926" t="s">
        <v>597</v>
      </c>
    </row>
    <row r="1927" spans="8:8" x14ac:dyDescent="0.25">
      <c r="H1927" t="s">
        <v>2497</v>
      </c>
    </row>
    <row r="1928" spans="8:8" x14ac:dyDescent="0.25">
      <c r="H1928" t="s">
        <v>2480</v>
      </c>
    </row>
    <row r="1929" spans="8:8" x14ac:dyDescent="0.25">
      <c r="H1929" t="s">
        <v>2257</v>
      </c>
    </row>
    <row r="1930" spans="8:8" x14ac:dyDescent="0.25">
      <c r="H1930" t="s">
        <v>3534</v>
      </c>
    </row>
    <row r="1931" spans="8:8" x14ac:dyDescent="0.25">
      <c r="H1931" t="s">
        <v>4239</v>
      </c>
    </row>
    <row r="1932" spans="8:8" x14ac:dyDescent="0.25">
      <c r="H1932" t="s">
        <v>4341</v>
      </c>
    </row>
    <row r="1933" spans="8:8" x14ac:dyDescent="0.25">
      <c r="H1933" t="s">
        <v>487</v>
      </c>
    </row>
    <row r="1934" spans="8:8" x14ac:dyDescent="0.25">
      <c r="H1934" t="s">
        <v>2256</v>
      </c>
    </row>
    <row r="1935" spans="8:8" x14ac:dyDescent="0.25">
      <c r="H1935" t="s">
        <v>5302</v>
      </c>
    </row>
    <row r="1936" spans="8:8" x14ac:dyDescent="0.25">
      <c r="H1936" t="s">
        <v>3378</v>
      </c>
    </row>
    <row r="1937" spans="8:8" x14ac:dyDescent="0.25">
      <c r="H1937" t="s">
        <v>1415</v>
      </c>
    </row>
    <row r="1938" spans="8:8" x14ac:dyDescent="0.25">
      <c r="H1938" t="s">
        <v>4057</v>
      </c>
    </row>
    <row r="1939" spans="8:8" x14ac:dyDescent="0.25">
      <c r="H1939" t="s">
        <v>3786</v>
      </c>
    </row>
    <row r="1940" spans="8:8" x14ac:dyDescent="0.25">
      <c r="H1940" t="s">
        <v>3972</v>
      </c>
    </row>
    <row r="1941" spans="8:8" x14ac:dyDescent="0.25">
      <c r="H1941" t="s">
        <v>1734</v>
      </c>
    </row>
    <row r="1942" spans="8:8" x14ac:dyDescent="0.25">
      <c r="H1942" t="s">
        <v>2441</v>
      </c>
    </row>
    <row r="1943" spans="8:8" x14ac:dyDescent="0.25">
      <c r="H1943" t="s">
        <v>4873</v>
      </c>
    </row>
    <row r="1944" spans="8:8" x14ac:dyDescent="0.25">
      <c r="H1944" t="s">
        <v>2172</v>
      </c>
    </row>
    <row r="1945" spans="8:8" x14ac:dyDescent="0.25">
      <c r="H1945" t="s">
        <v>2946</v>
      </c>
    </row>
    <row r="1946" spans="8:8" x14ac:dyDescent="0.25">
      <c r="H1946" t="s">
        <v>3053</v>
      </c>
    </row>
    <row r="1947" spans="8:8" x14ac:dyDescent="0.25">
      <c r="H1947" t="s">
        <v>1198</v>
      </c>
    </row>
    <row r="1948" spans="8:8" x14ac:dyDescent="0.25">
      <c r="H1948" t="s">
        <v>1199</v>
      </c>
    </row>
    <row r="1949" spans="8:8" x14ac:dyDescent="0.25">
      <c r="H1949" t="s">
        <v>1200</v>
      </c>
    </row>
    <row r="1950" spans="8:8" x14ac:dyDescent="0.25">
      <c r="H1950" t="s">
        <v>4526</v>
      </c>
    </row>
    <row r="1951" spans="8:8" x14ac:dyDescent="0.25">
      <c r="H1951" t="s">
        <v>4568</v>
      </c>
    </row>
    <row r="1952" spans="8:8" x14ac:dyDescent="0.25">
      <c r="H1952" t="s">
        <v>5136</v>
      </c>
    </row>
    <row r="1953" spans="8:8" x14ac:dyDescent="0.25">
      <c r="H1953" t="s">
        <v>608</v>
      </c>
    </row>
    <row r="1954" spans="8:8" x14ac:dyDescent="0.25">
      <c r="H1954" t="s">
        <v>5072</v>
      </c>
    </row>
    <row r="1955" spans="8:8" x14ac:dyDescent="0.25">
      <c r="H1955" t="s">
        <v>773</v>
      </c>
    </row>
    <row r="1956" spans="8:8" x14ac:dyDescent="0.25">
      <c r="H1956" t="s">
        <v>776</v>
      </c>
    </row>
    <row r="1957" spans="8:8" x14ac:dyDescent="0.25">
      <c r="H1957" t="s">
        <v>4589</v>
      </c>
    </row>
    <row r="1958" spans="8:8" x14ac:dyDescent="0.25">
      <c r="H1958" t="s">
        <v>5189</v>
      </c>
    </row>
    <row r="1959" spans="8:8" x14ac:dyDescent="0.25">
      <c r="H1959" t="s">
        <v>4798</v>
      </c>
    </row>
    <row r="1960" spans="8:8" x14ac:dyDescent="0.25">
      <c r="H1960" t="s">
        <v>4153</v>
      </c>
    </row>
    <row r="1961" spans="8:8" x14ac:dyDescent="0.25">
      <c r="H1961" t="s">
        <v>4872</v>
      </c>
    </row>
    <row r="1962" spans="8:8" x14ac:dyDescent="0.25">
      <c r="H1962" t="s">
        <v>4878</v>
      </c>
    </row>
    <row r="1963" spans="8:8" x14ac:dyDescent="0.25">
      <c r="H1963" t="s">
        <v>1705</v>
      </c>
    </row>
    <row r="1964" spans="8:8" x14ac:dyDescent="0.25">
      <c r="H1964" t="s">
        <v>4883</v>
      </c>
    </row>
    <row r="1965" spans="8:8" x14ac:dyDescent="0.25">
      <c r="H1965" t="s">
        <v>4884</v>
      </c>
    </row>
    <row r="1966" spans="8:8" x14ac:dyDescent="0.25">
      <c r="H1966" t="s">
        <v>4879</v>
      </c>
    </row>
    <row r="1967" spans="8:8" x14ac:dyDescent="0.25">
      <c r="H1967" t="s">
        <v>2243</v>
      </c>
    </row>
    <row r="1968" spans="8:8" x14ac:dyDescent="0.25">
      <c r="H1968" t="s">
        <v>4462</v>
      </c>
    </row>
    <row r="1969" spans="8:8" x14ac:dyDescent="0.25">
      <c r="H1969" t="s">
        <v>2730</v>
      </c>
    </row>
    <row r="1970" spans="8:8" x14ac:dyDescent="0.25">
      <c r="H1970" t="s">
        <v>3337</v>
      </c>
    </row>
    <row r="1971" spans="8:8" x14ac:dyDescent="0.25">
      <c r="H1971" t="s">
        <v>4766</v>
      </c>
    </row>
    <row r="1972" spans="8:8" x14ac:dyDescent="0.25">
      <c r="H1972" t="s">
        <v>4812</v>
      </c>
    </row>
    <row r="1973" spans="8:8" x14ac:dyDescent="0.25">
      <c r="H1973" t="s">
        <v>1006</v>
      </c>
    </row>
    <row r="1974" spans="8:8" x14ac:dyDescent="0.25">
      <c r="H1974" t="s">
        <v>2444</v>
      </c>
    </row>
    <row r="1975" spans="8:8" x14ac:dyDescent="0.25">
      <c r="H1975" t="s">
        <v>2446</v>
      </c>
    </row>
    <row r="1976" spans="8:8" x14ac:dyDescent="0.25">
      <c r="H1976" t="s">
        <v>2328</v>
      </c>
    </row>
    <row r="1977" spans="8:8" x14ac:dyDescent="0.25">
      <c r="H1977" t="s">
        <v>2447</v>
      </c>
    </row>
    <row r="1978" spans="8:8" x14ac:dyDescent="0.25">
      <c r="H1978" t="s">
        <v>2448</v>
      </c>
    </row>
    <row r="1979" spans="8:8" x14ac:dyDescent="0.25">
      <c r="H1979" t="s">
        <v>3379</v>
      </c>
    </row>
    <row r="1980" spans="8:8" x14ac:dyDescent="0.25">
      <c r="H1980" t="s">
        <v>2012</v>
      </c>
    </row>
    <row r="1981" spans="8:8" x14ac:dyDescent="0.25">
      <c r="H1981" t="s">
        <v>3203</v>
      </c>
    </row>
    <row r="1982" spans="8:8" x14ac:dyDescent="0.25">
      <c r="H1982" t="s">
        <v>1958</v>
      </c>
    </row>
    <row r="1983" spans="8:8" x14ac:dyDescent="0.25">
      <c r="H1983" t="s">
        <v>1185</v>
      </c>
    </row>
    <row r="1984" spans="8:8" x14ac:dyDescent="0.25">
      <c r="H1984" t="s">
        <v>4379</v>
      </c>
    </row>
    <row r="1985" spans="8:8" x14ac:dyDescent="0.25">
      <c r="H1985" t="s">
        <v>753</v>
      </c>
    </row>
    <row r="1986" spans="8:8" x14ac:dyDescent="0.25">
      <c r="H1986" t="s">
        <v>753</v>
      </c>
    </row>
    <row r="1987" spans="8:8" x14ac:dyDescent="0.25">
      <c r="H1987" t="s">
        <v>533</v>
      </c>
    </row>
    <row r="1988" spans="8:8" x14ac:dyDescent="0.25">
      <c r="H1988" t="s">
        <v>4536</v>
      </c>
    </row>
    <row r="1989" spans="8:8" x14ac:dyDescent="0.25">
      <c r="H1989" t="s">
        <v>2534</v>
      </c>
    </row>
    <row r="1990" spans="8:8" x14ac:dyDescent="0.25">
      <c r="H1990" t="s">
        <v>1209</v>
      </c>
    </row>
    <row r="1991" spans="8:8" x14ac:dyDescent="0.25">
      <c r="H1991" t="s">
        <v>499</v>
      </c>
    </row>
    <row r="1992" spans="8:8" x14ac:dyDescent="0.25">
      <c r="H1992" t="s">
        <v>2350</v>
      </c>
    </row>
    <row r="1993" spans="8:8" x14ac:dyDescent="0.25">
      <c r="H1993" t="s">
        <v>961</v>
      </c>
    </row>
    <row r="1994" spans="8:8" x14ac:dyDescent="0.25">
      <c r="H1994" t="s">
        <v>4752</v>
      </c>
    </row>
    <row r="1995" spans="8:8" x14ac:dyDescent="0.25">
      <c r="H1995" t="s">
        <v>5231</v>
      </c>
    </row>
    <row r="1996" spans="8:8" x14ac:dyDescent="0.25">
      <c r="H1996" t="s">
        <v>4909</v>
      </c>
    </row>
    <row r="1997" spans="8:8" x14ac:dyDescent="0.25">
      <c r="H1997" t="s">
        <v>2450</v>
      </c>
    </row>
    <row r="1998" spans="8:8" x14ac:dyDescent="0.25">
      <c r="H1998" t="s">
        <v>2451</v>
      </c>
    </row>
    <row r="1999" spans="8:8" x14ac:dyDescent="0.25">
      <c r="H1999" t="s">
        <v>2106</v>
      </c>
    </row>
    <row r="2000" spans="8:8" x14ac:dyDescent="0.25">
      <c r="H2000" t="s">
        <v>5461</v>
      </c>
    </row>
    <row r="2001" spans="8:8" x14ac:dyDescent="0.25">
      <c r="H2001" t="s">
        <v>2460</v>
      </c>
    </row>
    <row r="2002" spans="8:8" x14ac:dyDescent="0.25">
      <c r="H2002" t="s">
        <v>5372</v>
      </c>
    </row>
    <row r="2003" spans="8:8" x14ac:dyDescent="0.25">
      <c r="H2003" t="s">
        <v>2462</v>
      </c>
    </row>
    <row r="2004" spans="8:8" x14ac:dyDescent="0.25">
      <c r="H2004" t="s">
        <v>2998</v>
      </c>
    </row>
    <row r="2005" spans="8:8" x14ac:dyDescent="0.25">
      <c r="H2005" t="s">
        <v>2334</v>
      </c>
    </row>
    <row r="2006" spans="8:8" x14ac:dyDescent="0.25">
      <c r="H2006" t="s">
        <v>2338</v>
      </c>
    </row>
    <row r="2007" spans="8:8" x14ac:dyDescent="0.25">
      <c r="H2007" t="s">
        <v>4216</v>
      </c>
    </row>
    <row r="2008" spans="8:8" x14ac:dyDescent="0.25">
      <c r="H2008" t="s">
        <v>2465</v>
      </c>
    </row>
    <row r="2009" spans="8:8" x14ac:dyDescent="0.25">
      <c r="H2009" t="s">
        <v>1192</v>
      </c>
    </row>
    <row r="2010" spans="8:8" x14ac:dyDescent="0.25">
      <c r="H2010" t="s">
        <v>4101</v>
      </c>
    </row>
    <row r="2011" spans="8:8" x14ac:dyDescent="0.25">
      <c r="H2011" t="s">
        <v>4449</v>
      </c>
    </row>
    <row r="2012" spans="8:8" x14ac:dyDescent="0.25">
      <c r="H2012" t="s">
        <v>2661</v>
      </c>
    </row>
    <row r="2013" spans="8:8" x14ac:dyDescent="0.25">
      <c r="H2013" t="s">
        <v>2408</v>
      </c>
    </row>
    <row r="2014" spans="8:8" x14ac:dyDescent="0.25">
      <c r="H2014" t="s">
        <v>5012</v>
      </c>
    </row>
    <row r="2015" spans="8:8" x14ac:dyDescent="0.25">
      <c r="H2015" t="s">
        <v>742</v>
      </c>
    </row>
    <row r="2016" spans="8:8" x14ac:dyDescent="0.25">
      <c r="H2016" t="s">
        <v>4488</v>
      </c>
    </row>
    <row r="2017" spans="8:8" x14ac:dyDescent="0.25">
      <c r="H2017" t="s">
        <v>2122</v>
      </c>
    </row>
    <row r="2018" spans="8:8" x14ac:dyDescent="0.25">
      <c r="H2018" t="s">
        <v>2423</v>
      </c>
    </row>
    <row r="2019" spans="8:8" x14ac:dyDescent="0.25">
      <c r="H2019" t="s">
        <v>2160</v>
      </c>
    </row>
    <row r="2020" spans="8:8" x14ac:dyDescent="0.25">
      <c r="H2020" t="s">
        <v>2302</v>
      </c>
    </row>
    <row r="2021" spans="8:8" x14ac:dyDescent="0.25">
      <c r="H2021" t="s">
        <v>3581</v>
      </c>
    </row>
    <row r="2022" spans="8:8" x14ac:dyDescent="0.25">
      <c r="H2022" t="s">
        <v>5089</v>
      </c>
    </row>
    <row r="2023" spans="8:8" x14ac:dyDescent="0.25">
      <c r="H2023" t="s">
        <v>2466</v>
      </c>
    </row>
    <row r="2024" spans="8:8" x14ac:dyDescent="0.25">
      <c r="H2024" t="s">
        <v>2467</v>
      </c>
    </row>
    <row r="2025" spans="8:8" x14ac:dyDescent="0.25">
      <c r="H2025" t="s">
        <v>2468</v>
      </c>
    </row>
    <row r="2026" spans="8:8" x14ac:dyDescent="0.25">
      <c r="H2026" t="s">
        <v>4220</v>
      </c>
    </row>
    <row r="2027" spans="8:8" x14ac:dyDescent="0.25">
      <c r="H2027" t="s">
        <v>1933</v>
      </c>
    </row>
    <row r="2028" spans="8:8" x14ac:dyDescent="0.25">
      <c r="H2028" t="s">
        <v>1933</v>
      </c>
    </row>
    <row r="2029" spans="8:8" x14ac:dyDescent="0.25">
      <c r="H2029" t="s">
        <v>494</v>
      </c>
    </row>
    <row r="2030" spans="8:8" x14ac:dyDescent="0.25">
      <c r="H2030" t="s">
        <v>2906</v>
      </c>
    </row>
    <row r="2031" spans="8:8" x14ac:dyDescent="0.25">
      <c r="H2031" t="s">
        <v>4645</v>
      </c>
    </row>
    <row r="2032" spans="8:8" x14ac:dyDescent="0.25">
      <c r="H2032" t="s">
        <v>3205</v>
      </c>
    </row>
    <row r="2033" spans="8:8" x14ac:dyDescent="0.25">
      <c r="H2033" t="s">
        <v>2533</v>
      </c>
    </row>
    <row r="2034" spans="8:8" x14ac:dyDescent="0.25">
      <c r="H2034" t="s">
        <v>2483</v>
      </c>
    </row>
    <row r="2035" spans="8:8" x14ac:dyDescent="0.25">
      <c r="H2035" t="s">
        <v>3368</v>
      </c>
    </row>
    <row r="2036" spans="8:8" x14ac:dyDescent="0.25">
      <c r="H2036" t="s">
        <v>3031</v>
      </c>
    </row>
    <row r="2037" spans="8:8" x14ac:dyDescent="0.25">
      <c r="H2037" t="s">
        <v>1195</v>
      </c>
    </row>
    <row r="2038" spans="8:8" x14ac:dyDescent="0.25">
      <c r="H2038" t="s">
        <v>3857</v>
      </c>
    </row>
    <row r="2039" spans="8:8" x14ac:dyDescent="0.25">
      <c r="H2039" t="s">
        <v>5501</v>
      </c>
    </row>
    <row r="2040" spans="8:8" x14ac:dyDescent="0.25">
      <c r="H2040" t="s">
        <v>1291</v>
      </c>
    </row>
    <row r="2041" spans="8:8" x14ac:dyDescent="0.25">
      <c r="H2041" t="s">
        <v>1291</v>
      </c>
    </row>
    <row r="2042" spans="8:8" x14ac:dyDescent="0.25">
      <c r="H2042" t="s">
        <v>4298</v>
      </c>
    </row>
    <row r="2043" spans="8:8" x14ac:dyDescent="0.25">
      <c r="H2043" t="s">
        <v>1270</v>
      </c>
    </row>
    <row r="2044" spans="8:8" x14ac:dyDescent="0.25">
      <c r="H2044" t="s">
        <v>1024</v>
      </c>
    </row>
    <row r="2045" spans="8:8" x14ac:dyDescent="0.25">
      <c r="H2045" t="s">
        <v>4583</v>
      </c>
    </row>
    <row r="2046" spans="8:8" x14ac:dyDescent="0.25">
      <c r="H2046" t="s">
        <v>1048</v>
      </c>
    </row>
    <row r="2047" spans="8:8" x14ac:dyDescent="0.25">
      <c r="H2047" t="s">
        <v>4451</v>
      </c>
    </row>
    <row r="2048" spans="8:8" x14ac:dyDescent="0.25">
      <c r="H2048" t="s">
        <v>629</v>
      </c>
    </row>
    <row r="2049" spans="8:8" x14ac:dyDescent="0.25">
      <c r="H2049" t="s">
        <v>4166</v>
      </c>
    </row>
    <row r="2050" spans="8:8" x14ac:dyDescent="0.25">
      <c r="H2050" t="s">
        <v>4918</v>
      </c>
    </row>
    <row r="2051" spans="8:8" x14ac:dyDescent="0.25">
      <c r="H2051" t="s">
        <v>3572</v>
      </c>
    </row>
    <row r="2052" spans="8:8" x14ac:dyDescent="0.25">
      <c r="H2052" t="s">
        <v>2485</v>
      </c>
    </row>
    <row r="2053" spans="8:8" x14ac:dyDescent="0.25">
      <c r="H2053" t="s">
        <v>3662</v>
      </c>
    </row>
    <row r="2054" spans="8:8" x14ac:dyDescent="0.25">
      <c r="H2054" t="s">
        <v>3835</v>
      </c>
    </row>
    <row r="2055" spans="8:8" x14ac:dyDescent="0.25">
      <c r="H2055" t="s">
        <v>2487</v>
      </c>
    </row>
    <row r="2056" spans="8:8" x14ac:dyDescent="0.25">
      <c r="H2056" t="s">
        <v>2486</v>
      </c>
    </row>
    <row r="2057" spans="8:8" x14ac:dyDescent="0.25">
      <c r="H2057" t="s">
        <v>3771</v>
      </c>
    </row>
    <row r="2058" spans="8:8" x14ac:dyDescent="0.25">
      <c r="H2058" t="s">
        <v>2488</v>
      </c>
    </row>
    <row r="2059" spans="8:8" x14ac:dyDescent="0.25">
      <c r="H2059" t="s">
        <v>5334</v>
      </c>
    </row>
    <row r="2060" spans="8:8" x14ac:dyDescent="0.25">
      <c r="H2060" t="s">
        <v>2490</v>
      </c>
    </row>
    <row r="2061" spans="8:8" x14ac:dyDescent="0.25">
      <c r="H2061" t="s">
        <v>1886</v>
      </c>
    </row>
    <row r="2062" spans="8:8" x14ac:dyDescent="0.25">
      <c r="H2062" t="s">
        <v>2491</v>
      </c>
    </row>
    <row r="2063" spans="8:8" x14ac:dyDescent="0.25">
      <c r="H2063" t="s">
        <v>4111</v>
      </c>
    </row>
    <row r="2064" spans="8:8" x14ac:dyDescent="0.25">
      <c r="H2064" t="s">
        <v>4305</v>
      </c>
    </row>
    <row r="2065" spans="8:8" x14ac:dyDescent="0.25">
      <c r="H2065" t="s">
        <v>1172</v>
      </c>
    </row>
    <row r="2066" spans="8:8" x14ac:dyDescent="0.25">
      <c r="H2066" t="s">
        <v>2939</v>
      </c>
    </row>
    <row r="2067" spans="8:8" x14ac:dyDescent="0.25">
      <c r="H2067" t="s">
        <v>2492</v>
      </c>
    </row>
    <row r="2068" spans="8:8" x14ac:dyDescent="0.25">
      <c r="H2068" t="s">
        <v>2494</v>
      </c>
    </row>
    <row r="2069" spans="8:8" x14ac:dyDescent="0.25">
      <c r="H2069" t="s">
        <v>2496</v>
      </c>
    </row>
    <row r="2070" spans="8:8" x14ac:dyDescent="0.25">
      <c r="H2070" t="s">
        <v>2498</v>
      </c>
    </row>
    <row r="2071" spans="8:8" x14ac:dyDescent="0.25">
      <c r="H2071" t="s">
        <v>1676</v>
      </c>
    </row>
    <row r="2072" spans="8:8" x14ac:dyDescent="0.25">
      <c r="H2072" t="s">
        <v>3663</v>
      </c>
    </row>
    <row r="2073" spans="8:8" x14ac:dyDescent="0.25">
      <c r="H2073" t="s">
        <v>1132</v>
      </c>
    </row>
    <row r="2074" spans="8:8" x14ac:dyDescent="0.25">
      <c r="H2074" t="s">
        <v>2808</v>
      </c>
    </row>
    <row r="2075" spans="8:8" x14ac:dyDescent="0.25">
      <c r="H2075" t="s">
        <v>3544</v>
      </c>
    </row>
    <row r="2076" spans="8:8" x14ac:dyDescent="0.25">
      <c r="H2076" t="s">
        <v>3836</v>
      </c>
    </row>
    <row r="2077" spans="8:8" x14ac:dyDescent="0.25">
      <c r="H2077" t="s">
        <v>4555</v>
      </c>
    </row>
    <row r="2078" spans="8:8" x14ac:dyDescent="0.25">
      <c r="H2078" t="s">
        <v>3943</v>
      </c>
    </row>
    <row r="2079" spans="8:8" x14ac:dyDescent="0.25">
      <c r="H2079" t="s">
        <v>5396</v>
      </c>
    </row>
    <row r="2080" spans="8:8" x14ac:dyDescent="0.25">
      <c r="H2080" t="s">
        <v>3794</v>
      </c>
    </row>
    <row r="2081" spans="8:8" x14ac:dyDescent="0.25">
      <c r="H2081" t="s">
        <v>3828</v>
      </c>
    </row>
    <row r="2082" spans="8:8" x14ac:dyDescent="0.25">
      <c r="H2082" t="s">
        <v>4584</v>
      </c>
    </row>
    <row r="2083" spans="8:8" x14ac:dyDescent="0.25">
      <c r="H2083" t="s">
        <v>3829</v>
      </c>
    </row>
    <row r="2084" spans="8:8" x14ac:dyDescent="0.25">
      <c r="H2084" t="s">
        <v>1321</v>
      </c>
    </row>
    <row r="2085" spans="8:8" x14ac:dyDescent="0.25">
      <c r="H2085" t="s">
        <v>718</v>
      </c>
    </row>
    <row r="2086" spans="8:8" x14ac:dyDescent="0.25">
      <c r="H2086" t="s">
        <v>3268</v>
      </c>
    </row>
    <row r="2087" spans="8:8" x14ac:dyDescent="0.25">
      <c r="H2087" t="s">
        <v>5288</v>
      </c>
    </row>
    <row r="2088" spans="8:8" x14ac:dyDescent="0.25">
      <c r="H2088" t="s">
        <v>1534</v>
      </c>
    </row>
    <row r="2089" spans="8:8" x14ac:dyDescent="0.25">
      <c r="H2089" t="s">
        <v>4946</v>
      </c>
    </row>
    <row r="2090" spans="8:8" x14ac:dyDescent="0.25">
      <c r="H2090" t="s">
        <v>2237</v>
      </c>
    </row>
    <row r="2091" spans="8:8" x14ac:dyDescent="0.25">
      <c r="H2091" t="s">
        <v>2125</v>
      </c>
    </row>
    <row r="2092" spans="8:8" x14ac:dyDescent="0.25">
      <c r="H2092" t="s">
        <v>2764</v>
      </c>
    </row>
    <row r="2093" spans="8:8" x14ac:dyDescent="0.25">
      <c r="H2093" t="s">
        <v>4749</v>
      </c>
    </row>
    <row r="2094" spans="8:8" x14ac:dyDescent="0.25">
      <c r="H2094" t="s">
        <v>2524</v>
      </c>
    </row>
    <row r="2095" spans="8:8" x14ac:dyDescent="0.25">
      <c r="H2095" t="s">
        <v>522</v>
      </c>
    </row>
    <row r="2096" spans="8:8" x14ac:dyDescent="0.25">
      <c r="H2096" t="s">
        <v>523</v>
      </c>
    </row>
    <row r="2097" spans="8:8" x14ac:dyDescent="0.25">
      <c r="H2097" t="s">
        <v>2509</v>
      </c>
    </row>
    <row r="2098" spans="8:8" x14ac:dyDescent="0.25">
      <c r="H2098" t="s">
        <v>2512</v>
      </c>
    </row>
    <row r="2099" spans="8:8" x14ac:dyDescent="0.25">
      <c r="H2099" t="s">
        <v>1056</v>
      </c>
    </row>
    <row r="2100" spans="8:8" x14ac:dyDescent="0.25">
      <c r="H2100" t="s">
        <v>3611</v>
      </c>
    </row>
    <row r="2101" spans="8:8" x14ac:dyDescent="0.25">
      <c r="H2101" t="s">
        <v>2518</v>
      </c>
    </row>
    <row r="2102" spans="8:8" x14ac:dyDescent="0.25">
      <c r="H2102" t="s">
        <v>3432</v>
      </c>
    </row>
    <row r="2103" spans="8:8" x14ac:dyDescent="0.25">
      <c r="H2103" t="s">
        <v>1232</v>
      </c>
    </row>
    <row r="2104" spans="8:8" x14ac:dyDescent="0.25">
      <c r="H2104" t="s">
        <v>2426</v>
      </c>
    </row>
    <row r="2105" spans="8:8" x14ac:dyDescent="0.25">
      <c r="H2105" t="s">
        <v>574</v>
      </c>
    </row>
    <row r="2106" spans="8:8" x14ac:dyDescent="0.25">
      <c r="H2106" t="s">
        <v>5489</v>
      </c>
    </row>
    <row r="2107" spans="8:8" x14ac:dyDescent="0.25">
      <c r="H2107" t="s">
        <v>3176</v>
      </c>
    </row>
    <row r="2108" spans="8:8" x14ac:dyDescent="0.25">
      <c r="H2108" t="s">
        <v>2514</v>
      </c>
    </row>
    <row r="2109" spans="8:8" x14ac:dyDescent="0.25">
      <c r="H2109" t="s">
        <v>2516</v>
      </c>
    </row>
    <row r="2110" spans="8:8" x14ac:dyDescent="0.25">
      <c r="H2110" t="s">
        <v>4168</v>
      </c>
    </row>
    <row r="2111" spans="8:8" x14ac:dyDescent="0.25">
      <c r="H2111" t="s">
        <v>2525</v>
      </c>
    </row>
    <row r="2112" spans="8:8" x14ac:dyDescent="0.25">
      <c r="H2112" t="s">
        <v>1560</v>
      </c>
    </row>
    <row r="2113" spans="8:8" x14ac:dyDescent="0.25">
      <c r="H2113" t="s">
        <v>1571</v>
      </c>
    </row>
    <row r="2114" spans="8:8" x14ac:dyDescent="0.25">
      <c r="H2114" t="s">
        <v>1248</v>
      </c>
    </row>
    <row r="2115" spans="8:8" x14ac:dyDescent="0.25">
      <c r="H2115" t="s">
        <v>1248</v>
      </c>
    </row>
    <row r="2116" spans="8:8" x14ac:dyDescent="0.25">
      <c r="H2116" t="s">
        <v>2210</v>
      </c>
    </row>
    <row r="2117" spans="8:8" x14ac:dyDescent="0.25">
      <c r="H2117" t="s">
        <v>4775</v>
      </c>
    </row>
    <row r="2118" spans="8:8" x14ac:dyDescent="0.25">
      <c r="H2118" t="s">
        <v>4774</v>
      </c>
    </row>
    <row r="2119" spans="8:8" x14ac:dyDescent="0.25">
      <c r="H2119" t="s">
        <v>2803</v>
      </c>
    </row>
    <row r="2120" spans="8:8" x14ac:dyDescent="0.25">
      <c r="H2120" t="s">
        <v>2616</v>
      </c>
    </row>
    <row r="2121" spans="8:8" x14ac:dyDescent="0.25">
      <c r="H2121" t="s">
        <v>3283</v>
      </c>
    </row>
    <row r="2122" spans="8:8" x14ac:dyDescent="0.25">
      <c r="H2122" t="s">
        <v>598</v>
      </c>
    </row>
    <row r="2123" spans="8:8" x14ac:dyDescent="0.25">
      <c r="H2123" t="s">
        <v>2529</v>
      </c>
    </row>
    <row r="2124" spans="8:8" x14ac:dyDescent="0.25">
      <c r="H2124" t="s">
        <v>2530</v>
      </c>
    </row>
    <row r="2125" spans="8:8" x14ac:dyDescent="0.25">
      <c r="H2125" t="s">
        <v>3545</v>
      </c>
    </row>
    <row r="2126" spans="8:8" x14ac:dyDescent="0.25">
      <c r="H2126" t="s">
        <v>3659</v>
      </c>
    </row>
    <row r="2127" spans="8:8" x14ac:dyDescent="0.25">
      <c r="H2127" t="s">
        <v>3182</v>
      </c>
    </row>
    <row r="2128" spans="8:8" x14ac:dyDescent="0.25">
      <c r="H2128" t="s">
        <v>4978</v>
      </c>
    </row>
    <row r="2129" spans="8:8" x14ac:dyDescent="0.25">
      <c r="H2129" t="s">
        <v>4060</v>
      </c>
    </row>
    <row r="2130" spans="8:8" x14ac:dyDescent="0.25">
      <c r="H2130" t="s">
        <v>1134</v>
      </c>
    </row>
    <row r="2131" spans="8:8" x14ac:dyDescent="0.25">
      <c r="H2131" t="s">
        <v>2537</v>
      </c>
    </row>
    <row r="2132" spans="8:8" x14ac:dyDescent="0.25">
      <c r="H2132" t="s">
        <v>1212</v>
      </c>
    </row>
    <row r="2133" spans="8:8" x14ac:dyDescent="0.25">
      <c r="H2133" t="s">
        <v>1213</v>
      </c>
    </row>
    <row r="2134" spans="8:8" x14ac:dyDescent="0.25">
      <c r="H2134" t="s">
        <v>1609</v>
      </c>
    </row>
    <row r="2135" spans="8:8" x14ac:dyDescent="0.25">
      <c r="H2135" t="s">
        <v>2541</v>
      </c>
    </row>
    <row r="2136" spans="8:8" x14ac:dyDescent="0.25">
      <c r="H2136" t="s">
        <v>2538</v>
      </c>
    </row>
    <row r="2137" spans="8:8" x14ac:dyDescent="0.25">
      <c r="H2137" t="s">
        <v>3604</v>
      </c>
    </row>
    <row r="2138" spans="8:8" x14ac:dyDescent="0.25">
      <c r="H2138" t="s">
        <v>2550</v>
      </c>
    </row>
    <row r="2139" spans="8:8" x14ac:dyDescent="0.25">
      <c r="H2139" t="s">
        <v>2928</v>
      </c>
    </row>
    <row r="2140" spans="8:8" x14ac:dyDescent="0.25">
      <c r="H2140" t="s">
        <v>4262</v>
      </c>
    </row>
    <row r="2141" spans="8:8" x14ac:dyDescent="0.25">
      <c r="H2141" t="s">
        <v>2543</v>
      </c>
    </row>
    <row r="2142" spans="8:8" x14ac:dyDescent="0.25">
      <c r="H2142" t="s">
        <v>1255</v>
      </c>
    </row>
    <row r="2143" spans="8:8" x14ac:dyDescent="0.25">
      <c r="H2143" t="s">
        <v>3356</v>
      </c>
    </row>
    <row r="2144" spans="8:8" x14ac:dyDescent="0.25">
      <c r="H2144" t="s">
        <v>4261</v>
      </c>
    </row>
    <row r="2145" spans="8:8" x14ac:dyDescent="0.25">
      <c r="H2145" t="s">
        <v>2552</v>
      </c>
    </row>
    <row r="2146" spans="8:8" x14ac:dyDescent="0.25">
      <c r="H2146" t="s">
        <v>2696</v>
      </c>
    </row>
    <row r="2147" spans="8:8" x14ac:dyDescent="0.25">
      <c r="H2147" t="s">
        <v>2041</v>
      </c>
    </row>
    <row r="2148" spans="8:8" x14ac:dyDescent="0.25">
      <c r="H2148" t="s">
        <v>2561</v>
      </c>
    </row>
    <row r="2149" spans="8:8" x14ac:dyDescent="0.25">
      <c r="H2149" t="s">
        <v>3617</v>
      </c>
    </row>
    <row r="2150" spans="8:8" x14ac:dyDescent="0.25">
      <c r="H2150" t="s">
        <v>503</v>
      </c>
    </row>
    <row r="2151" spans="8:8" x14ac:dyDescent="0.25">
      <c r="H2151" t="s">
        <v>3774</v>
      </c>
    </row>
    <row r="2152" spans="8:8" x14ac:dyDescent="0.25">
      <c r="H2152" t="s">
        <v>5133</v>
      </c>
    </row>
    <row r="2153" spans="8:8" x14ac:dyDescent="0.25">
      <c r="H2153" t="s">
        <v>3711</v>
      </c>
    </row>
    <row r="2154" spans="8:8" x14ac:dyDescent="0.25">
      <c r="H2154" t="s">
        <v>4553</v>
      </c>
    </row>
    <row r="2155" spans="8:8" x14ac:dyDescent="0.25">
      <c r="H2155" t="s">
        <v>2597</v>
      </c>
    </row>
    <row r="2156" spans="8:8" x14ac:dyDescent="0.25">
      <c r="H2156" t="s">
        <v>4493</v>
      </c>
    </row>
    <row r="2157" spans="8:8" x14ac:dyDescent="0.25">
      <c r="H2157" t="s">
        <v>2588</v>
      </c>
    </row>
    <row r="2158" spans="8:8" x14ac:dyDescent="0.25">
      <c r="H2158" t="s">
        <v>2589</v>
      </c>
    </row>
    <row r="2159" spans="8:8" x14ac:dyDescent="0.25">
      <c r="H2159" t="s">
        <v>2593</v>
      </c>
    </row>
    <row r="2160" spans="8:8" x14ac:dyDescent="0.25">
      <c r="H2160" t="s">
        <v>5472</v>
      </c>
    </row>
    <row r="2161" spans="8:8" x14ac:dyDescent="0.25">
      <c r="H2161" t="s">
        <v>2595</v>
      </c>
    </row>
    <row r="2162" spans="8:8" x14ac:dyDescent="0.25">
      <c r="H2162" t="s">
        <v>2603</v>
      </c>
    </row>
    <row r="2163" spans="8:8" x14ac:dyDescent="0.25">
      <c r="H2163" t="s">
        <v>2604</v>
      </c>
    </row>
    <row r="2164" spans="8:8" x14ac:dyDescent="0.25">
      <c r="H2164" t="s">
        <v>2607</v>
      </c>
    </row>
    <row r="2165" spans="8:8" x14ac:dyDescent="0.25">
      <c r="H2165" t="s">
        <v>2606</v>
      </c>
    </row>
    <row r="2166" spans="8:8" x14ac:dyDescent="0.25">
      <c r="H2166" t="s">
        <v>903</v>
      </c>
    </row>
    <row r="2167" spans="8:8" x14ac:dyDescent="0.25">
      <c r="H2167" t="s">
        <v>5215</v>
      </c>
    </row>
    <row r="2168" spans="8:8" x14ac:dyDescent="0.25">
      <c r="H2168" t="s">
        <v>667</v>
      </c>
    </row>
    <row r="2169" spans="8:8" x14ac:dyDescent="0.25">
      <c r="H2169" t="s">
        <v>2703</v>
      </c>
    </row>
    <row r="2170" spans="8:8" x14ac:dyDescent="0.25">
      <c r="H2170" t="s">
        <v>658</v>
      </c>
    </row>
    <row r="2171" spans="8:8" x14ac:dyDescent="0.25">
      <c r="H2171" t="s">
        <v>3213</v>
      </c>
    </row>
    <row r="2172" spans="8:8" x14ac:dyDescent="0.25">
      <c r="H2172" t="s">
        <v>5387</v>
      </c>
    </row>
    <row r="2173" spans="8:8" x14ac:dyDescent="0.25">
      <c r="H2173" t="s">
        <v>4582</v>
      </c>
    </row>
    <row r="2174" spans="8:8" x14ac:dyDescent="0.25">
      <c r="H2174" t="s">
        <v>732</v>
      </c>
    </row>
    <row r="2175" spans="8:8" x14ac:dyDescent="0.25">
      <c r="H2175" t="s">
        <v>733</v>
      </c>
    </row>
    <row r="2176" spans="8:8" x14ac:dyDescent="0.25">
      <c r="H2176" t="s">
        <v>2784</v>
      </c>
    </row>
    <row r="2177" spans="8:8" x14ac:dyDescent="0.25">
      <c r="H2177" t="s">
        <v>734</v>
      </c>
    </row>
    <row r="2178" spans="8:8" x14ac:dyDescent="0.25">
      <c r="H2178" t="s">
        <v>735</v>
      </c>
    </row>
    <row r="2179" spans="8:8" x14ac:dyDescent="0.25">
      <c r="H2179" t="s">
        <v>2330</v>
      </c>
    </row>
    <row r="2180" spans="8:8" x14ac:dyDescent="0.25">
      <c r="H2180" t="s">
        <v>2707</v>
      </c>
    </row>
    <row r="2181" spans="8:8" x14ac:dyDescent="0.25">
      <c r="H2181" t="s">
        <v>1069</v>
      </c>
    </row>
    <row r="2182" spans="8:8" x14ac:dyDescent="0.25">
      <c r="H2182" t="s">
        <v>2062</v>
      </c>
    </row>
    <row r="2183" spans="8:8" x14ac:dyDescent="0.25">
      <c r="H2183" t="s">
        <v>1130</v>
      </c>
    </row>
    <row r="2184" spans="8:8" x14ac:dyDescent="0.25">
      <c r="H2184" t="s">
        <v>3697</v>
      </c>
    </row>
    <row r="2185" spans="8:8" x14ac:dyDescent="0.25">
      <c r="H2185" t="s">
        <v>2646</v>
      </c>
    </row>
    <row r="2186" spans="8:8" x14ac:dyDescent="0.25">
      <c r="H2186" t="s">
        <v>1766</v>
      </c>
    </row>
    <row r="2187" spans="8:8" x14ac:dyDescent="0.25">
      <c r="H2187" t="s">
        <v>1906</v>
      </c>
    </row>
    <row r="2188" spans="8:8" x14ac:dyDescent="0.25">
      <c r="H2188" t="s">
        <v>630</v>
      </c>
    </row>
    <row r="2189" spans="8:8" x14ac:dyDescent="0.25">
      <c r="H2189" t="s">
        <v>5022</v>
      </c>
    </row>
    <row r="2190" spans="8:8" x14ac:dyDescent="0.25">
      <c r="H2190" t="s">
        <v>631</v>
      </c>
    </row>
    <row r="2191" spans="8:8" x14ac:dyDescent="0.25">
      <c r="H2191" t="s">
        <v>632</v>
      </c>
    </row>
    <row r="2192" spans="8:8" x14ac:dyDescent="0.25">
      <c r="H2192" t="s">
        <v>1478</v>
      </c>
    </row>
    <row r="2193" spans="8:8" x14ac:dyDescent="0.25">
      <c r="H2193" t="s">
        <v>1478</v>
      </c>
    </row>
    <row r="2194" spans="8:8" x14ac:dyDescent="0.25">
      <c r="H2194" t="s">
        <v>3660</v>
      </c>
    </row>
    <row r="2195" spans="8:8" x14ac:dyDescent="0.25">
      <c r="H2195" t="s">
        <v>4333</v>
      </c>
    </row>
    <row r="2196" spans="8:8" x14ac:dyDescent="0.25">
      <c r="H2196" t="s">
        <v>3027</v>
      </c>
    </row>
    <row r="2197" spans="8:8" x14ac:dyDescent="0.25">
      <c r="H2197" t="s">
        <v>3027</v>
      </c>
    </row>
    <row r="2198" spans="8:8" x14ac:dyDescent="0.25">
      <c r="H2198" t="s">
        <v>633</v>
      </c>
    </row>
    <row r="2199" spans="8:8" x14ac:dyDescent="0.25">
      <c r="H2199" t="s">
        <v>5163</v>
      </c>
    </row>
    <row r="2200" spans="8:8" x14ac:dyDescent="0.25">
      <c r="H2200" t="s">
        <v>5164</v>
      </c>
    </row>
    <row r="2201" spans="8:8" x14ac:dyDescent="0.25">
      <c r="H2201" t="s">
        <v>1620</v>
      </c>
    </row>
    <row r="2202" spans="8:8" x14ac:dyDescent="0.25">
      <c r="H2202" t="s">
        <v>5129</v>
      </c>
    </row>
    <row r="2203" spans="8:8" x14ac:dyDescent="0.25">
      <c r="H2203" t="s">
        <v>652</v>
      </c>
    </row>
    <row r="2204" spans="8:8" x14ac:dyDescent="0.25">
      <c r="H2204" t="s">
        <v>4112</v>
      </c>
    </row>
    <row r="2205" spans="8:8" x14ac:dyDescent="0.25">
      <c r="H2205" t="s">
        <v>4776</v>
      </c>
    </row>
    <row r="2206" spans="8:8" x14ac:dyDescent="0.25">
      <c r="H2206" t="s">
        <v>2422</v>
      </c>
    </row>
    <row r="2207" spans="8:8" x14ac:dyDescent="0.25">
      <c r="H2207" t="s">
        <v>653</v>
      </c>
    </row>
    <row r="2208" spans="8:8" x14ac:dyDescent="0.25">
      <c r="H2208" t="s">
        <v>1054</v>
      </c>
    </row>
    <row r="2209" spans="8:8" x14ac:dyDescent="0.25">
      <c r="H2209" t="s">
        <v>5290</v>
      </c>
    </row>
    <row r="2210" spans="8:8" x14ac:dyDescent="0.25">
      <c r="H2210" t="s">
        <v>2667</v>
      </c>
    </row>
    <row r="2211" spans="8:8" x14ac:dyDescent="0.25">
      <c r="H2211" t="s">
        <v>3450</v>
      </c>
    </row>
    <row r="2212" spans="8:8" x14ac:dyDescent="0.25">
      <c r="H2212" t="s">
        <v>1269</v>
      </c>
    </row>
    <row r="2213" spans="8:8" x14ac:dyDescent="0.25">
      <c r="H2213" t="s">
        <v>1568</v>
      </c>
    </row>
    <row r="2214" spans="8:8" x14ac:dyDescent="0.25">
      <c r="H2214" t="s">
        <v>2031</v>
      </c>
    </row>
    <row r="2215" spans="8:8" x14ac:dyDescent="0.25">
      <c r="H2215" t="s">
        <v>4638</v>
      </c>
    </row>
    <row r="2216" spans="8:8" x14ac:dyDescent="0.25">
      <c r="H2216" t="s">
        <v>2668</v>
      </c>
    </row>
    <row r="2217" spans="8:8" x14ac:dyDescent="0.25">
      <c r="H2217" t="s">
        <v>2526</v>
      </c>
    </row>
    <row r="2218" spans="8:8" x14ac:dyDescent="0.25">
      <c r="H2218" t="s">
        <v>1459</v>
      </c>
    </row>
    <row r="2219" spans="8:8" x14ac:dyDescent="0.25">
      <c r="H2219" t="s">
        <v>2711</v>
      </c>
    </row>
    <row r="2220" spans="8:8" x14ac:dyDescent="0.25">
      <c r="H2220" t="s">
        <v>4514</v>
      </c>
    </row>
    <row r="2221" spans="8:8" x14ac:dyDescent="0.25">
      <c r="H2221" t="s">
        <v>1559</v>
      </c>
    </row>
    <row r="2222" spans="8:8" x14ac:dyDescent="0.25">
      <c r="H2222" t="s">
        <v>2885</v>
      </c>
    </row>
    <row r="2223" spans="8:8" x14ac:dyDescent="0.25">
      <c r="H2223" t="s">
        <v>1652</v>
      </c>
    </row>
    <row r="2224" spans="8:8" x14ac:dyDescent="0.25">
      <c r="H2224" t="s">
        <v>2612</v>
      </c>
    </row>
    <row r="2225" spans="8:8" x14ac:dyDescent="0.25">
      <c r="H2225" t="s">
        <v>2860</v>
      </c>
    </row>
    <row r="2226" spans="8:8" x14ac:dyDescent="0.25">
      <c r="H2226" t="s">
        <v>2708</v>
      </c>
    </row>
    <row r="2227" spans="8:8" x14ac:dyDescent="0.25">
      <c r="H2227" t="s">
        <v>2522</v>
      </c>
    </row>
    <row r="2228" spans="8:8" x14ac:dyDescent="0.25">
      <c r="H2228" t="s">
        <v>4424</v>
      </c>
    </row>
    <row r="2229" spans="8:8" x14ac:dyDescent="0.25">
      <c r="H2229" t="s">
        <v>5149</v>
      </c>
    </row>
    <row r="2230" spans="8:8" x14ac:dyDescent="0.25">
      <c r="H2230" t="s">
        <v>5331</v>
      </c>
    </row>
    <row r="2231" spans="8:8" x14ac:dyDescent="0.25">
      <c r="H2231" t="s">
        <v>590</v>
      </c>
    </row>
    <row r="2232" spans="8:8" x14ac:dyDescent="0.25">
      <c r="H2232" t="s">
        <v>2675</v>
      </c>
    </row>
    <row r="2233" spans="8:8" x14ac:dyDescent="0.25">
      <c r="H2233" t="s">
        <v>668</v>
      </c>
    </row>
    <row r="2234" spans="8:8" x14ac:dyDescent="0.25">
      <c r="H2234" t="s">
        <v>669</v>
      </c>
    </row>
    <row r="2235" spans="8:8" x14ac:dyDescent="0.25">
      <c r="H2235" t="s">
        <v>2508</v>
      </c>
    </row>
    <row r="2236" spans="8:8" x14ac:dyDescent="0.25">
      <c r="H2236" t="s">
        <v>1123</v>
      </c>
    </row>
    <row r="2237" spans="8:8" x14ac:dyDescent="0.25">
      <c r="H2237" t="s">
        <v>4684</v>
      </c>
    </row>
    <row r="2238" spans="8:8" x14ac:dyDescent="0.25">
      <c r="H2238" t="s">
        <v>1701</v>
      </c>
    </row>
    <row r="2239" spans="8:8" x14ac:dyDescent="0.25">
      <c r="H2239" t="s">
        <v>1633</v>
      </c>
    </row>
    <row r="2240" spans="8:8" x14ac:dyDescent="0.25">
      <c r="H2240" t="s">
        <v>1632</v>
      </c>
    </row>
    <row r="2241" spans="8:8" x14ac:dyDescent="0.25">
      <c r="H2241" t="s">
        <v>2687</v>
      </c>
    </row>
    <row r="2242" spans="8:8" x14ac:dyDescent="0.25">
      <c r="H2242" t="s">
        <v>3284</v>
      </c>
    </row>
    <row r="2243" spans="8:8" x14ac:dyDescent="0.25">
      <c r="H2243" t="s">
        <v>4859</v>
      </c>
    </row>
    <row r="2244" spans="8:8" x14ac:dyDescent="0.25">
      <c r="H2244" t="s">
        <v>2699</v>
      </c>
    </row>
    <row r="2245" spans="8:8" x14ac:dyDescent="0.25">
      <c r="H2245" t="s">
        <v>2699</v>
      </c>
    </row>
    <row r="2246" spans="8:8" x14ac:dyDescent="0.25">
      <c r="H2246" t="s">
        <v>5078</v>
      </c>
    </row>
    <row r="2247" spans="8:8" x14ac:dyDescent="0.25">
      <c r="H2247" t="s">
        <v>3044</v>
      </c>
    </row>
    <row r="2248" spans="8:8" x14ac:dyDescent="0.25">
      <c r="H2248" t="s">
        <v>3088</v>
      </c>
    </row>
    <row r="2249" spans="8:8" x14ac:dyDescent="0.25">
      <c r="H2249" t="s">
        <v>3088</v>
      </c>
    </row>
    <row r="2250" spans="8:8" x14ac:dyDescent="0.25">
      <c r="H2250" t="s">
        <v>1648</v>
      </c>
    </row>
    <row r="2251" spans="8:8" x14ac:dyDescent="0.25">
      <c r="H2251" t="s">
        <v>2701</v>
      </c>
    </row>
    <row r="2252" spans="8:8" x14ac:dyDescent="0.25">
      <c r="H2252" t="s">
        <v>2710</v>
      </c>
    </row>
    <row r="2253" spans="8:8" x14ac:dyDescent="0.25">
      <c r="H2253" t="s">
        <v>3484</v>
      </c>
    </row>
    <row r="2254" spans="8:8" x14ac:dyDescent="0.25">
      <c r="H2254" t="s">
        <v>1817</v>
      </c>
    </row>
    <row r="2255" spans="8:8" x14ac:dyDescent="0.25">
      <c r="H2255" t="s">
        <v>3504</v>
      </c>
    </row>
    <row r="2256" spans="8:8" x14ac:dyDescent="0.25">
      <c r="H2256" t="s">
        <v>3777</v>
      </c>
    </row>
    <row r="2257" spans="8:8" x14ac:dyDescent="0.25">
      <c r="H2257" t="s">
        <v>634</v>
      </c>
    </row>
    <row r="2258" spans="8:8" x14ac:dyDescent="0.25">
      <c r="H2258" t="s">
        <v>2716</v>
      </c>
    </row>
    <row r="2259" spans="8:8" x14ac:dyDescent="0.25">
      <c r="H2259" t="s">
        <v>2718</v>
      </c>
    </row>
    <row r="2260" spans="8:8" x14ac:dyDescent="0.25">
      <c r="H2260" t="s">
        <v>4221</v>
      </c>
    </row>
    <row r="2261" spans="8:8" x14ac:dyDescent="0.25">
      <c r="H2261" t="s">
        <v>1690</v>
      </c>
    </row>
    <row r="2262" spans="8:8" x14ac:dyDescent="0.25">
      <c r="H2262" t="s">
        <v>3200</v>
      </c>
    </row>
    <row r="2263" spans="8:8" x14ac:dyDescent="0.25">
      <c r="H2263" t="s">
        <v>4885</v>
      </c>
    </row>
    <row r="2264" spans="8:8" x14ac:dyDescent="0.25">
      <c r="H2264" t="s">
        <v>4672</v>
      </c>
    </row>
    <row r="2265" spans="8:8" x14ac:dyDescent="0.25">
      <c r="H2265" t="s">
        <v>816</v>
      </c>
    </row>
    <row r="2266" spans="8:8" x14ac:dyDescent="0.25">
      <c r="H2266" t="s">
        <v>817</v>
      </c>
    </row>
    <row r="2267" spans="8:8" x14ac:dyDescent="0.25">
      <c r="H2267" t="s">
        <v>2724</v>
      </c>
    </row>
    <row r="2268" spans="8:8" x14ac:dyDescent="0.25">
      <c r="H2268" t="s">
        <v>5312</v>
      </c>
    </row>
    <row r="2269" spans="8:8" x14ac:dyDescent="0.25">
      <c r="H2269" t="s">
        <v>2746</v>
      </c>
    </row>
    <row r="2270" spans="8:8" x14ac:dyDescent="0.25">
      <c r="H2270" t="s">
        <v>2539</v>
      </c>
    </row>
    <row r="2271" spans="8:8" x14ac:dyDescent="0.25">
      <c r="H2271" t="s">
        <v>2725</v>
      </c>
    </row>
    <row r="2272" spans="8:8" x14ac:dyDescent="0.25">
      <c r="H2272" t="s">
        <v>2818</v>
      </c>
    </row>
    <row r="2273" spans="8:8" x14ac:dyDescent="0.25">
      <c r="H2273" t="s">
        <v>2601</v>
      </c>
    </row>
    <row r="2274" spans="8:8" x14ac:dyDescent="0.25">
      <c r="H2274" t="s">
        <v>1715</v>
      </c>
    </row>
    <row r="2275" spans="8:8" x14ac:dyDescent="0.25">
      <c r="H2275" t="s">
        <v>3235</v>
      </c>
    </row>
    <row r="2276" spans="8:8" x14ac:dyDescent="0.25">
      <c r="H2276" t="s">
        <v>2478</v>
      </c>
    </row>
    <row r="2277" spans="8:8" x14ac:dyDescent="0.25">
      <c r="H2277" t="s">
        <v>2478</v>
      </c>
    </row>
    <row r="2278" spans="8:8" x14ac:dyDescent="0.25">
      <c r="H2278" t="s">
        <v>3601</v>
      </c>
    </row>
    <row r="2279" spans="8:8" x14ac:dyDescent="0.25">
      <c r="H2279" t="s">
        <v>3335</v>
      </c>
    </row>
    <row r="2280" spans="8:8" x14ac:dyDescent="0.25">
      <c r="H2280" t="s">
        <v>3661</v>
      </c>
    </row>
    <row r="2281" spans="8:8" x14ac:dyDescent="0.25">
      <c r="H2281" t="s">
        <v>4231</v>
      </c>
    </row>
    <row r="2282" spans="8:8" x14ac:dyDescent="0.25">
      <c r="H2282" t="s">
        <v>2732</v>
      </c>
    </row>
    <row r="2283" spans="8:8" x14ac:dyDescent="0.25">
      <c r="H2283" t="s">
        <v>1674</v>
      </c>
    </row>
    <row r="2284" spans="8:8" x14ac:dyDescent="0.25">
      <c r="H2284" t="s">
        <v>2738</v>
      </c>
    </row>
    <row r="2285" spans="8:8" x14ac:dyDescent="0.25">
      <c r="H2285" t="s">
        <v>2736</v>
      </c>
    </row>
    <row r="2286" spans="8:8" x14ac:dyDescent="0.25">
      <c r="H2286" t="s">
        <v>1986</v>
      </c>
    </row>
    <row r="2287" spans="8:8" x14ac:dyDescent="0.25">
      <c r="H2287" t="s">
        <v>2686</v>
      </c>
    </row>
    <row r="2288" spans="8:8" x14ac:dyDescent="0.25">
      <c r="H2288" t="s">
        <v>2752</v>
      </c>
    </row>
    <row r="2289" spans="8:8" x14ac:dyDescent="0.25">
      <c r="H2289" t="s">
        <v>4894</v>
      </c>
    </row>
    <row r="2290" spans="8:8" x14ac:dyDescent="0.25">
      <c r="H2290" t="s">
        <v>2761</v>
      </c>
    </row>
    <row r="2291" spans="8:8" x14ac:dyDescent="0.25">
      <c r="H2291" t="s">
        <v>3049</v>
      </c>
    </row>
    <row r="2292" spans="8:8" x14ac:dyDescent="0.25">
      <c r="H2292" t="s">
        <v>4049</v>
      </c>
    </row>
    <row r="2293" spans="8:8" x14ac:dyDescent="0.25">
      <c r="H2293" t="s">
        <v>1878</v>
      </c>
    </row>
    <row r="2294" spans="8:8" x14ac:dyDescent="0.25">
      <c r="H2294" t="s">
        <v>5079</v>
      </c>
    </row>
    <row r="2295" spans="8:8" x14ac:dyDescent="0.25">
      <c r="H2295" t="s">
        <v>1222</v>
      </c>
    </row>
    <row r="2296" spans="8:8" x14ac:dyDescent="0.25">
      <c r="H2296" t="s">
        <v>1503</v>
      </c>
    </row>
    <row r="2297" spans="8:8" x14ac:dyDescent="0.25">
      <c r="H2297" t="s">
        <v>4505</v>
      </c>
    </row>
    <row r="2298" spans="8:8" x14ac:dyDescent="0.25">
      <c r="H2298" t="s">
        <v>5119</v>
      </c>
    </row>
    <row r="2299" spans="8:8" x14ac:dyDescent="0.25">
      <c r="H2299" t="s">
        <v>2191</v>
      </c>
    </row>
    <row r="2300" spans="8:8" x14ac:dyDescent="0.25">
      <c r="H2300" t="s">
        <v>2755</v>
      </c>
    </row>
    <row r="2301" spans="8:8" x14ac:dyDescent="0.25">
      <c r="H2301" t="s">
        <v>2953</v>
      </c>
    </row>
    <row r="2302" spans="8:8" x14ac:dyDescent="0.25">
      <c r="H2302" t="s">
        <v>3430</v>
      </c>
    </row>
    <row r="2303" spans="8:8" x14ac:dyDescent="0.25">
      <c r="H2303" t="s">
        <v>3476</v>
      </c>
    </row>
    <row r="2304" spans="8:8" x14ac:dyDescent="0.25">
      <c r="H2304" t="s">
        <v>477</v>
      </c>
    </row>
    <row r="2305" spans="8:8" x14ac:dyDescent="0.25">
      <c r="H2305" t="s">
        <v>841</v>
      </c>
    </row>
    <row r="2306" spans="8:8" x14ac:dyDescent="0.25">
      <c r="H2306" t="s">
        <v>943</v>
      </c>
    </row>
    <row r="2307" spans="8:8" x14ac:dyDescent="0.25">
      <c r="H2307" t="s">
        <v>2763</v>
      </c>
    </row>
    <row r="2308" spans="8:8" x14ac:dyDescent="0.25">
      <c r="H2308" t="s">
        <v>251</v>
      </c>
    </row>
    <row r="2309" spans="8:8" x14ac:dyDescent="0.25">
      <c r="H2309" t="s">
        <v>1275</v>
      </c>
    </row>
    <row r="2310" spans="8:8" x14ac:dyDescent="0.25">
      <c r="H2310" t="s">
        <v>4004</v>
      </c>
    </row>
    <row r="2311" spans="8:8" x14ac:dyDescent="0.25">
      <c r="H2311" t="s">
        <v>4090</v>
      </c>
    </row>
    <row r="2312" spans="8:8" x14ac:dyDescent="0.25">
      <c r="H2312" t="s">
        <v>2768</v>
      </c>
    </row>
    <row r="2313" spans="8:8" x14ac:dyDescent="0.25">
      <c r="H2313" t="s">
        <v>3976</v>
      </c>
    </row>
    <row r="2314" spans="8:8" x14ac:dyDescent="0.25">
      <c r="H2314" t="s">
        <v>3434</v>
      </c>
    </row>
    <row r="2315" spans="8:8" x14ac:dyDescent="0.25">
      <c r="H2315" t="s">
        <v>3557</v>
      </c>
    </row>
    <row r="2316" spans="8:8" x14ac:dyDescent="0.25">
      <c r="H2316" t="s">
        <v>2770</v>
      </c>
    </row>
    <row r="2317" spans="8:8" x14ac:dyDescent="0.25">
      <c r="H2317" t="s">
        <v>2771</v>
      </c>
    </row>
    <row r="2318" spans="8:8" x14ac:dyDescent="0.25">
      <c r="H2318" t="s">
        <v>1159</v>
      </c>
    </row>
    <row r="2319" spans="8:8" x14ac:dyDescent="0.25">
      <c r="H2319" t="s">
        <v>2772</v>
      </c>
    </row>
    <row r="2320" spans="8:8" x14ac:dyDescent="0.25">
      <c r="H2320" t="s">
        <v>2774</v>
      </c>
    </row>
    <row r="2321" spans="8:8" x14ac:dyDescent="0.25">
      <c r="H2321" t="s">
        <v>2775</v>
      </c>
    </row>
    <row r="2322" spans="8:8" x14ac:dyDescent="0.25">
      <c r="H2322" t="s">
        <v>3404</v>
      </c>
    </row>
    <row r="2323" spans="8:8" x14ac:dyDescent="0.25">
      <c r="H2323" t="s">
        <v>1944</v>
      </c>
    </row>
    <row r="2324" spans="8:8" x14ac:dyDescent="0.25">
      <c r="H2324" t="s">
        <v>2079</v>
      </c>
    </row>
    <row r="2325" spans="8:8" x14ac:dyDescent="0.25">
      <c r="H2325" t="s">
        <v>1355</v>
      </c>
    </row>
    <row r="2326" spans="8:8" x14ac:dyDescent="0.25">
      <c r="H2326" t="s">
        <v>1051</v>
      </c>
    </row>
    <row r="2327" spans="8:8" x14ac:dyDescent="0.25">
      <c r="H2327" t="s">
        <v>502</v>
      </c>
    </row>
    <row r="2328" spans="8:8" x14ac:dyDescent="0.25">
      <c r="H2328" t="s">
        <v>2564</v>
      </c>
    </row>
    <row r="2329" spans="8:8" x14ac:dyDescent="0.25">
      <c r="H2329" t="s">
        <v>2279</v>
      </c>
    </row>
    <row r="2330" spans="8:8" x14ac:dyDescent="0.25">
      <c r="H2330" t="s">
        <v>5423</v>
      </c>
    </row>
    <row r="2331" spans="8:8" x14ac:dyDescent="0.25">
      <c r="H2331" t="s">
        <v>5424</v>
      </c>
    </row>
    <row r="2332" spans="8:8" x14ac:dyDescent="0.25">
      <c r="H2332" t="s">
        <v>5409</v>
      </c>
    </row>
    <row r="2333" spans="8:8" x14ac:dyDescent="0.25">
      <c r="H2333" t="s">
        <v>2199</v>
      </c>
    </row>
    <row r="2334" spans="8:8" x14ac:dyDescent="0.25">
      <c r="H2334" t="s">
        <v>2272</v>
      </c>
    </row>
    <row r="2335" spans="8:8" x14ac:dyDescent="0.25">
      <c r="H2335" t="s">
        <v>878</v>
      </c>
    </row>
    <row r="2336" spans="8:8" x14ac:dyDescent="0.25">
      <c r="H2336" t="s">
        <v>5349</v>
      </c>
    </row>
    <row r="2337" spans="8:8" x14ac:dyDescent="0.25">
      <c r="H2337" t="s">
        <v>4322</v>
      </c>
    </row>
    <row r="2338" spans="8:8" x14ac:dyDescent="0.25">
      <c r="H2338" t="s">
        <v>479</v>
      </c>
    </row>
    <row r="2339" spans="8:8" x14ac:dyDescent="0.25">
      <c r="H2339" t="s">
        <v>3629</v>
      </c>
    </row>
    <row r="2340" spans="8:8" x14ac:dyDescent="0.25">
      <c r="H2340" t="s">
        <v>2947</v>
      </c>
    </row>
    <row r="2341" spans="8:8" x14ac:dyDescent="0.25">
      <c r="H2341" t="s">
        <v>4453</v>
      </c>
    </row>
    <row r="2342" spans="8:8" x14ac:dyDescent="0.25">
      <c r="H2342" t="s">
        <v>1090</v>
      </c>
    </row>
    <row r="2343" spans="8:8" x14ac:dyDescent="0.25">
      <c r="H2343" t="s">
        <v>3406</v>
      </c>
    </row>
    <row r="2344" spans="8:8" x14ac:dyDescent="0.25">
      <c r="H2344" t="s">
        <v>4902</v>
      </c>
    </row>
    <row r="2345" spans="8:8" x14ac:dyDescent="0.25">
      <c r="H2345" t="s">
        <v>1489</v>
      </c>
    </row>
    <row r="2346" spans="8:8" x14ac:dyDescent="0.25">
      <c r="H2346" t="s">
        <v>3254</v>
      </c>
    </row>
    <row r="2347" spans="8:8" x14ac:dyDescent="0.25">
      <c r="H2347" t="s">
        <v>4366</v>
      </c>
    </row>
    <row r="2348" spans="8:8" x14ac:dyDescent="0.25">
      <c r="H2348" t="s">
        <v>475</v>
      </c>
    </row>
    <row r="2349" spans="8:8" x14ac:dyDescent="0.25">
      <c r="H2349" t="s">
        <v>810</v>
      </c>
    </row>
    <row r="2350" spans="8:8" x14ac:dyDescent="0.25">
      <c r="H2350" t="s">
        <v>1354</v>
      </c>
    </row>
    <row r="2351" spans="8:8" x14ac:dyDescent="0.25">
      <c r="H2351" t="s">
        <v>2655</v>
      </c>
    </row>
    <row r="2352" spans="8:8" x14ac:dyDescent="0.25">
      <c r="H2352" t="s">
        <v>565</v>
      </c>
    </row>
    <row r="2353" spans="8:8" x14ac:dyDescent="0.25">
      <c r="H2353" t="s">
        <v>565</v>
      </c>
    </row>
    <row r="2354" spans="8:8" x14ac:dyDescent="0.25">
      <c r="H2354" t="s">
        <v>745</v>
      </c>
    </row>
    <row r="2355" spans="8:8" x14ac:dyDescent="0.25">
      <c r="H2355" t="s">
        <v>5220</v>
      </c>
    </row>
    <row r="2356" spans="8:8" x14ac:dyDescent="0.25">
      <c r="H2356" t="s">
        <v>2719</v>
      </c>
    </row>
    <row r="2357" spans="8:8" x14ac:dyDescent="0.25">
      <c r="H2357" t="s">
        <v>3543</v>
      </c>
    </row>
    <row r="2358" spans="8:8" x14ac:dyDescent="0.25">
      <c r="H2358" t="s">
        <v>1914</v>
      </c>
    </row>
    <row r="2359" spans="8:8" x14ac:dyDescent="0.25">
      <c r="H2359" t="s">
        <v>670</v>
      </c>
    </row>
    <row r="2360" spans="8:8" x14ac:dyDescent="0.25">
      <c r="H2360" t="s">
        <v>2976</v>
      </c>
    </row>
    <row r="2361" spans="8:8" x14ac:dyDescent="0.25">
      <c r="H2361" t="s">
        <v>2778</v>
      </c>
    </row>
    <row r="2362" spans="8:8" x14ac:dyDescent="0.25">
      <c r="H2362" t="s">
        <v>2779</v>
      </c>
    </row>
    <row r="2363" spans="8:8" x14ac:dyDescent="0.25">
      <c r="H2363" t="s">
        <v>2787</v>
      </c>
    </row>
    <row r="2364" spans="8:8" x14ac:dyDescent="0.25">
      <c r="H2364" t="s">
        <v>2791</v>
      </c>
    </row>
    <row r="2365" spans="8:8" x14ac:dyDescent="0.25">
      <c r="H2365" t="s">
        <v>2833</v>
      </c>
    </row>
    <row r="2366" spans="8:8" x14ac:dyDescent="0.25">
      <c r="H2366" t="s">
        <v>515</v>
      </c>
    </row>
    <row r="2367" spans="8:8" x14ac:dyDescent="0.25">
      <c r="H2367" t="s">
        <v>4987</v>
      </c>
    </row>
    <row r="2368" spans="8:8" x14ac:dyDescent="0.25">
      <c r="H2368" t="s">
        <v>1063</v>
      </c>
    </row>
    <row r="2369" spans="8:8" x14ac:dyDescent="0.25">
      <c r="H2369" t="s">
        <v>2795</v>
      </c>
    </row>
    <row r="2370" spans="8:8" x14ac:dyDescent="0.25">
      <c r="H2370" t="s">
        <v>2520</v>
      </c>
    </row>
    <row r="2371" spans="8:8" x14ac:dyDescent="0.25">
      <c r="H2371" t="s">
        <v>4611</v>
      </c>
    </row>
    <row r="2372" spans="8:8" x14ac:dyDescent="0.25">
      <c r="H2372" t="s">
        <v>2169</v>
      </c>
    </row>
    <row r="2373" spans="8:8" x14ac:dyDescent="0.25">
      <c r="H2373" t="s">
        <v>606</v>
      </c>
    </row>
    <row r="2374" spans="8:8" x14ac:dyDescent="0.25">
      <c r="H2374" t="s">
        <v>1913</v>
      </c>
    </row>
    <row r="2375" spans="8:8" x14ac:dyDescent="0.25">
      <c r="H2375" t="s">
        <v>644</v>
      </c>
    </row>
    <row r="2376" spans="8:8" x14ac:dyDescent="0.25">
      <c r="H2376" t="s">
        <v>3265</v>
      </c>
    </row>
    <row r="2377" spans="8:8" x14ac:dyDescent="0.25">
      <c r="H2377" t="s">
        <v>962</v>
      </c>
    </row>
    <row r="2378" spans="8:8" x14ac:dyDescent="0.25">
      <c r="H2378" t="s">
        <v>2807</v>
      </c>
    </row>
    <row r="2379" spans="8:8" x14ac:dyDescent="0.25">
      <c r="H2379" t="s">
        <v>2809</v>
      </c>
    </row>
    <row r="2380" spans="8:8" x14ac:dyDescent="0.25">
      <c r="H2380" t="s">
        <v>2442</v>
      </c>
    </row>
    <row r="2381" spans="8:8" x14ac:dyDescent="0.25">
      <c r="H2381" t="s">
        <v>2838</v>
      </c>
    </row>
    <row r="2382" spans="8:8" x14ac:dyDescent="0.25">
      <c r="H2382" t="s">
        <v>2685</v>
      </c>
    </row>
    <row r="2383" spans="8:8" x14ac:dyDescent="0.25">
      <c r="H2383" t="s">
        <v>1091</v>
      </c>
    </row>
    <row r="2384" spans="8:8" x14ac:dyDescent="0.25">
      <c r="H2384" t="s">
        <v>4414</v>
      </c>
    </row>
    <row r="2385" spans="8:8" x14ac:dyDescent="0.25">
      <c r="H2385" t="s">
        <v>4184</v>
      </c>
    </row>
    <row r="2386" spans="8:8" x14ac:dyDescent="0.25">
      <c r="H2386" t="s">
        <v>3129</v>
      </c>
    </row>
    <row r="2387" spans="8:8" x14ac:dyDescent="0.25">
      <c r="H2387" t="s">
        <v>4727</v>
      </c>
    </row>
    <row r="2388" spans="8:8" x14ac:dyDescent="0.25">
      <c r="H2388" t="s">
        <v>1428</v>
      </c>
    </row>
    <row r="2389" spans="8:8" x14ac:dyDescent="0.25">
      <c r="H2389" t="s">
        <v>4988</v>
      </c>
    </row>
    <row r="2390" spans="8:8" x14ac:dyDescent="0.25">
      <c r="H2390" t="s">
        <v>1783</v>
      </c>
    </row>
    <row r="2391" spans="8:8" x14ac:dyDescent="0.25">
      <c r="H2391" t="s">
        <v>812</v>
      </c>
    </row>
    <row r="2392" spans="8:8" x14ac:dyDescent="0.25">
      <c r="H2392" t="s">
        <v>5307</v>
      </c>
    </row>
    <row r="2393" spans="8:8" x14ac:dyDescent="0.25">
      <c r="H2393" t="s">
        <v>2425</v>
      </c>
    </row>
    <row r="2394" spans="8:8" x14ac:dyDescent="0.25">
      <c r="H2394" t="s">
        <v>2834</v>
      </c>
    </row>
    <row r="2395" spans="8:8" x14ac:dyDescent="0.25">
      <c r="H2395" t="s">
        <v>2835</v>
      </c>
    </row>
    <row r="2396" spans="8:8" x14ac:dyDescent="0.25">
      <c r="H2396" t="s">
        <v>1591</v>
      </c>
    </row>
    <row r="2397" spans="8:8" x14ac:dyDescent="0.25">
      <c r="H2397" t="s">
        <v>3091</v>
      </c>
    </row>
    <row r="2398" spans="8:8" x14ac:dyDescent="0.25">
      <c r="H2398" t="s">
        <v>2836</v>
      </c>
    </row>
    <row r="2399" spans="8:8" x14ac:dyDescent="0.25">
      <c r="H2399" t="s">
        <v>591</v>
      </c>
    </row>
    <row r="2400" spans="8:8" x14ac:dyDescent="0.25">
      <c r="H2400" t="s">
        <v>5474</v>
      </c>
    </row>
    <row r="2401" spans="8:8" x14ac:dyDescent="0.25">
      <c r="H2401" t="s">
        <v>1243</v>
      </c>
    </row>
    <row r="2402" spans="8:8" x14ac:dyDescent="0.25">
      <c r="H2402" t="s">
        <v>1234</v>
      </c>
    </row>
    <row r="2403" spans="8:8" x14ac:dyDescent="0.25">
      <c r="H2403" t="s">
        <v>1231</v>
      </c>
    </row>
    <row r="2404" spans="8:8" x14ac:dyDescent="0.25">
      <c r="H2404" t="s">
        <v>2089</v>
      </c>
    </row>
    <row r="2405" spans="8:8" x14ac:dyDescent="0.25">
      <c r="H2405" t="s">
        <v>3375</v>
      </c>
    </row>
    <row r="2406" spans="8:8" x14ac:dyDescent="0.25">
      <c r="H2406" t="s">
        <v>2890</v>
      </c>
    </row>
    <row r="2407" spans="8:8" x14ac:dyDescent="0.25">
      <c r="H2407" t="s">
        <v>2840</v>
      </c>
    </row>
    <row r="2408" spans="8:8" x14ac:dyDescent="0.25">
      <c r="H2408" t="s">
        <v>2851</v>
      </c>
    </row>
    <row r="2409" spans="8:8" x14ac:dyDescent="0.25">
      <c r="H2409" t="s">
        <v>3145</v>
      </c>
    </row>
    <row r="2410" spans="8:8" x14ac:dyDescent="0.25">
      <c r="H2410" t="s">
        <v>5465</v>
      </c>
    </row>
    <row r="2411" spans="8:8" x14ac:dyDescent="0.25">
      <c r="H2411" t="s">
        <v>524</v>
      </c>
    </row>
    <row r="2412" spans="8:8" x14ac:dyDescent="0.25">
      <c r="H2412" t="s">
        <v>2897</v>
      </c>
    </row>
    <row r="2413" spans="8:8" x14ac:dyDescent="0.25">
      <c r="H2413" t="s">
        <v>1449</v>
      </c>
    </row>
    <row r="2414" spans="8:8" x14ac:dyDescent="0.25">
      <c r="H2414" t="s">
        <v>2475</v>
      </c>
    </row>
    <row r="2415" spans="8:8" x14ac:dyDescent="0.25">
      <c r="H2415" t="s">
        <v>671</v>
      </c>
    </row>
    <row r="2416" spans="8:8" x14ac:dyDescent="0.25">
      <c r="H2416" t="s">
        <v>1486</v>
      </c>
    </row>
    <row r="2417" spans="8:8" x14ac:dyDescent="0.25">
      <c r="H2417" t="s">
        <v>2837</v>
      </c>
    </row>
    <row r="2418" spans="8:8" x14ac:dyDescent="0.25">
      <c r="H2418" t="s">
        <v>2801</v>
      </c>
    </row>
    <row r="2419" spans="8:8" x14ac:dyDescent="0.25">
      <c r="H2419" t="s">
        <v>2891</v>
      </c>
    </row>
    <row r="2420" spans="8:8" x14ac:dyDescent="0.25">
      <c r="H2420" t="s">
        <v>1214</v>
      </c>
    </row>
    <row r="2421" spans="8:8" x14ac:dyDescent="0.25">
      <c r="H2421" t="s">
        <v>2892</v>
      </c>
    </row>
    <row r="2422" spans="8:8" x14ac:dyDescent="0.25">
      <c r="H2422" t="s">
        <v>2893</v>
      </c>
    </row>
    <row r="2423" spans="8:8" x14ac:dyDescent="0.25">
      <c r="H2423" t="s">
        <v>5503</v>
      </c>
    </row>
    <row r="2424" spans="8:8" x14ac:dyDescent="0.25">
      <c r="H2424" t="s">
        <v>2911</v>
      </c>
    </row>
    <row r="2425" spans="8:8" x14ac:dyDescent="0.25">
      <c r="H2425" t="s">
        <v>2336</v>
      </c>
    </row>
    <row r="2426" spans="8:8" x14ac:dyDescent="0.25">
      <c r="H2426" t="s">
        <v>3899</v>
      </c>
    </row>
    <row r="2427" spans="8:8" x14ac:dyDescent="0.25">
      <c r="H2427" t="s">
        <v>3403</v>
      </c>
    </row>
    <row r="2428" spans="8:8" x14ac:dyDescent="0.25">
      <c r="H2428" t="s">
        <v>896</v>
      </c>
    </row>
    <row r="2429" spans="8:8" x14ac:dyDescent="0.25">
      <c r="H2429" t="s">
        <v>3411</v>
      </c>
    </row>
    <row r="2430" spans="8:8" x14ac:dyDescent="0.25">
      <c r="H2430" t="s">
        <v>2917</v>
      </c>
    </row>
    <row r="2431" spans="8:8" x14ac:dyDescent="0.25">
      <c r="H2431" t="s">
        <v>3830</v>
      </c>
    </row>
    <row r="2432" spans="8:8" x14ac:dyDescent="0.25">
      <c r="H2432" t="s">
        <v>2916</v>
      </c>
    </row>
    <row r="2433" spans="8:8" x14ac:dyDescent="0.25">
      <c r="H2433" t="s">
        <v>2816</v>
      </c>
    </row>
    <row r="2434" spans="8:8" x14ac:dyDescent="0.25">
      <c r="H2434" t="s">
        <v>1049</v>
      </c>
    </row>
    <row r="2435" spans="8:8" x14ac:dyDescent="0.25">
      <c r="H2435" t="s">
        <v>4826</v>
      </c>
    </row>
    <row r="2436" spans="8:8" x14ac:dyDescent="0.25">
      <c r="H2436" t="s">
        <v>1806</v>
      </c>
    </row>
    <row r="2437" spans="8:8" x14ac:dyDescent="0.25">
      <c r="H2437" t="s">
        <v>1108</v>
      </c>
    </row>
    <row r="2438" spans="8:8" x14ac:dyDescent="0.25">
      <c r="H2438" t="s">
        <v>5352</v>
      </c>
    </row>
    <row r="2439" spans="8:8" x14ac:dyDescent="0.25">
      <c r="H2439" t="s">
        <v>5260</v>
      </c>
    </row>
    <row r="2440" spans="8:8" x14ac:dyDescent="0.25">
      <c r="H2440" t="s">
        <v>3578</v>
      </c>
    </row>
    <row r="2441" spans="8:8" x14ac:dyDescent="0.25">
      <c r="H2441" t="s">
        <v>4025</v>
      </c>
    </row>
    <row r="2442" spans="8:8" x14ac:dyDescent="0.25">
      <c r="H2442" t="s">
        <v>4783</v>
      </c>
    </row>
    <row r="2443" spans="8:8" x14ac:dyDescent="0.25">
      <c r="H2443" t="s">
        <v>2948</v>
      </c>
    </row>
    <row r="2444" spans="8:8" x14ac:dyDescent="0.25">
      <c r="H2444" t="s">
        <v>2951</v>
      </c>
    </row>
    <row r="2445" spans="8:8" x14ac:dyDescent="0.25">
      <c r="H2445" t="s">
        <v>891</v>
      </c>
    </row>
    <row r="2446" spans="8:8" x14ac:dyDescent="0.25">
      <c r="H2446" t="s">
        <v>2954</v>
      </c>
    </row>
    <row r="2447" spans="8:8" x14ac:dyDescent="0.25">
      <c r="H2447" t="s">
        <v>782</v>
      </c>
    </row>
    <row r="2448" spans="8:8" x14ac:dyDescent="0.25">
      <c r="H2448" t="s">
        <v>2955</v>
      </c>
    </row>
    <row r="2449" spans="8:8" x14ac:dyDescent="0.25">
      <c r="H2449" t="s">
        <v>2956</v>
      </c>
    </row>
    <row r="2450" spans="8:8" x14ac:dyDescent="0.25">
      <c r="H2450" t="s">
        <v>3715</v>
      </c>
    </row>
    <row r="2451" spans="8:8" x14ac:dyDescent="0.25">
      <c r="H2451" t="s">
        <v>4147</v>
      </c>
    </row>
    <row r="2452" spans="8:8" x14ac:dyDescent="0.25">
      <c r="H2452" t="s">
        <v>1463</v>
      </c>
    </row>
    <row r="2453" spans="8:8" x14ac:dyDescent="0.25">
      <c r="H2453" t="s">
        <v>2842</v>
      </c>
    </row>
    <row r="2454" spans="8:8" x14ac:dyDescent="0.25">
      <c r="H2454" t="s">
        <v>4148</v>
      </c>
    </row>
    <row r="2455" spans="8:8" x14ac:dyDescent="0.25">
      <c r="H2455" t="s">
        <v>2511</v>
      </c>
    </row>
    <row r="2456" spans="8:8" x14ac:dyDescent="0.25">
      <c r="H2456" t="s">
        <v>1474</v>
      </c>
    </row>
    <row r="2457" spans="8:8" x14ac:dyDescent="0.25">
      <c r="H2457" t="s">
        <v>2499</v>
      </c>
    </row>
    <row r="2458" spans="8:8" x14ac:dyDescent="0.25">
      <c r="H2458" t="s">
        <v>3435</v>
      </c>
    </row>
    <row r="2459" spans="8:8" x14ac:dyDescent="0.25">
      <c r="H2459" t="s">
        <v>2960</v>
      </c>
    </row>
    <row r="2460" spans="8:8" x14ac:dyDescent="0.25">
      <c r="H2460" t="s">
        <v>2962</v>
      </c>
    </row>
    <row r="2461" spans="8:8" x14ac:dyDescent="0.25">
      <c r="H2461" t="s">
        <v>2963</v>
      </c>
    </row>
    <row r="2462" spans="8:8" x14ac:dyDescent="0.25">
      <c r="H2462" t="s">
        <v>2968</v>
      </c>
    </row>
    <row r="2463" spans="8:8" x14ac:dyDescent="0.25">
      <c r="H2463" t="s">
        <v>2969</v>
      </c>
    </row>
    <row r="2464" spans="8:8" x14ac:dyDescent="0.25">
      <c r="H2464" t="s">
        <v>2971</v>
      </c>
    </row>
    <row r="2465" spans="8:8" x14ac:dyDescent="0.25">
      <c r="H2465" t="s">
        <v>1034</v>
      </c>
    </row>
    <row r="2466" spans="8:8" x14ac:dyDescent="0.25">
      <c r="H2466" t="s">
        <v>2973</v>
      </c>
    </row>
    <row r="2467" spans="8:8" x14ac:dyDescent="0.25">
      <c r="H2467" t="s">
        <v>2974</v>
      </c>
    </row>
    <row r="2468" spans="8:8" x14ac:dyDescent="0.25">
      <c r="H2468" t="s">
        <v>2624</v>
      </c>
    </row>
    <row r="2469" spans="8:8" x14ac:dyDescent="0.25">
      <c r="H2469" t="s">
        <v>2332</v>
      </c>
    </row>
    <row r="2470" spans="8:8" x14ac:dyDescent="0.25">
      <c r="H2470" t="s">
        <v>3804</v>
      </c>
    </row>
    <row r="2471" spans="8:8" x14ac:dyDescent="0.25">
      <c r="H2471" t="s">
        <v>1532</v>
      </c>
    </row>
    <row r="2472" spans="8:8" x14ac:dyDescent="0.25">
      <c r="H2472" t="s">
        <v>2975</v>
      </c>
    </row>
    <row r="2473" spans="8:8" x14ac:dyDescent="0.25">
      <c r="H2473" t="s">
        <v>1566</v>
      </c>
    </row>
    <row r="2474" spans="8:8" x14ac:dyDescent="0.25">
      <c r="H2474" t="s">
        <v>2977</v>
      </c>
    </row>
    <row r="2475" spans="8:8" x14ac:dyDescent="0.25">
      <c r="H2475" t="s">
        <v>4122</v>
      </c>
    </row>
    <row r="2476" spans="8:8" x14ac:dyDescent="0.25">
      <c r="H2476" t="s">
        <v>4217</v>
      </c>
    </row>
    <row r="2477" spans="8:8" x14ac:dyDescent="0.25">
      <c r="H2477" t="s">
        <v>2979</v>
      </c>
    </row>
    <row r="2478" spans="8:8" x14ac:dyDescent="0.25">
      <c r="H2478" t="s">
        <v>1604</v>
      </c>
    </row>
    <row r="2479" spans="8:8" x14ac:dyDescent="0.25">
      <c r="H2479" t="s">
        <v>2980</v>
      </c>
    </row>
    <row r="2480" spans="8:8" x14ac:dyDescent="0.25">
      <c r="H2480" t="s">
        <v>1426</v>
      </c>
    </row>
    <row r="2481" spans="8:8" x14ac:dyDescent="0.25">
      <c r="H2481" t="s">
        <v>3183</v>
      </c>
    </row>
    <row r="2482" spans="8:8" x14ac:dyDescent="0.25">
      <c r="H2482" t="s">
        <v>4024</v>
      </c>
    </row>
    <row r="2483" spans="8:8" x14ac:dyDescent="0.25">
      <c r="H2483" t="s">
        <v>1110</v>
      </c>
    </row>
    <row r="2484" spans="8:8" x14ac:dyDescent="0.25">
      <c r="H2484" t="s">
        <v>2899</v>
      </c>
    </row>
    <row r="2485" spans="8:8" x14ac:dyDescent="0.25">
      <c r="H2485" t="s">
        <v>3355</v>
      </c>
    </row>
    <row r="2486" spans="8:8" x14ac:dyDescent="0.25">
      <c r="H2486" t="s">
        <v>1490</v>
      </c>
    </row>
    <row r="2487" spans="8:8" x14ac:dyDescent="0.25">
      <c r="H2487" t="s">
        <v>2985</v>
      </c>
    </row>
    <row r="2488" spans="8:8" x14ac:dyDescent="0.25">
      <c r="H2488" t="s">
        <v>2086</v>
      </c>
    </row>
    <row r="2489" spans="8:8" x14ac:dyDescent="0.25">
      <c r="H2489" t="s">
        <v>4113</v>
      </c>
    </row>
    <row r="2490" spans="8:8" x14ac:dyDescent="0.25">
      <c r="H2490" t="s">
        <v>4114</v>
      </c>
    </row>
    <row r="2491" spans="8:8" x14ac:dyDescent="0.25">
      <c r="H2491" t="s">
        <v>2994</v>
      </c>
    </row>
    <row r="2492" spans="8:8" x14ac:dyDescent="0.25">
      <c r="H2492" t="s">
        <v>2997</v>
      </c>
    </row>
    <row r="2493" spans="8:8" x14ac:dyDescent="0.25">
      <c r="H2493" t="s">
        <v>2347</v>
      </c>
    </row>
    <row r="2494" spans="8:8" x14ac:dyDescent="0.25">
      <c r="H2494" t="s">
        <v>2343</v>
      </c>
    </row>
    <row r="2495" spans="8:8" x14ac:dyDescent="0.25">
      <c r="H2495" t="s">
        <v>2339</v>
      </c>
    </row>
    <row r="2496" spans="8:8" x14ac:dyDescent="0.25">
      <c r="H2496" t="s">
        <v>2340</v>
      </c>
    </row>
    <row r="2497" spans="8:8" x14ac:dyDescent="0.25">
      <c r="H2497" t="s">
        <v>2341</v>
      </c>
    </row>
    <row r="2498" spans="8:8" x14ac:dyDescent="0.25">
      <c r="H2498" t="s">
        <v>2345</v>
      </c>
    </row>
    <row r="2499" spans="8:8" x14ac:dyDescent="0.25">
      <c r="H2499" t="s">
        <v>2346</v>
      </c>
    </row>
    <row r="2500" spans="8:8" x14ac:dyDescent="0.25">
      <c r="H2500" t="s">
        <v>2344</v>
      </c>
    </row>
    <row r="2501" spans="8:8" x14ac:dyDescent="0.25">
      <c r="H2501" t="s">
        <v>2348</v>
      </c>
    </row>
    <row r="2502" spans="8:8" x14ac:dyDescent="0.25">
      <c r="H2502" t="s">
        <v>3727</v>
      </c>
    </row>
    <row r="2503" spans="8:8" x14ac:dyDescent="0.25">
      <c r="H2503" t="s">
        <v>4750</v>
      </c>
    </row>
    <row r="2504" spans="8:8" x14ac:dyDescent="0.25">
      <c r="H2504" t="s">
        <v>2337</v>
      </c>
    </row>
    <row r="2505" spans="8:8" x14ac:dyDescent="0.25">
      <c r="H2505" t="s">
        <v>3000</v>
      </c>
    </row>
    <row r="2506" spans="8:8" x14ac:dyDescent="0.25">
      <c r="H2506" t="s">
        <v>1660</v>
      </c>
    </row>
    <row r="2507" spans="8:8" x14ac:dyDescent="0.25">
      <c r="H2507" t="s">
        <v>3004</v>
      </c>
    </row>
    <row r="2508" spans="8:8" x14ac:dyDescent="0.25">
      <c r="H2508" t="s">
        <v>3305</v>
      </c>
    </row>
    <row r="2509" spans="8:8" x14ac:dyDescent="0.25">
      <c r="H2509" t="s">
        <v>1343</v>
      </c>
    </row>
    <row r="2510" spans="8:8" x14ac:dyDescent="0.25">
      <c r="H2510" t="s">
        <v>1344</v>
      </c>
    </row>
    <row r="2511" spans="8:8" x14ac:dyDescent="0.25">
      <c r="H2511" t="s">
        <v>1345</v>
      </c>
    </row>
    <row r="2512" spans="8:8" x14ac:dyDescent="0.25">
      <c r="H2512" t="s">
        <v>3009</v>
      </c>
    </row>
    <row r="2513" spans="8:8" x14ac:dyDescent="0.25">
      <c r="H2513" t="s">
        <v>4196</v>
      </c>
    </row>
    <row r="2514" spans="8:8" x14ac:dyDescent="0.25">
      <c r="H2514" t="s">
        <v>3107</v>
      </c>
    </row>
    <row r="2515" spans="8:8" x14ac:dyDescent="0.25">
      <c r="H2515" t="s">
        <v>2553</v>
      </c>
    </row>
    <row r="2516" spans="8:8" x14ac:dyDescent="0.25">
      <c r="H2516" t="s">
        <v>2652</v>
      </c>
    </row>
    <row r="2517" spans="8:8" x14ac:dyDescent="0.25">
      <c r="H2517" t="s">
        <v>3015</v>
      </c>
    </row>
    <row r="2518" spans="8:8" x14ac:dyDescent="0.25">
      <c r="H2518" t="s">
        <v>5347</v>
      </c>
    </row>
    <row r="2519" spans="8:8" x14ac:dyDescent="0.25">
      <c r="H2519" t="s">
        <v>3013</v>
      </c>
    </row>
    <row r="2520" spans="8:8" x14ac:dyDescent="0.25">
      <c r="H2520" t="s">
        <v>4701</v>
      </c>
    </row>
    <row r="2521" spans="8:8" x14ac:dyDescent="0.25">
      <c r="H2521" t="s">
        <v>3014</v>
      </c>
    </row>
    <row r="2522" spans="8:8" x14ac:dyDescent="0.25">
      <c r="H2522" t="s">
        <v>3328</v>
      </c>
    </row>
    <row r="2523" spans="8:8" x14ac:dyDescent="0.25">
      <c r="H2523" t="s">
        <v>736</v>
      </c>
    </row>
    <row r="2524" spans="8:8" x14ac:dyDescent="0.25">
      <c r="H2524" t="s">
        <v>2351</v>
      </c>
    </row>
    <row r="2525" spans="8:8" x14ac:dyDescent="0.25">
      <c r="H2525" t="s">
        <v>737</v>
      </c>
    </row>
    <row r="2526" spans="8:8" x14ac:dyDescent="0.25">
      <c r="H2526" t="s">
        <v>3018</v>
      </c>
    </row>
    <row r="2527" spans="8:8" x14ac:dyDescent="0.25">
      <c r="H2527" t="s">
        <v>3020</v>
      </c>
    </row>
    <row r="2528" spans="8:8" x14ac:dyDescent="0.25">
      <c r="H2528" t="s">
        <v>764</v>
      </c>
    </row>
    <row r="2529" spans="8:8" x14ac:dyDescent="0.25">
      <c r="H2529" t="s">
        <v>2353</v>
      </c>
    </row>
    <row r="2530" spans="8:8" x14ac:dyDescent="0.25">
      <c r="H2530" t="s">
        <v>4561</v>
      </c>
    </row>
    <row r="2531" spans="8:8" x14ac:dyDescent="0.25">
      <c r="H2531" t="s">
        <v>1587</v>
      </c>
    </row>
    <row r="2532" spans="8:8" x14ac:dyDescent="0.25">
      <c r="H2532" t="s">
        <v>3022</v>
      </c>
    </row>
    <row r="2533" spans="8:8" x14ac:dyDescent="0.25">
      <c r="H2533" t="s">
        <v>5099</v>
      </c>
    </row>
    <row r="2534" spans="8:8" x14ac:dyDescent="0.25">
      <c r="H2534" t="s">
        <v>1864</v>
      </c>
    </row>
    <row r="2535" spans="8:8" x14ac:dyDescent="0.25">
      <c r="H2535" t="s">
        <v>4965</v>
      </c>
    </row>
    <row r="2536" spans="8:8" x14ac:dyDescent="0.25">
      <c r="H2536" t="s">
        <v>3026</v>
      </c>
    </row>
    <row r="2537" spans="8:8" x14ac:dyDescent="0.25">
      <c r="H2537" t="s">
        <v>4133</v>
      </c>
    </row>
    <row r="2538" spans="8:8" x14ac:dyDescent="0.25">
      <c r="H2538" t="s">
        <v>3025</v>
      </c>
    </row>
    <row r="2539" spans="8:8" x14ac:dyDescent="0.25">
      <c r="H2539" t="s">
        <v>2352</v>
      </c>
    </row>
    <row r="2540" spans="8:8" x14ac:dyDescent="0.25">
      <c r="H2540" t="s">
        <v>4728</v>
      </c>
    </row>
    <row r="2541" spans="8:8" x14ac:dyDescent="0.25">
      <c r="H2541" t="s">
        <v>950</v>
      </c>
    </row>
    <row r="2542" spans="8:8" x14ac:dyDescent="0.25">
      <c r="H2542" t="s">
        <v>3029</v>
      </c>
    </row>
    <row r="2543" spans="8:8" x14ac:dyDescent="0.25">
      <c r="H2543" t="s">
        <v>4708</v>
      </c>
    </row>
    <row r="2544" spans="8:8" x14ac:dyDescent="0.25">
      <c r="H2544" t="s">
        <v>2000</v>
      </c>
    </row>
    <row r="2545" spans="8:8" x14ac:dyDescent="0.25">
      <c r="H2545" t="s">
        <v>3046</v>
      </c>
    </row>
    <row r="2546" spans="8:8" x14ac:dyDescent="0.25">
      <c r="H2546" t="s">
        <v>252</v>
      </c>
    </row>
    <row r="2547" spans="8:8" x14ac:dyDescent="0.25">
      <c r="H2547" t="s">
        <v>2625</v>
      </c>
    </row>
    <row r="2548" spans="8:8" x14ac:dyDescent="0.25">
      <c r="H2548" t="s">
        <v>2625</v>
      </c>
    </row>
    <row r="2549" spans="8:8" x14ac:dyDescent="0.25">
      <c r="H2549" t="s">
        <v>4224</v>
      </c>
    </row>
    <row r="2550" spans="8:8" x14ac:dyDescent="0.25">
      <c r="H2550" t="s">
        <v>1306</v>
      </c>
    </row>
    <row r="2551" spans="8:8" x14ac:dyDescent="0.25">
      <c r="H2551" t="s">
        <v>1230</v>
      </c>
    </row>
    <row r="2552" spans="8:8" x14ac:dyDescent="0.25">
      <c r="H2552" t="s">
        <v>1822</v>
      </c>
    </row>
    <row r="2553" spans="8:8" x14ac:dyDescent="0.25">
      <c r="H2553" t="s">
        <v>3113</v>
      </c>
    </row>
    <row r="2554" spans="8:8" x14ac:dyDescent="0.25">
      <c r="H2554" t="s">
        <v>2025</v>
      </c>
    </row>
    <row r="2555" spans="8:8" x14ac:dyDescent="0.25">
      <c r="H2555" t="s">
        <v>1121</v>
      </c>
    </row>
    <row r="2556" spans="8:8" x14ac:dyDescent="0.25">
      <c r="H2556" t="s">
        <v>1121</v>
      </c>
    </row>
    <row r="2557" spans="8:8" x14ac:dyDescent="0.25">
      <c r="H2557" t="s">
        <v>1161</v>
      </c>
    </row>
    <row r="2558" spans="8:8" x14ac:dyDescent="0.25">
      <c r="H2558" t="s">
        <v>1308</v>
      </c>
    </row>
    <row r="2559" spans="8:8" x14ac:dyDescent="0.25">
      <c r="H2559" t="s">
        <v>2572</v>
      </c>
    </row>
    <row r="2560" spans="8:8" x14ac:dyDescent="0.25">
      <c r="H2560" t="s">
        <v>1094</v>
      </c>
    </row>
    <row r="2561" spans="8:8" x14ac:dyDescent="0.25">
      <c r="H2561" t="s">
        <v>4896</v>
      </c>
    </row>
    <row r="2562" spans="8:8" x14ac:dyDescent="0.25">
      <c r="H2562" t="s">
        <v>2722</v>
      </c>
    </row>
    <row r="2563" spans="8:8" x14ac:dyDescent="0.25">
      <c r="H2563" t="s">
        <v>2714</v>
      </c>
    </row>
    <row r="2564" spans="8:8" x14ac:dyDescent="0.25">
      <c r="H2564" t="s">
        <v>1135</v>
      </c>
    </row>
    <row r="2565" spans="8:8" x14ac:dyDescent="0.25">
      <c r="H2565" t="s">
        <v>1601</v>
      </c>
    </row>
    <row r="2566" spans="8:8" x14ac:dyDescent="0.25">
      <c r="H2566" t="s">
        <v>5355</v>
      </c>
    </row>
    <row r="2567" spans="8:8" x14ac:dyDescent="0.25">
      <c r="H2567" t="s">
        <v>4977</v>
      </c>
    </row>
    <row r="2568" spans="8:8" x14ac:dyDescent="0.25">
      <c r="H2568" t="s">
        <v>5270</v>
      </c>
    </row>
    <row r="2569" spans="8:8" x14ac:dyDescent="0.25">
      <c r="H2569" t="s">
        <v>3602</v>
      </c>
    </row>
    <row r="2570" spans="8:8" x14ac:dyDescent="0.25">
      <c r="H2570" t="s">
        <v>5360</v>
      </c>
    </row>
    <row r="2571" spans="8:8" x14ac:dyDescent="0.25">
      <c r="H2571" t="s">
        <v>4751</v>
      </c>
    </row>
    <row r="2572" spans="8:8" x14ac:dyDescent="0.25">
      <c r="H2572" t="s">
        <v>4974</v>
      </c>
    </row>
    <row r="2573" spans="8:8" x14ac:dyDescent="0.25">
      <c r="H2573" t="s">
        <v>3837</v>
      </c>
    </row>
    <row r="2574" spans="8:8" x14ac:dyDescent="0.25">
      <c r="H2574" t="s">
        <v>579</v>
      </c>
    </row>
    <row r="2575" spans="8:8" x14ac:dyDescent="0.25">
      <c r="H2575" t="s">
        <v>3743</v>
      </c>
    </row>
    <row r="2576" spans="8:8" x14ac:dyDescent="0.25">
      <c r="H2576" t="s">
        <v>3502</v>
      </c>
    </row>
    <row r="2577" spans="8:8" x14ac:dyDescent="0.25">
      <c r="H2577" t="s">
        <v>575</v>
      </c>
    </row>
    <row r="2578" spans="8:8" x14ac:dyDescent="0.25">
      <c r="H2578" t="s">
        <v>1759</v>
      </c>
    </row>
    <row r="2579" spans="8:8" x14ac:dyDescent="0.25">
      <c r="H2579" t="s">
        <v>5069</v>
      </c>
    </row>
    <row r="2580" spans="8:8" x14ac:dyDescent="0.25">
      <c r="H2580" t="s">
        <v>4519</v>
      </c>
    </row>
    <row r="2581" spans="8:8" x14ac:dyDescent="0.25">
      <c r="H2581" t="s">
        <v>1127</v>
      </c>
    </row>
    <row r="2582" spans="8:8" x14ac:dyDescent="0.25">
      <c r="H2582" t="s">
        <v>3286</v>
      </c>
    </row>
    <row r="2583" spans="8:8" x14ac:dyDescent="0.25">
      <c r="H2583" t="s">
        <v>4381</v>
      </c>
    </row>
    <row r="2584" spans="8:8" x14ac:dyDescent="0.25">
      <c r="H2584" t="s">
        <v>4941</v>
      </c>
    </row>
    <row r="2585" spans="8:8" x14ac:dyDescent="0.25">
      <c r="H2585" t="s">
        <v>2781</v>
      </c>
    </row>
    <row r="2586" spans="8:8" x14ac:dyDescent="0.25">
      <c r="H2586" t="s">
        <v>1310</v>
      </c>
    </row>
    <row r="2587" spans="8:8" x14ac:dyDescent="0.25">
      <c r="H2587" t="s">
        <v>2192</v>
      </c>
    </row>
    <row r="2588" spans="8:8" x14ac:dyDescent="0.25">
      <c r="H2588" t="s">
        <v>2215</v>
      </c>
    </row>
    <row r="2589" spans="8:8" x14ac:dyDescent="0.25">
      <c r="H2589" t="s">
        <v>1307</v>
      </c>
    </row>
    <row r="2590" spans="8:8" x14ac:dyDescent="0.25">
      <c r="H2590" t="s">
        <v>2654</v>
      </c>
    </row>
    <row r="2591" spans="8:8" x14ac:dyDescent="0.25">
      <c r="H2591" t="s">
        <v>2919</v>
      </c>
    </row>
    <row r="2592" spans="8:8" x14ac:dyDescent="0.25">
      <c r="H2592" t="s">
        <v>1309</v>
      </c>
    </row>
    <row r="2593" spans="8:8" x14ac:dyDescent="0.25">
      <c r="H2593" t="s">
        <v>1880</v>
      </c>
    </row>
    <row r="2594" spans="8:8" x14ac:dyDescent="0.25">
      <c r="H2594" t="s">
        <v>1523</v>
      </c>
    </row>
    <row r="2595" spans="8:8" x14ac:dyDescent="0.25">
      <c r="H2595" t="s">
        <v>1133</v>
      </c>
    </row>
    <row r="2596" spans="8:8" x14ac:dyDescent="0.25">
      <c r="H2596" t="s">
        <v>1133</v>
      </c>
    </row>
    <row r="2597" spans="8:8" x14ac:dyDescent="0.25">
      <c r="H2597" t="s">
        <v>3497</v>
      </c>
    </row>
    <row r="2598" spans="8:8" x14ac:dyDescent="0.25">
      <c r="H2598" t="s">
        <v>3546</v>
      </c>
    </row>
    <row r="2599" spans="8:8" x14ac:dyDescent="0.25">
      <c r="H2599" t="s">
        <v>2500</v>
      </c>
    </row>
    <row r="2600" spans="8:8" x14ac:dyDescent="0.25">
      <c r="H2600" t="s">
        <v>2500</v>
      </c>
    </row>
    <row r="2601" spans="8:8" x14ac:dyDescent="0.25">
      <c r="H2601" t="s">
        <v>3923</v>
      </c>
    </row>
    <row r="2602" spans="8:8" x14ac:dyDescent="0.25">
      <c r="H2602" t="s">
        <v>3971</v>
      </c>
    </row>
    <row r="2603" spans="8:8" x14ac:dyDescent="0.25">
      <c r="H2603" t="s">
        <v>3977</v>
      </c>
    </row>
    <row r="2604" spans="8:8" x14ac:dyDescent="0.25">
      <c r="H2604" t="s">
        <v>3981</v>
      </c>
    </row>
    <row r="2605" spans="8:8" x14ac:dyDescent="0.25">
      <c r="H2605" t="s">
        <v>1229</v>
      </c>
    </row>
    <row r="2606" spans="8:8" x14ac:dyDescent="0.25">
      <c r="H2606" t="s">
        <v>1229</v>
      </c>
    </row>
    <row r="2607" spans="8:8" x14ac:dyDescent="0.25">
      <c r="H2607" t="s">
        <v>1229</v>
      </c>
    </row>
    <row r="2608" spans="8:8" x14ac:dyDescent="0.25">
      <c r="H2608" t="s">
        <v>5049</v>
      </c>
    </row>
    <row r="2609" spans="8:8" x14ac:dyDescent="0.25">
      <c r="H2609" t="s">
        <v>1649</v>
      </c>
    </row>
    <row r="2610" spans="8:8" x14ac:dyDescent="0.25">
      <c r="H2610" t="s">
        <v>700</v>
      </c>
    </row>
    <row r="2611" spans="8:8" x14ac:dyDescent="0.25">
      <c r="H2611" t="s">
        <v>701</v>
      </c>
    </row>
    <row r="2612" spans="8:8" x14ac:dyDescent="0.25">
      <c r="H2612" t="s">
        <v>3069</v>
      </c>
    </row>
    <row r="2613" spans="8:8" x14ac:dyDescent="0.25">
      <c r="H2613" t="s">
        <v>3072</v>
      </c>
    </row>
    <row r="2614" spans="8:8" x14ac:dyDescent="0.25">
      <c r="H2614" t="s">
        <v>3075</v>
      </c>
    </row>
    <row r="2615" spans="8:8" x14ac:dyDescent="0.25">
      <c r="H2615" t="s">
        <v>3074</v>
      </c>
    </row>
    <row r="2616" spans="8:8" x14ac:dyDescent="0.25">
      <c r="H2616" t="s">
        <v>3969</v>
      </c>
    </row>
    <row r="2617" spans="8:8" x14ac:dyDescent="0.25">
      <c r="H2617" t="s">
        <v>3076</v>
      </c>
    </row>
    <row r="2618" spans="8:8" x14ac:dyDescent="0.25">
      <c r="H2618" t="s">
        <v>1025</v>
      </c>
    </row>
    <row r="2619" spans="8:8" x14ac:dyDescent="0.25">
      <c r="H2619" t="s">
        <v>5106</v>
      </c>
    </row>
    <row r="2620" spans="8:8" x14ac:dyDescent="0.25">
      <c r="H2620" t="s">
        <v>253</v>
      </c>
    </row>
    <row r="2621" spans="8:8" x14ac:dyDescent="0.25">
      <c r="H2621" t="s">
        <v>1580</v>
      </c>
    </row>
    <row r="2622" spans="8:8" x14ac:dyDescent="0.25">
      <c r="H2622" t="s">
        <v>1784</v>
      </c>
    </row>
    <row r="2623" spans="8:8" x14ac:dyDescent="0.25">
      <c r="H2623" t="s">
        <v>1582</v>
      </c>
    </row>
    <row r="2624" spans="8:8" x14ac:dyDescent="0.25">
      <c r="H2624" t="s">
        <v>4267</v>
      </c>
    </row>
    <row r="2625" spans="8:8" x14ac:dyDescent="0.25">
      <c r="H2625" t="s">
        <v>2357</v>
      </c>
    </row>
    <row r="2626" spans="8:8" x14ac:dyDescent="0.25">
      <c r="H2626" t="s">
        <v>2757</v>
      </c>
    </row>
    <row r="2627" spans="8:8" x14ac:dyDescent="0.25">
      <c r="H2627" t="s">
        <v>3298</v>
      </c>
    </row>
    <row r="2628" spans="8:8" x14ac:dyDescent="0.25">
      <c r="H2628" t="s">
        <v>1186</v>
      </c>
    </row>
    <row r="2629" spans="8:8" x14ac:dyDescent="0.25">
      <c r="H2629" t="s">
        <v>4571</v>
      </c>
    </row>
    <row r="2630" spans="8:8" x14ac:dyDescent="0.25">
      <c r="H2630" t="s">
        <v>4218</v>
      </c>
    </row>
    <row r="2631" spans="8:8" x14ac:dyDescent="0.25">
      <c r="H2631" t="s">
        <v>1223</v>
      </c>
    </row>
    <row r="2632" spans="8:8" x14ac:dyDescent="0.25">
      <c r="H2632" t="s">
        <v>1557</v>
      </c>
    </row>
    <row r="2633" spans="8:8" x14ac:dyDescent="0.25">
      <c r="H2633" t="s">
        <v>1584</v>
      </c>
    </row>
    <row r="2634" spans="8:8" x14ac:dyDescent="0.25">
      <c r="H2634" t="s">
        <v>3080</v>
      </c>
    </row>
    <row r="2635" spans="8:8" x14ac:dyDescent="0.25">
      <c r="H2635" t="s">
        <v>2356</v>
      </c>
    </row>
    <row r="2636" spans="8:8" x14ac:dyDescent="0.25">
      <c r="H2636" t="s">
        <v>3086</v>
      </c>
    </row>
    <row r="2637" spans="8:8" x14ac:dyDescent="0.25">
      <c r="H2637" t="s">
        <v>3089</v>
      </c>
    </row>
    <row r="2638" spans="8:8" x14ac:dyDescent="0.25">
      <c r="H2638" t="s">
        <v>3090</v>
      </c>
    </row>
    <row r="2639" spans="8:8" x14ac:dyDescent="0.25">
      <c r="H2639" t="s">
        <v>1556</v>
      </c>
    </row>
    <row r="2640" spans="8:8" x14ac:dyDescent="0.25">
      <c r="H2640" t="s">
        <v>3489</v>
      </c>
    </row>
    <row r="2641" spans="8:8" x14ac:dyDescent="0.25">
      <c r="H2641" t="s">
        <v>5120</v>
      </c>
    </row>
    <row r="2642" spans="8:8" x14ac:dyDescent="0.25">
      <c r="H2642" t="s">
        <v>4863</v>
      </c>
    </row>
    <row r="2643" spans="8:8" x14ac:dyDescent="0.25">
      <c r="H2643" t="s">
        <v>1141</v>
      </c>
    </row>
    <row r="2644" spans="8:8" x14ac:dyDescent="0.25">
      <c r="H2644" t="s">
        <v>509</v>
      </c>
    </row>
    <row r="2645" spans="8:8" x14ac:dyDescent="0.25">
      <c r="H2645" t="s">
        <v>3556</v>
      </c>
    </row>
    <row r="2646" spans="8:8" x14ac:dyDescent="0.25">
      <c r="H2646" t="s">
        <v>1662</v>
      </c>
    </row>
    <row r="2647" spans="8:8" x14ac:dyDescent="0.25">
      <c r="H2647" t="s">
        <v>3098</v>
      </c>
    </row>
    <row r="2648" spans="8:8" x14ac:dyDescent="0.25">
      <c r="H2648" t="s">
        <v>2592</v>
      </c>
    </row>
    <row r="2649" spans="8:8" x14ac:dyDescent="0.25">
      <c r="H2649" t="s">
        <v>2299</v>
      </c>
    </row>
    <row r="2650" spans="8:8" x14ac:dyDescent="0.25">
      <c r="H2650" t="s">
        <v>3106</v>
      </c>
    </row>
    <row r="2651" spans="8:8" x14ac:dyDescent="0.25">
      <c r="H2651" t="s">
        <v>3104</v>
      </c>
    </row>
    <row r="2652" spans="8:8" x14ac:dyDescent="0.25">
      <c r="H2652" t="s">
        <v>3105</v>
      </c>
    </row>
    <row r="2653" spans="8:8" x14ac:dyDescent="0.25">
      <c r="H2653" t="s">
        <v>4827</v>
      </c>
    </row>
    <row r="2654" spans="8:8" x14ac:dyDescent="0.25">
      <c r="H2654" t="s">
        <v>3108</v>
      </c>
    </row>
    <row r="2655" spans="8:8" x14ac:dyDescent="0.25">
      <c r="H2655" t="s">
        <v>3109</v>
      </c>
    </row>
    <row r="2656" spans="8:8" x14ac:dyDescent="0.25">
      <c r="H2656" t="s">
        <v>5269</v>
      </c>
    </row>
    <row r="2657" spans="8:8" x14ac:dyDescent="0.25">
      <c r="H2657" t="s">
        <v>1178</v>
      </c>
    </row>
    <row r="2658" spans="8:8" x14ac:dyDescent="0.25">
      <c r="H2658" t="s">
        <v>3851</v>
      </c>
    </row>
    <row r="2659" spans="8:8" x14ac:dyDescent="0.25">
      <c r="H2659" t="s">
        <v>1237</v>
      </c>
    </row>
    <row r="2660" spans="8:8" x14ac:dyDescent="0.25">
      <c r="H2660" t="s">
        <v>1124</v>
      </c>
    </row>
    <row r="2661" spans="8:8" x14ac:dyDescent="0.25">
      <c r="H2661" t="s">
        <v>1179</v>
      </c>
    </row>
    <row r="2662" spans="8:8" x14ac:dyDescent="0.25">
      <c r="H2662" t="s">
        <v>2063</v>
      </c>
    </row>
    <row r="2663" spans="8:8" x14ac:dyDescent="0.25">
      <c r="H2663" t="s">
        <v>2697</v>
      </c>
    </row>
    <row r="2664" spans="8:8" x14ac:dyDescent="0.25">
      <c r="H2664" t="s">
        <v>3045</v>
      </c>
    </row>
    <row r="2665" spans="8:8" x14ac:dyDescent="0.25">
      <c r="H2665" t="s">
        <v>3111</v>
      </c>
    </row>
    <row r="2666" spans="8:8" x14ac:dyDescent="0.25">
      <c r="H2666" t="s">
        <v>3773</v>
      </c>
    </row>
    <row r="2667" spans="8:8" x14ac:dyDescent="0.25">
      <c r="H2667" t="s">
        <v>4027</v>
      </c>
    </row>
    <row r="2668" spans="8:8" x14ac:dyDescent="0.25">
      <c r="H2668" t="s">
        <v>5214</v>
      </c>
    </row>
    <row r="2669" spans="8:8" x14ac:dyDescent="0.25">
      <c r="H2669" t="s">
        <v>2865</v>
      </c>
    </row>
    <row r="2670" spans="8:8" x14ac:dyDescent="0.25">
      <c r="H2670" t="s">
        <v>3112</v>
      </c>
    </row>
    <row r="2671" spans="8:8" x14ac:dyDescent="0.25">
      <c r="H2671" t="s">
        <v>4982</v>
      </c>
    </row>
    <row r="2672" spans="8:8" x14ac:dyDescent="0.25">
      <c r="H2672" t="s">
        <v>860</v>
      </c>
    </row>
    <row r="2673" spans="8:8" x14ac:dyDescent="0.25">
      <c r="H2673" t="s">
        <v>2750</v>
      </c>
    </row>
    <row r="2674" spans="8:8" x14ac:dyDescent="0.25">
      <c r="H2674" t="s">
        <v>861</v>
      </c>
    </row>
    <row r="2675" spans="8:8" x14ac:dyDescent="0.25">
      <c r="H2675" t="s">
        <v>2387</v>
      </c>
    </row>
    <row r="2676" spans="8:8" x14ac:dyDescent="0.25">
      <c r="H2676" t="s">
        <v>2139</v>
      </c>
    </row>
    <row r="2677" spans="8:8" x14ac:dyDescent="0.25">
      <c r="H2677" t="s">
        <v>493</v>
      </c>
    </row>
    <row r="2678" spans="8:8" x14ac:dyDescent="0.25">
      <c r="H2678" t="s">
        <v>2138</v>
      </c>
    </row>
    <row r="2679" spans="8:8" x14ac:dyDescent="0.25">
      <c r="H2679" t="s">
        <v>2547</v>
      </c>
    </row>
    <row r="2680" spans="8:8" x14ac:dyDescent="0.25">
      <c r="H2680" t="s">
        <v>4083</v>
      </c>
    </row>
    <row r="2681" spans="8:8" x14ac:dyDescent="0.25">
      <c r="H2681" t="s">
        <v>933</v>
      </c>
    </row>
    <row r="2682" spans="8:8" x14ac:dyDescent="0.25">
      <c r="H2682" t="s">
        <v>1541</v>
      </c>
    </row>
    <row r="2683" spans="8:8" x14ac:dyDescent="0.25">
      <c r="H2683" t="s">
        <v>4084</v>
      </c>
    </row>
    <row r="2684" spans="8:8" x14ac:dyDescent="0.25">
      <c r="H2684" t="s">
        <v>4172</v>
      </c>
    </row>
    <row r="2685" spans="8:8" x14ac:dyDescent="0.25">
      <c r="H2685" t="s">
        <v>2391</v>
      </c>
    </row>
    <row r="2686" spans="8:8" x14ac:dyDescent="0.25">
      <c r="H2686" t="s">
        <v>3124</v>
      </c>
    </row>
    <row r="2687" spans="8:8" x14ac:dyDescent="0.25">
      <c r="H2687" t="s">
        <v>4228</v>
      </c>
    </row>
    <row r="2688" spans="8:8" x14ac:dyDescent="0.25">
      <c r="H2688" t="s">
        <v>4457</v>
      </c>
    </row>
    <row r="2689" spans="8:8" x14ac:dyDescent="0.25">
      <c r="H2689" t="s">
        <v>1473</v>
      </c>
    </row>
    <row r="2690" spans="8:8" x14ac:dyDescent="0.25">
      <c r="H2690" t="s">
        <v>3128</v>
      </c>
    </row>
    <row r="2691" spans="8:8" x14ac:dyDescent="0.25">
      <c r="H2691" t="s">
        <v>904</v>
      </c>
    </row>
    <row r="2692" spans="8:8" x14ac:dyDescent="0.25">
      <c r="H2692" t="s">
        <v>3136</v>
      </c>
    </row>
    <row r="2693" spans="8:8" x14ac:dyDescent="0.25">
      <c r="H2693" t="s">
        <v>4722</v>
      </c>
    </row>
    <row r="2694" spans="8:8" x14ac:dyDescent="0.25">
      <c r="H2694" t="s">
        <v>1563</v>
      </c>
    </row>
    <row r="2695" spans="8:8" x14ac:dyDescent="0.25">
      <c r="H2695" t="s">
        <v>1628</v>
      </c>
    </row>
    <row r="2696" spans="8:8" x14ac:dyDescent="0.25">
      <c r="H2696" t="s">
        <v>3159</v>
      </c>
    </row>
    <row r="2697" spans="8:8" x14ac:dyDescent="0.25">
      <c r="H2697" t="s">
        <v>4729</v>
      </c>
    </row>
    <row r="2698" spans="8:8" x14ac:dyDescent="0.25">
      <c r="H2698" t="s">
        <v>944</v>
      </c>
    </row>
    <row r="2699" spans="8:8" x14ac:dyDescent="0.25">
      <c r="H2699" t="s">
        <v>618</v>
      </c>
    </row>
    <row r="2700" spans="8:8" x14ac:dyDescent="0.25">
      <c r="H2700" t="s">
        <v>2983</v>
      </c>
    </row>
    <row r="2701" spans="8:8" x14ac:dyDescent="0.25">
      <c r="H2701" t="s">
        <v>619</v>
      </c>
    </row>
    <row r="2702" spans="8:8" x14ac:dyDescent="0.25">
      <c r="H2702" t="s">
        <v>2984</v>
      </c>
    </row>
    <row r="2703" spans="8:8" x14ac:dyDescent="0.25">
      <c r="H2703" t="s">
        <v>4903</v>
      </c>
    </row>
    <row r="2704" spans="8:8" x14ac:dyDescent="0.25">
      <c r="H2704" t="s">
        <v>3160</v>
      </c>
    </row>
    <row r="2705" spans="8:8" x14ac:dyDescent="0.25">
      <c r="H2705" t="s">
        <v>3161</v>
      </c>
    </row>
    <row r="2706" spans="8:8" x14ac:dyDescent="0.25">
      <c r="H2706" t="s">
        <v>2129</v>
      </c>
    </row>
    <row r="2707" spans="8:8" x14ac:dyDescent="0.25">
      <c r="H2707" t="s">
        <v>3162</v>
      </c>
    </row>
    <row r="2708" spans="8:8" x14ac:dyDescent="0.25">
      <c r="H2708" t="s">
        <v>4461</v>
      </c>
    </row>
    <row r="2709" spans="8:8" x14ac:dyDescent="0.25">
      <c r="H2709" t="s">
        <v>1020</v>
      </c>
    </row>
    <row r="2710" spans="8:8" x14ac:dyDescent="0.25">
      <c r="H2710" t="s">
        <v>3164</v>
      </c>
    </row>
    <row r="2711" spans="8:8" x14ac:dyDescent="0.25">
      <c r="H2711" t="s">
        <v>1963</v>
      </c>
    </row>
    <row r="2712" spans="8:8" x14ac:dyDescent="0.25">
      <c r="H2712" t="s">
        <v>3165</v>
      </c>
    </row>
    <row r="2713" spans="8:8" x14ac:dyDescent="0.25">
      <c r="H2713" t="s">
        <v>746</v>
      </c>
    </row>
    <row r="2714" spans="8:8" x14ac:dyDescent="0.25">
      <c r="H2714" t="s">
        <v>2360</v>
      </c>
    </row>
    <row r="2715" spans="8:8" x14ac:dyDescent="0.25">
      <c r="H2715" t="s">
        <v>3169</v>
      </c>
    </row>
    <row r="2716" spans="8:8" x14ac:dyDescent="0.25">
      <c r="H2716" t="s">
        <v>3175</v>
      </c>
    </row>
    <row r="2717" spans="8:8" x14ac:dyDescent="0.25">
      <c r="H2717" t="s">
        <v>3174</v>
      </c>
    </row>
    <row r="2718" spans="8:8" x14ac:dyDescent="0.25">
      <c r="H2718" t="s">
        <v>3178</v>
      </c>
    </row>
    <row r="2719" spans="8:8" x14ac:dyDescent="0.25">
      <c r="H2719" t="s">
        <v>2626</v>
      </c>
    </row>
    <row r="2720" spans="8:8" x14ac:dyDescent="0.25">
      <c r="H2720" t="s">
        <v>927</v>
      </c>
    </row>
    <row r="2721" spans="8:8" x14ac:dyDescent="0.25">
      <c r="H2721" t="s">
        <v>3179</v>
      </c>
    </row>
    <row r="2722" spans="8:8" x14ac:dyDescent="0.25">
      <c r="H2722" t="s">
        <v>5156</v>
      </c>
    </row>
    <row r="2723" spans="8:8" x14ac:dyDescent="0.25">
      <c r="H2723" t="s">
        <v>3185</v>
      </c>
    </row>
    <row r="2724" spans="8:8" x14ac:dyDescent="0.25">
      <c r="H2724" t="s">
        <v>3657</v>
      </c>
    </row>
    <row r="2725" spans="8:8" x14ac:dyDescent="0.25">
      <c r="H2725" t="s">
        <v>5055</v>
      </c>
    </row>
    <row r="2726" spans="8:8" x14ac:dyDescent="0.25">
      <c r="H2726" t="s">
        <v>3186</v>
      </c>
    </row>
    <row r="2727" spans="8:8" x14ac:dyDescent="0.25">
      <c r="H2727" t="s">
        <v>3188</v>
      </c>
    </row>
    <row r="2728" spans="8:8" x14ac:dyDescent="0.25">
      <c r="H2728" t="s">
        <v>4515</v>
      </c>
    </row>
    <row r="2729" spans="8:8" x14ac:dyDescent="0.25">
      <c r="H2729" t="s">
        <v>5126</v>
      </c>
    </row>
    <row r="2730" spans="8:8" x14ac:dyDescent="0.25">
      <c r="H2730" t="s">
        <v>3189</v>
      </c>
    </row>
    <row r="2731" spans="8:8" x14ac:dyDescent="0.25">
      <c r="H2731" t="s">
        <v>5406</v>
      </c>
    </row>
    <row r="2732" spans="8:8" x14ac:dyDescent="0.25">
      <c r="H2732" t="s">
        <v>2721</v>
      </c>
    </row>
    <row r="2733" spans="8:8" x14ac:dyDescent="0.25">
      <c r="H2733" t="s">
        <v>550</v>
      </c>
    </row>
    <row r="2734" spans="8:8" x14ac:dyDescent="0.25">
      <c r="H2734" t="s">
        <v>551</v>
      </c>
    </row>
    <row r="2735" spans="8:8" x14ac:dyDescent="0.25">
      <c r="H2735" t="s">
        <v>617</v>
      </c>
    </row>
    <row r="2736" spans="8:8" x14ac:dyDescent="0.25">
      <c r="H2736" t="s">
        <v>617</v>
      </c>
    </row>
    <row r="2737" spans="8:8" x14ac:dyDescent="0.25">
      <c r="H2737" t="s">
        <v>552</v>
      </c>
    </row>
    <row r="2738" spans="8:8" x14ac:dyDescent="0.25">
      <c r="H2738" t="s">
        <v>1245</v>
      </c>
    </row>
    <row r="2739" spans="8:8" x14ac:dyDescent="0.25">
      <c r="H2739" t="s">
        <v>643</v>
      </c>
    </row>
    <row r="2740" spans="8:8" x14ac:dyDescent="0.25">
      <c r="H2740" t="s">
        <v>683</v>
      </c>
    </row>
    <row r="2741" spans="8:8" x14ac:dyDescent="0.25">
      <c r="H2741" t="s">
        <v>5517</v>
      </c>
    </row>
    <row r="2742" spans="8:8" x14ac:dyDescent="0.25">
      <c r="H2742" t="s">
        <v>3197</v>
      </c>
    </row>
    <row r="2743" spans="8:8" x14ac:dyDescent="0.25">
      <c r="H2743" t="s">
        <v>636</v>
      </c>
    </row>
    <row r="2744" spans="8:8" x14ac:dyDescent="0.25">
      <c r="H2744" t="s">
        <v>3198</v>
      </c>
    </row>
    <row r="2745" spans="8:8" x14ac:dyDescent="0.25">
      <c r="H2745" t="s">
        <v>889</v>
      </c>
    </row>
    <row r="2746" spans="8:8" x14ac:dyDescent="0.25">
      <c r="H2746" t="s">
        <v>3199</v>
      </c>
    </row>
    <row r="2747" spans="8:8" x14ac:dyDescent="0.25">
      <c r="H2747" t="s">
        <v>3201</v>
      </c>
    </row>
    <row r="2748" spans="8:8" x14ac:dyDescent="0.25">
      <c r="H2748" t="s">
        <v>3204</v>
      </c>
    </row>
    <row r="2749" spans="8:8" x14ac:dyDescent="0.25">
      <c r="H2749" t="s">
        <v>1641</v>
      </c>
    </row>
    <row r="2750" spans="8:8" x14ac:dyDescent="0.25">
      <c r="H2750" t="s">
        <v>3218</v>
      </c>
    </row>
    <row r="2751" spans="8:8" x14ac:dyDescent="0.25">
      <c r="H2751" t="s">
        <v>3810</v>
      </c>
    </row>
    <row r="2752" spans="8:8" x14ac:dyDescent="0.25">
      <c r="H2752" t="s">
        <v>1109</v>
      </c>
    </row>
    <row r="2753" spans="8:8" x14ac:dyDescent="0.25">
      <c r="H2753" t="s">
        <v>525</v>
      </c>
    </row>
    <row r="2754" spans="8:8" x14ac:dyDescent="0.25">
      <c r="H2754" t="s">
        <v>1087</v>
      </c>
    </row>
    <row r="2755" spans="8:8" x14ac:dyDescent="0.25">
      <c r="H2755" t="s">
        <v>3215</v>
      </c>
    </row>
    <row r="2756" spans="8:8" x14ac:dyDescent="0.25">
      <c r="H2756" t="s">
        <v>5499</v>
      </c>
    </row>
    <row r="2757" spans="8:8" x14ac:dyDescent="0.25">
      <c r="H2757" t="s">
        <v>4510</v>
      </c>
    </row>
    <row r="2758" spans="8:8" x14ac:dyDescent="0.25">
      <c r="H2758" t="s">
        <v>3539</v>
      </c>
    </row>
    <row r="2759" spans="8:8" x14ac:dyDescent="0.25">
      <c r="H2759" t="s">
        <v>5537</v>
      </c>
    </row>
    <row r="2760" spans="8:8" x14ac:dyDescent="0.25">
      <c r="H2760" t="s">
        <v>1879</v>
      </c>
    </row>
    <row r="2761" spans="8:8" x14ac:dyDescent="0.25">
      <c r="H2761" t="s">
        <v>3219</v>
      </c>
    </row>
    <row r="2762" spans="8:8" x14ac:dyDescent="0.25">
      <c r="H2762" t="s">
        <v>2880</v>
      </c>
    </row>
    <row r="2763" spans="8:8" x14ac:dyDescent="0.25">
      <c r="H2763" t="s">
        <v>3214</v>
      </c>
    </row>
    <row r="2764" spans="8:8" x14ac:dyDescent="0.25">
      <c r="H2764" t="s">
        <v>3266</v>
      </c>
    </row>
    <row r="2765" spans="8:8" x14ac:dyDescent="0.25">
      <c r="H2765" t="s">
        <v>1638</v>
      </c>
    </row>
    <row r="2766" spans="8:8" x14ac:dyDescent="0.25">
      <c r="H2766" t="s">
        <v>254</v>
      </c>
    </row>
    <row r="2767" spans="8:8" x14ac:dyDescent="0.25">
      <c r="H2767" t="s">
        <v>1934</v>
      </c>
    </row>
    <row r="2768" spans="8:8" x14ac:dyDescent="0.25">
      <c r="H2768" t="s">
        <v>2672</v>
      </c>
    </row>
    <row r="2769" spans="8:8" x14ac:dyDescent="0.25">
      <c r="H2769" t="s">
        <v>2856</v>
      </c>
    </row>
    <row r="2770" spans="8:8" x14ac:dyDescent="0.25">
      <c r="H2770" t="s">
        <v>3728</v>
      </c>
    </row>
    <row r="2771" spans="8:8" x14ac:dyDescent="0.25">
      <c r="H2771" t="s">
        <v>5348</v>
      </c>
    </row>
    <row r="2772" spans="8:8" x14ac:dyDescent="0.25">
      <c r="H2772" t="s">
        <v>2756</v>
      </c>
    </row>
    <row r="2773" spans="8:8" x14ac:dyDescent="0.25">
      <c r="H2773" t="s">
        <v>3294</v>
      </c>
    </row>
    <row r="2774" spans="8:8" x14ac:dyDescent="0.25">
      <c r="H2774" t="s">
        <v>3680</v>
      </c>
    </row>
    <row r="2775" spans="8:8" x14ac:dyDescent="0.25">
      <c r="H2775" t="s">
        <v>5416</v>
      </c>
    </row>
    <row r="2776" spans="8:8" x14ac:dyDescent="0.25">
      <c r="H2776" t="s">
        <v>4768</v>
      </c>
    </row>
    <row r="2777" spans="8:8" x14ac:dyDescent="0.25">
      <c r="H2777" t="s">
        <v>3310</v>
      </c>
    </row>
    <row r="2778" spans="8:8" x14ac:dyDescent="0.25">
      <c r="H2778" t="s">
        <v>3295</v>
      </c>
    </row>
    <row r="2779" spans="8:8" x14ac:dyDescent="0.25">
      <c r="H2779" t="s">
        <v>5374</v>
      </c>
    </row>
    <row r="2780" spans="8:8" x14ac:dyDescent="0.25">
      <c r="H2780" t="s">
        <v>2009</v>
      </c>
    </row>
    <row r="2781" spans="8:8" x14ac:dyDescent="0.25">
      <c r="H2781" t="s">
        <v>2271</v>
      </c>
    </row>
    <row r="2782" spans="8:8" x14ac:dyDescent="0.25">
      <c r="H2782" t="s">
        <v>3769</v>
      </c>
    </row>
    <row r="2783" spans="8:8" x14ac:dyDescent="0.25">
      <c r="H2783" t="s">
        <v>2365</v>
      </c>
    </row>
    <row r="2784" spans="8:8" x14ac:dyDescent="0.25">
      <c r="H2784" t="s">
        <v>2307</v>
      </c>
    </row>
    <row r="2785" spans="8:8" x14ac:dyDescent="0.25">
      <c r="H2785" t="s">
        <v>2366</v>
      </c>
    </row>
    <row r="2786" spans="8:8" x14ac:dyDescent="0.25">
      <c r="H2786" t="s">
        <v>2665</v>
      </c>
    </row>
    <row r="2787" spans="8:8" x14ac:dyDescent="0.25">
      <c r="H2787" t="s">
        <v>2930</v>
      </c>
    </row>
    <row r="2788" spans="8:8" x14ac:dyDescent="0.25">
      <c r="H2788" t="s">
        <v>3047</v>
      </c>
    </row>
    <row r="2789" spans="8:8" x14ac:dyDescent="0.25">
      <c r="H2789" t="s">
        <v>3649</v>
      </c>
    </row>
    <row r="2790" spans="8:8" x14ac:dyDescent="0.25">
      <c r="H2790" t="s">
        <v>1657</v>
      </c>
    </row>
    <row r="2791" spans="8:8" x14ac:dyDescent="0.25">
      <c r="H2791" t="s">
        <v>2867</v>
      </c>
    </row>
    <row r="2792" spans="8:8" x14ac:dyDescent="0.25">
      <c r="H2792" t="s">
        <v>4040</v>
      </c>
    </row>
    <row r="2793" spans="8:8" x14ac:dyDescent="0.25">
      <c r="H2793" t="s">
        <v>5264</v>
      </c>
    </row>
    <row r="2794" spans="8:8" x14ac:dyDescent="0.25">
      <c r="H2794" t="s">
        <v>2822</v>
      </c>
    </row>
    <row r="2795" spans="8:8" x14ac:dyDescent="0.25">
      <c r="H2795" t="s">
        <v>3302</v>
      </c>
    </row>
    <row r="2796" spans="8:8" x14ac:dyDescent="0.25">
      <c r="H2796" t="s">
        <v>2777</v>
      </c>
    </row>
    <row r="2797" spans="8:8" x14ac:dyDescent="0.25">
      <c r="H2797" t="s">
        <v>802</v>
      </c>
    </row>
    <row r="2798" spans="8:8" x14ac:dyDescent="0.25">
      <c r="H2798" t="s">
        <v>3386</v>
      </c>
    </row>
    <row r="2799" spans="8:8" x14ac:dyDescent="0.25">
      <c r="H2799" t="s">
        <v>1575</v>
      </c>
    </row>
    <row r="2800" spans="8:8" x14ac:dyDescent="0.25">
      <c r="H2800" t="s">
        <v>3304</v>
      </c>
    </row>
    <row r="2801" spans="8:8" x14ac:dyDescent="0.25">
      <c r="H2801" t="s">
        <v>5514</v>
      </c>
    </row>
    <row r="2802" spans="8:8" x14ac:dyDescent="0.25">
      <c r="H2802" t="s">
        <v>3306</v>
      </c>
    </row>
    <row r="2803" spans="8:8" x14ac:dyDescent="0.25">
      <c r="H2803" t="s">
        <v>3352</v>
      </c>
    </row>
    <row r="2804" spans="8:8" x14ac:dyDescent="0.25">
      <c r="H2804" t="s">
        <v>2053</v>
      </c>
    </row>
    <row r="2805" spans="8:8" x14ac:dyDescent="0.25">
      <c r="H2805" t="s">
        <v>1277</v>
      </c>
    </row>
    <row r="2806" spans="8:8" x14ac:dyDescent="0.25">
      <c r="H2806" t="s">
        <v>1262</v>
      </c>
    </row>
    <row r="2807" spans="8:8" x14ac:dyDescent="0.25">
      <c r="H2807" t="s">
        <v>755</v>
      </c>
    </row>
    <row r="2808" spans="8:8" x14ac:dyDescent="0.25">
      <c r="H2808" t="s">
        <v>3315</v>
      </c>
    </row>
    <row r="2809" spans="8:8" x14ac:dyDescent="0.25">
      <c r="H2809" t="s">
        <v>1818</v>
      </c>
    </row>
    <row r="2810" spans="8:8" x14ac:dyDescent="0.25">
      <c r="H2810" t="s">
        <v>2060</v>
      </c>
    </row>
    <row r="2811" spans="8:8" x14ac:dyDescent="0.25">
      <c r="H2811" t="s">
        <v>5505</v>
      </c>
    </row>
    <row r="2812" spans="8:8" x14ac:dyDescent="0.25">
      <c r="H2812" t="s">
        <v>1623</v>
      </c>
    </row>
    <row r="2813" spans="8:8" x14ac:dyDescent="0.25">
      <c r="H2813" t="s">
        <v>2903</v>
      </c>
    </row>
    <row r="2814" spans="8:8" x14ac:dyDescent="0.25">
      <c r="H2814" t="s">
        <v>5435</v>
      </c>
    </row>
    <row r="2815" spans="8:8" x14ac:dyDescent="0.25">
      <c r="H2815" t="s">
        <v>2200</v>
      </c>
    </row>
    <row r="2816" spans="8:8" x14ac:dyDescent="0.25">
      <c r="H2816" t="s">
        <v>3896</v>
      </c>
    </row>
    <row r="2817" spans="8:8" x14ac:dyDescent="0.25">
      <c r="H2817" t="s">
        <v>3323</v>
      </c>
    </row>
    <row r="2818" spans="8:8" x14ac:dyDescent="0.25">
      <c r="H2818" t="s">
        <v>4466</v>
      </c>
    </row>
    <row r="2819" spans="8:8" x14ac:dyDescent="0.25">
      <c r="H2819" t="s">
        <v>4855</v>
      </c>
    </row>
    <row r="2820" spans="8:8" x14ac:dyDescent="0.25">
      <c r="H2820" t="s">
        <v>2991</v>
      </c>
    </row>
    <row r="2821" spans="8:8" x14ac:dyDescent="0.25">
      <c r="H2821" t="s">
        <v>3957</v>
      </c>
    </row>
    <row r="2822" spans="8:8" x14ac:dyDescent="0.25">
      <c r="H2822" t="s">
        <v>1634</v>
      </c>
    </row>
    <row r="2823" spans="8:8" x14ac:dyDescent="0.25">
      <c r="H2823" t="s">
        <v>3329</v>
      </c>
    </row>
    <row r="2824" spans="8:8" x14ac:dyDescent="0.25">
      <c r="H2824" t="s">
        <v>4680</v>
      </c>
    </row>
    <row r="2825" spans="8:8" x14ac:dyDescent="0.25">
      <c r="H2825" t="s">
        <v>3333</v>
      </c>
    </row>
    <row r="2826" spans="8:8" x14ac:dyDescent="0.25">
      <c r="H2826" t="s">
        <v>2733</v>
      </c>
    </row>
    <row r="2827" spans="8:8" x14ac:dyDescent="0.25">
      <c r="H2827" t="s">
        <v>1675</v>
      </c>
    </row>
    <row r="2828" spans="8:8" x14ac:dyDescent="0.25">
      <c r="H2828" t="s">
        <v>3395</v>
      </c>
    </row>
    <row r="2829" spans="8:8" x14ac:dyDescent="0.25">
      <c r="H2829" t="s">
        <v>1667</v>
      </c>
    </row>
    <row r="2830" spans="8:8" x14ac:dyDescent="0.25">
      <c r="H2830" t="s">
        <v>4352</v>
      </c>
    </row>
    <row r="2831" spans="8:8" x14ac:dyDescent="0.25">
      <c r="H2831" t="s">
        <v>526</v>
      </c>
    </row>
    <row r="2832" spans="8:8" x14ac:dyDescent="0.25">
      <c r="H2832" t="s">
        <v>2605</v>
      </c>
    </row>
    <row r="2833" spans="8:8" x14ac:dyDescent="0.25">
      <c r="H2833" t="s">
        <v>3343</v>
      </c>
    </row>
    <row r="2834" spans="8:8" x14ac:dyDescent="0.25">
      <c r="H2834" t="s">
        <v>3339</v>
      </c>
    </row>
    <row r="2835" spans="8:8" x14ac:dyDescent="0.25">
      <c r="H2835" t="s">
        <v>3345</v>
      </c>
    </row>
    <row r="2836" spans="8:8" x14ac:dyDescent="0.25">
      <c r="H2836" t="s">
        <v>4593</v>
      </c>
    </row>
    <row r="2837" spans="8:8" x14ac:dyDescent="0.25">
      <c r="H2837" t="s">
        <v>5528</v>
      </c>
    </row>
    <row r="2838" spans="8:8" x14ac:dyDescent="0.25">
      <c r="H2838" t="s">
        <v>3236</v>
      </c>
    </row>
    <row r="2839" spans="8:8" x14ac:dyDescent="0.25">
      <c r="H2839" t="s">
        <v>3276</v>
      </c>
    </row>
    <row r="2840" spans="8:8" x14ac:dyDescent="0.25">
      <c r="H2840" t="s">
        <v>1328</v>
      </c>
    </row>
    <row r="2841" spans="8:8" x14ac:dyDescent="0.25">
      <c r="H2841" t="s">
        <v>1369</v>
      </c>
    </row>
    <row r="2842" spans="8:8" x14ac:dyDescent="0.25">
      <c r="H2842" t="s">
        <v>3362</v>
      </c>
    </row>
    <row r="2843" spans="8:8" x14ac:dyDescent="0.25">
      <c r="H2843" t="s">
        <v>2926</v>
      </c>
    </row>
    <row r="2844" spans="8:8" x14ac:dyDescent="0.25">
      <c r="H2844" t="s">
        <v>4421</v>
      </c>
    </row>
    <row r="2845" spans="8:8" x14ac:dyDescent="0.25">
      <c r="H2845" t="s">
        <v>3068</v>
      </c>
    </row>
    <row r="2846" spans="8:8" x14ac:dyDescent="0.25">
      <c r="H2846" t="s">
        <v>5025</v>
      </c>
    </row>
    <row r="2847" spans="8:8" x14ac:dyDescent="0.25">
      <c r="H2847" t="s">
        <v>4758</v>
      </c>
    </row>
    <row r="2848" spans="8:8" x14ac:dyDescent="0.25">
      <c r="H2848" t="s">
        <v>3270</v>
      </c>
    </row>
    <row r="2849" spans="8:8" x14ac:dyDescent="0.25">
      <c r="H2849" t="s">
        <v>2987</v>
      </c>
    </row>
    <row r="2850" spans="8:8" x14ac:dyDescent="0.25">
      <c r="H2850" t="s">
        <v>2548</v>
      </c>
    </row>
    <row r="2851" spans="8:8" x14ac:dyDescent="0.25">
      <c r="H2851" t="s">
        <v>3003</v>
      </c>
    </row>
    <row r="2852" spans="8:8" x14ac:dyDescent="0.25">
      <c r="H2852" t="s">
        <v>2355</v>
      </c>
    </row>
    <row r="2853" spans="8:8" x14ac:dyDescent="0.25">
      <c r="H2853" t="s">
        <v>4079</v>
      </c>
    </row>
    <row r="2854" spans="8:8" x14ac:dyDescent="0.25">
      <c r="H2854" t="s">
        <v>2521</v>
      </c>
    </row>
    <row r="2855" spans="8:8" x14ac:dyDescent="0.25">
      <c r="H2855" t="s">
        <v>4291</v>
      </c>
    </row>
    <row r="2856" spans="8:8" x14ac:dyDescent="0.25">
      <c r="H2856" t="s">
        <v>4998</v>
      </c>
    </row>
    <row r="2857" spans="8:8" x14ac:dyDescent="0.25">
      <c r="H2857" t="s">
        <v>4405</v>
      </c>
    </row>
    <row r="2858" spans="8:8" x14ac:dyDescent="0.25">
      <c r="H2858" t="s">
        <v>4394</v>
      </c>
    </row>
    <row r="2859" spans="8:8" x14ac:dyDescent="0.25">
      <c r="H2859" t="s">
        <v>4309</v>
      </c>
    </row>
    <row r="2860" spans="8:8" x14ac:dyDescent="0.25">
      <c r="H2860" t="s">
        <v>5328</v>
      </c>
    </row>
    <row r="2861" spans="8:8" x14ac:dyDescent="0.25">
      <c r="H2861" t="s">
        <v>4845</v>
      </c>
    </row>
    <row r="2862" spans="8:8" x14ac:dyDescent="0.25">
      <c r="H2862" t="s">
        <v>4367</v>
      </c>
    </row>
    <row r="2863" spans="8:8" x14ac:dyDescent="0.25">
      <c r="H2863" t="s">
        <v>3665</v>
      </c>
    </row>
    <row r="2864" spans="8:8" x14ac:dyDescent="0.25">
      <c r="H2864" t="s">
        <v>2573</v>
      </c>
    </row>
    <row r="2865" spans="8:8" x14ac:dyDescent="0.25">
      <c r="H2865" t="s">
        <v>2639</v>
      </c>
    </row>
    <row r="2866" spans="8:8" x14ac:dyDescent="0.25">
      <c r="H2866" t="s">
        <v>3274</v>
      </c>
    </row>
    <row r="2867" spans="8:8" x14ac:dyDescent="0.25">
      <c r="H2867" t="s">
        <v>2187</v>
      </c>
    </row>
    <row r="2868" spans="8:8" x14ac:dyDescent="0.25">
      <c r="H2868" t="s">
        <v>2528</v>
      </c>
    </row>
    <row r="2869" spans="8:8" x14ac:dyDescent="0.25">
      <c r="H2869" t="s">
        <v>1889</v>
      </c>
    </row>
    <row r="2870" spans="8:8" x14ac:dyDescent="0.25">
      <c r="H2870" t="s">
        <v>1374</v>
      </c>
    </row>
    <row r="2871" spans="8:8" x14ac:dyDescent="0.25">
      <c r="H2871" t="s">
        <v>1508</v>
      </c>
    </row>
    <row r="2872" spans="8:8" x14ac:dyDescent="0.25">
      <c r="H2872" t="s">
        <v>3280</v>
      </c>
    </row>
    <row r="2873" spans="8:8" x14ac:dyDescent="0.25">
      <c r="H2873" t="s">
        <v>2229</v>
      </c>
    </row>
    <row r="2874" spans="8:8" x14ac:dyDescent="0.25">
      <c r="H2874" t="s">
        <v>1655</v>
      </c>
    </row>
    <row r="2875" spans="8:8" x14ac:dyDescent="0.25">
      <c r="H2875" t="s">
        <v>3455</v>
      </c>
    </row>
    <row r="2876" spans="8:8" x14ac:dyDescent="0.25">
      <c r="H2876" t="s">
        <v>3300</v>
      </c>
    </row>
    <row r="2877" spans="8:8" x14ac:dyDescent="0.25">
      <c r="H2877" t="s">
        <v>3888</v>
      </c>
    </row>
    <row r="2878" spans="8:8" x14ac:dyDescent="0.25">
      <c r="H2878" t="s">
        <v>2101</v>
      </c>
    </row>
    <row r="2879" spans="8:8" x14ac:dyDescent="0.25">
      <c r="H2879" t="s">
        <v>1639</v>
      </c>
    </row>
    <row r="2880" spans="8:8" x14ac:dyDescent="0.25">
      <c r="H2880" t="s">
        <v>3383</v>
      </c>
    </row>
    <row r="2881" spans="8:8" x14ac:dyDescent="0.25">
      <c r="H2881" t="s">
        <v>3320</v>
      </c>
    </row>
    <row r="2882" spans="8:8" x14ac:dyDescent="0.25">
      <c r="H2882" t="s">
        <v>3384</v>
      </c>
    </row>
    <row r="2883" spans="8:8" x14ac:dyDescent="0.25">
      <c r="H2883" t="s">
        <v>3964</v>
      </c>
    </row>
    <row r="2884" spans="8:8" x14ac:dyDescent="0.25">
      <c r="H2884" t="s">
        <v>1955</v>
      </c>
    </row>
    <row r="2885" spans="8:8" x14ac:dyDescent="0.25">
      <c r="H2885" t="s">
        <v>4127</v>
      </c>
    </row>
    <row r="2886" spans="8:8" x14ac:dyDescent="0.25">
      <c r="H2886" t="s">
        <v>2070</v>
      </c>
    </row>
    <row r="2887" spans="8:8" x14ac:dyDescent="0.25">
      <c r="H2887" t="s">
        <v>3721</v>
      </c>
    </row>
    <row r="2888" spans="8:8" x14ac:dyDescent="0.25">
      <c r="H2888" t="s">
        <v>5124</v>
      </c>
    </row>
    <row r="2889" spans="8:8" x14ac:dyDescent="0.25">
      <c r="H2889" t="s">
        <v>2591</v>
      </c>
    </row>
    <row r="2890" spans="8:8" x14ac:dyDescent="0.25">
      <c r="H2890" t="s">
        <v>3120</v>
      </c>
    </row>
    <row r="2891" spans="8:8" x14ac:dyDescent="0.25">
      <c r="H2891" t="s">
        <v>3388</v>
      </c>
    </row>
    <row r="2892" spans="8:8" x14ac:dyDescent="0.25">
      <c r="H2892" t="s">
        <v>1317</v>
      </c>
    </row>
    <row r="2893" spans="8:8" x14ac:dyDescent="0.25">
      <c r="H2893" t="s">
        <v>1940</v>
      </c>
    </row>
    <row r="2894" spans="8:8" x14ac:dyDescent="0.25">
      <c r="H2894" t="s">
        <v>483</v>
      </c>
    </row>
    <row r="2895" spans="8:8" x14ac:dyDescent="0.25">
      <c r="H2895" t="s">
        <v>3391</v>
      </c>
    </row>
    <row r="2896" spans="8:8" x14ac:dyDescent="0.25">
      <c r="H2896" t="s">
        <v>600</v>
      </c>
    </row>
    <row r="2897" spans="8:8" x14ac:dyDescent="0.25">
      <c r="H2897" t="s">
        <v>4664</v>
      </c>
    </row>
    <row r="2898" spans="8:8" x14ac:dyDescent="0.25">
      <c r="H2898" t="s">
        <v>3920</v>
      </c>
    </row>
    <row r="2899" spans="8:8" x14ac:dyDescent="0.25">
      <c r="H2899" t="s">
        <v>3394</v>
      </c>
    </row>
    <row r="2900" spans="8:8" x14ac:dyDescent="0.25">
      <c r="H2900" t="s">
        <v>1629</v>
      </c>
    </row>
    <row r="2901" spans="8:8" x14ac:dyDescent="0.25">
      <c r="H2901" t="s">
        <v>1434</v>
      </c>
    </row>
    <row r="2902" spans="8:8" x14ac:dyDescent="0.25">
      <c r="H2902" t="s">
        <v>1434</v>
      </c>
    </row>
    <row r="2903" spans="8:8" x14ac:dyDescent="0.25">
      <c r="H2903" t="s">
        <v>1451</v>
      </c>
    </row>
    <row r="2904" spans="8:8" x14ac:dyDescent="0.25">
      <c r="H2904" t="s">
        <v>3396</v>
      </c>
    </row>
    <row r="2905" spans="8:8" x14ac:dyDescent="0.25">
      <c r="H2905" t="s">
        <v>1401</v>
      </c>
    </row>
    <row r="2906" spans="8:8" x14ac:dyDescent="0.25">
      <c r="H2906" t="s">
        <v>829</v>
      </c>
    </row>
    <row r="2907" spans="8:8" x14ac:dyDescent="0.25">
      <c r="H2907" t="s">
        <v>2011</v>
      </c>
    </row>
    <row r="2908" spans="8:8" x14ac:dyDescent="0.25">
      <c r="H2908" t="s">
        <v>3006</v>
      </c>
    </row>
    <row r="2909" spans="8:8" x14ac:dyDescent="0.25">
      <c r="H2909" t="s">
        <v>972</v>
      </c>
    </row>
    <row r="2910" spans="8:8" x14ac:dyDescent="0.25">
      <c r="H2910" t="s">
        <v>1175</v>
      </c>
    </row>
    <row r="2911" spans="8:8" x14ac:dyDescent="0.25">
      <c r="H2911" t="s">
        <v>4310</v>
      </c>
    </row>
    <row r="2912" spans="8:8" x14ac:dyDescent="0.25">
      <c r="H2912" t="s">
        <v>2937</v>
      </c>
    </row>
    <row r="2913" spans="8:8" x14ac:dyDescent="0.25">
      <c r="H2913" t="s">
        <v>2562</v>
      </c>
    </row>
    <row r="2914" spans="8:8" x14ac:dyDescent="0.25">
      <c r="H2914" t="s">
        <v>2996</v>
      </c>
    </row>
    <row r="2915" spans="8:8" x14ac:dyDescent="0.25">
      <c r="H2915" t="s">
        <v>3073</v>
      </c>
    </row>
    <row r="2916" spans="8:8" x14ac:dyDescent="0.25">
      <c r="H2916" t="s">
        <v>2374</v>
      </c>
    </row>
    <row r="2917" spans="8:8" x14ac:dyDescent="0.25">
      <c r="H2917" t="s">
        <v>3802</v>
      </c>
    </row>
    <row r="2918" spans="8:8" x14ac:dyDescent="0.25">
      <c r="H2918" t="s">
        <v>4253</v>
      </c>
    </row>
    <row r="2919" spans="8:8" x14ac:dyDescent="0.25">
      <c r="H2919" t="s">
        <v>4282</v>
      </c>
    </row>
    <row r="2920" spans="8:8" x14ac:dyDescent="0.25">
      <c r="H2920" t="s">
        <v>4456</v>
      </c>
    </row>
    <row r="2921" spans="8:8" x14ac:dyDescent="0.25">
      <c r="H2921" t="s">
        <v>3399</v>
      </c>
    </row>
    <row r="2922" spans="8:8" x14ac:dyDescent="0.25">
      <c r="H2922" t="s">
        <v>3400</v>
      </c>
    </row>
    <row r="2923" spans="8:8" x14ac:dyDescent="0.25">
      <c r="H2923" t="s">
        <v>3402</v>
      </c>
    </row>
    <row r="2924" spans="8:8" x14ac:dyDescent="0.25">
      <c r="H2924" t="s">
        <v>3454</v>
      </c>
    </row>
    <row r="2925" spans="8:8" x14ac:dyDescent="0.25">
      <c r="H2925" t="s">
        <v>578</v>
      </c>
    </row>
    <row r="2926" spans="8:8" x14ac:dyDescent="0.25">
      <c r="H2926" t="s">
        <v>3239</v>
      </c>
    </row>
    <row r="2927" spans="8:8" x14ac:dyDescent="0.25">
      <c r="H2927" t="s">
        <v>2373</v>
      </c>
    </row>
    <row r="2928" spans="8:8" x14ac:dyDescent="0.25">
      <c r="H2928" t="s">
        <v>2373</v>
      </c>
    </row>
    <row r="2929" spans="8:8" x14ac:dyDescent="0.25">
      <c r="H2929" t="s">
        <v>3408</v>
      </c>
    </row>
    <row r="2930" spans="8:8" x14ac:dyDescent="0.25">
      <c r="H2930" t="s">
        <v>2476</v>
      </c>
    </row>
    <row r="2931" spans="8:8" x14ac:dyDescent="0.25">
      <c r="H2931" t="s">
        <v>3409</v>
      </c>
    </row>
    <row r="2932" spans="8:8" x14ac:dyDescent="0.25">
      <c r="H2932" t="s">
        <v>4429</v>
      </c>
    </row>
    <row r="2933" spans="8:8" x14ac:dyDescent="0.25">
      <c r="H2933" t="s">
        <v>635</v>
      </c>
    </row>
    <row r="2934" spans="8:8" x14ac:dyDescent="0.25">
      <c r="H2934" t="s">
        <v>1492</v>
      </c>
    </row>
    <row r="2935" spans="8:8" x14ac:dyDescent="0.25">
      <c r="H2935" t="s">
        <v>1492</v>
      </c>
    </row>
    <row r="2936" spans="8:8" x14ac:dyDescent="0.25">
      <c r="H2936" t="s">
        <v>3410</v>
      </c>
    </row>
    <row r="2937" spans="8:8" x14ac:dyDescent="0.25">
      <c r="H2937" t="s">
        <v>1453</v>
      </c>
    </row>
    <row r="2938" spans="8:8" x14ac:dyDescent="0.25">
      <c r="H2938" t="s">
        <v>3421</v>
      </c>
    </row>
    <row r="2939" spans="8:8" x14ac:dyDescent="0.25">
      <c r="H2939" t="s">
        <v>4603</v>
      </c>
    </row>
    <row r="2940" spans="8:8" x14ac:dyDescent="0.25">
      <c r="H2940" t="s">
        <v>3448</v>
      </c>
    </row>
    <row r="2941" spans="8:8" x14ac:dyDescent="0.25">
      <c r="H2941" t="s">
        <v>2273</v>
      </c>
    </row>
    <row r="2942" spans="8:8" x14ac:dyDescent="0.25">
      <c r="H2942" t="s">
        <v>747</v>
      </c>
    </row>
    <row r="2943" spans="8:8" x14ac:dyDescent="0.25">
      <c r="H2943" t="s">
        <v>2502</v>
      </c>
    </row>
    <row r="2944" spans="8:8" x14ac:dyDescent="0.25">
      <c r="H2944" t="s">
        <v>4576</v>
      </c>
    </row>
    <row r="2945" spans="8:8" x14ac:dyDescent="0.25">
      <c r="H2945" t="s">
        <v>3212</v>
      </c>
    </row>
    <row r="2946" spans="8:8" x14ac:dyDescent="0.25">
      <c r="H2946" t="s">
        <v>2549</v>
      </c>
    </row>
    <row r="2947" spans="8:8" x14ac:dyDescent="0.25">
      <c r="H2947" t="s">
        <v>3135</v>
      </c>
    </row>
    <row r="2948" spans="8:8" x14ac:dyDescent="0.25">
      <c r="H2948" t="s">
        <v>1339</v>
      </c>
    </row>
    <row r="2949" spans="8:8" x14ac:dyDescent="0.25">
      <c r="H2949" t="s">
        <v>1362</v>
      </c>
    </row>
    <row r="2950" spans="8:8" x14ac:dyDescent="0.25">
      <c r="H2950" t="s">
        <v>1362</v>
      </c>
    </row>
    <row r="2951" spans="8:8" x14ac:dyDescent="0.25">
      <c r="H2951" t="s">
        <v>4155</v>
      </c>
    </row>
    <row r="2952" spans="8:8" x14ac:dyDescent="0.25">
      <c r="H2952" t="s">
        <v>5068</v>
      </c>
    </row>
    <row r="2953" spans="8:8" x14ac:dyDescent="0.25">
      <c r="H2953" t="s">
        <v>2902</v>
      </c>
    </row>
    <row r="2954" spans="8:8" x14ac:dyDescent="0.25">
      <c r="H2954" t="s">
        <v>3839</v>
      </c>
    </row>
    <row r="2955" spans="8:8" x14ac:dyDescent="0.25">
      <c r="H2955" t="s">
        <v>4372</v>
      </c>
    </row>
    <row r="2956" spans="8:8" x14ac:dyDescent="0.25">
      <c r="H2956" t="s">
        <v>1064</v>
      </c>
    </row>
    <row r="2957" spans="8:8" x14ac:dyDescent="0.25">
      <c r="H2957" t="s">
        <v>3423</v>
      </c>
    </row>
    <row r="2958" spans="8:8" x14ac:dyDescent="0.25">
      <c r="H2958" t="s">
        <v>823</v>
      </c>
    </row>
    <row r="2959" spans="8:8" x14ac:dyDescent="0.25">
      <c r="H2959" t="s">
        <v>3451</v>
      </c>
    </row>
    <row r="2960" spans="8:8" x14ac:dyDescent="0.25">
      <c r="H2960" t="s">
        <v>3446</v>
      </c>
    </row>
    <row r="2961" spans="8:8" x14ac:dyDescent="0.25">
      <c r="H2961" t="s">
        <v>3452</v>
      </c>
    </row>
    <row r="2962" spans="8:8" x14ac:dyDescent="0.25">
      <c r="H2962" t="s">
        <v>3453</v>
      </c>
    </row>
    <row r="2963" spans="8:8" x14ac:dyDescent="0.25">
      <c r="H2963" t="s">
        <v>3609</v>
      </c>
    </row>
    <row r="2964" spans="8:8" x14ac:dyDescent="0.25">
      <c r="H2964" t="s">
        <v>3458</v>
      </c>
    </row>
    <row r="2965" spans="8:8" x14ac:dyDescent="0.25">
      <c r="H2965" t="s">
        <v>2680</v>
      </c>
    </row>
    <row r="2966" spans="8:8" x14ac:dyDescent="0.25">
      <c r="H2966" t="s">
        <v>577</v>
      </c>
    </row>
    <row r="2967" spans="8:8" x14ac:dyDescent="0.25">
      <c r="H2967" t="s">
        <v>3359</v>
      </c>
    </row>
    <row r="2968" spans="8:8" x14ac:dyDescent="0.25">
      <c r="H2968" t="s">
        <v>4575</v>
      </c>
    </row>
    <row r="2969" spans="8:8" x14ac:dyDescent="0.25">
      <c r="H2969" t="s">
        <v>2535</v>
      </c>
    </row>
    <row r="2970" spans="8:8" x14ac:dyDescent="0.25">
      <c r="H2970" t="s">
        <v>2057</v>
      </c>
    </row>
    <row r="2971" spans="8:8" x14ac:dyDescent="0.25">
      <c r="H2971" t="s">
        <v>3048</v>
      </c>
    </row>
    <row r="2972" spans="8:8" x14ac:dyDescent="0.25">
      <c r="H2972" t="s">
        <v>1671</v>
      </c>
    </row>
    <row r="2973" spans="8:8" x14ac:dyDescent="0.25">
      <c r="H2973" t="s">
        <v>1671</v>
      </c>
    </row>
    <row r="2974" spans="8:8" x14ac:dyDescent="0.25">
      <c r="H2974" t="s">
        <v>3700</v>
      </c>
    </row>
    <row r="2975" spans="8:8" x14ac:dyDescent="0.25">
      <c r="H2975" t="s">
        <v>818</v>
      </c>
    </row>
    <row r="2976" spans="8:8" x14ac:dyDescent="0.25">
      <c r="H2976" t="s">
        <v>3667</v>
      </c>
    </row>
    <row r="2977" spans="8:8" x14ac:dyDescent="0.25">
      <c r="H2977" t="s">
        <v>1316</v>
      </c>
    </row>
    <row r="2978" spans="8:8" x14ac:dyDescent="0.25">
      <c r="H2978" t="s">
        <v>1407</v>
      </c>
    </row>
    <row r="2979" spans="8:8" x14ac:dyDescent="0.25">
      <c r="H2979" t="s">
        <v>2208</v>
      </c>
    </row>
    <row r="2980" spans="8:8" x14ac:dyDescent="0.25">
      <c r="H2980" t="s">
        <v>1318</v>
      </c>
    </row>
    <row r="2981" spans="8:8" x14ac:dyDescent="0.25">
      <c r="H2981" t="s">
        <v>1315</v>
      </c>
    </row>
    <row r="2982" spans="8:8" x14ac:dyDescent="0.25">
      <c r="H2982" t="s">
        <v>2855</v>
      </c>
    </row>
    <row r="2983" spans="8:8" x14ac:dyDescent="0.25">
      <c r="H2983" t="s">
        <v>803</v>
      </c>
    </row>
    <row r="2984" spans="8:8" x14ac:dyDescent="0.25">
      <c r="H2984" t="s">
        <v>804</v>
      </c>
    </row>
    <row r="2985" spans="8:8" x14ac:dyDescent="0.25">
      <c r="H2985" t="s">
        <v>951</v>
      </c>
    </row>
    <row r="2986" spans="8:8" x14ac:dyDescent="0.25">
      <c r="H2986" t="s">
        <v>4123</v>
      </c>
    </row>
    <row r="2987" spans="8:8" x14ac:dyDescent="0.25">
      <c r="H2987" t="s">
        <v>4342</v>
      </c>
    </row>
    <row r="2988" spans="8:8" x14ac:dyDescent="0.25">
      <c r="H2988" t="s">
        <v>4402</v>
      </c>
    </row>
    <row r="2989" spans="8:8" x14ac:dyDescent="0.25">
      <c r="H2989" t="s">
        <v>1286</v>
      </c>
    </row>
    <row r="2990" spans="8:8" x14ac:dyDescent="0.25">
      <c r="H2990" t="s">
        <v>4363</v>
      </c>
    </row>
    <row r="2991" spans="8:8" x14ac:dyDescent="0.25">
      <c r="H2991" t="s">
        <v>4811</v>
      </c>
    </row>
    <row r="2992" spans="8:8" x14ac:dyDescent="0.25">
      <c r="H2992" t="s">
        <v>4976</v>
      </c>
    </row>
    <row r="2993" spans="8:8" x14ac:dyDescent="0.25">
      <c r="H2993" t="s">
        <v>2281</v>
      </c>
    </row>
    <row r="2994" spans="8:8" x14ac:dyDescent="0.25">
      <c r="H2994" t="s">
        <v>1887</v>
      </c>
    </row>
    <row r="2995" spans="8:8" x14ac:dyDescent="0.25">
      <c r="H2995" t="s">
        <v>1065</v>
      </c>
    </row>
    <row r="2996" spans="8:8" x14ac:dyDescent="0.25">
      <c r="H2996" t="s">
        <v>5454</v>
      </c>
    </row>
    <row r="2997" spans="8:8" x14ac:dyDescent="0.25">
      <c r="H2997" t="s">
        <v>2042</v>
      </c>
    </row>
    <row r="2998" spans="8:8" x14ac:dyDescent="0.25">
      <c r="H2998" t="s">
        <v>1312</v>
      </c>
    </row>
    <row r="2999" spans="8:8" x14ac:dyDescent="0.25">
      <c r="H2999" t="s">
        <v>1160</v>
      </c>
    </row>
    <row r="3000" spans="8:8" x14ac:dyDescent="0.25">
      <c r="H3000" t="s">
        <v>4781</v>
      </c>
    </row>
    <row r="3001" spans="8:8" x14ac:dyDescent="0.25">
      <c r="H3001" t="s">
        <v>566</v>
      </c>
    </row>
    <row r="3002" spans="8:8" x14ac:dyDescent="0.25">
      <c r="H3002" t="s">
        <v>3481</v>
      </c>
    </row>
    <row r="3003" spans="8:8" x14ac:dyDescent="0.25">
      <c r="H3003" t="s">
        <v>3806</v>
      </c>
    </row>
    <row r="3004" spans="8:8" x14ac:dyDescent="0.25">
      <c r="H3004" t="s">
        <v>3050</v>
      </c>
    </row>
    <row r="3005" spans="8:8" x14ac:dyDescent="0.25">
      <c r="H3005" t="s">
        <v>2377</v>
      </c>
    </row>
    <row r="3006" spans="8:8" x14ac:dyDescent="0.25">
      <c r="H3006" t="s">
        <v>4730</v>
      </c>
    </row>
    <row r="3007" spans="8:8" x14ac:dyDescent="0.25">
      <c r="H3007" t="s">
        <v>5113</v>
      </c>
    </row>
    <row r="3008" spans="8:8" x14ac:dyDescent="0.25">
      <c r="H3008" t="s">
        <v>5276</v>
      </c>
    </row>
    <row r="3009" spans="8:8" x14ac:dyDescent="0.25">
      <c r="H3009" t="s">
        <v>2072</v>
      </c>
    </row>
    <row r="3010" spans="8:8" x14ac:dyDescent="0.25">
      <c r="H3010" t="s">
        <v>3478</v>
      </c>
    </row>
    <row r="3011" spans="8:8" x14ac:dyDescent="0.25">
      <c r="H3011" t="s">
        <v>2378</v>
      </c>
    </row>
    <row r="3012" spans="8:8" x14ac:dyDescent="0.25">
      <c r="H3012" t="s">
        <v>2734</v>
      </c>
    </row>
    <row r="3013" spans="8:8" x14ac:dyDescent="0.25">
      <c r="H3013" t="s">
        <v>3574</v>
      </c>
    </row>
    <row r="3014" spans="8:8" x14ac:dyDescent="0.25">
      <c r="H3014" t="s">
        <v>3485</v>
      </c>
    </row>
    <row r="3015" spans="8:8" x14ac:dyDescent="0.25">
      <c r="H3015" t="s">
        <v>2922</v>
      </c>
    </row>
    <row r="3016" spans="8:8" x14ac:dyDescent="0.25">
      <c r="H3016" t="s">
        <v>4200</v>
      </c>
    </row>
    <row r="3017" spans="8:8" x14ac:dyDescent="0.25">
      <c r="H3017" t="s">
        <v>4581</v>
      </c>
    </row>
    <row r="3018" spans="8:8" x14ac:dyDescent="0.25">
      <c r="H3018" t="s">
        <v>1545</v>
      </c>
    </row>
    <row r="3019" spans="8:8" x14ac:dyDescent="0.25">
      <c r="H3019" t="s">
        <v>5303</v>
      </c>
    </row>
    <row r="3020" spans="8:8" x14ac:dyDescent="0.25">
      <c r="H3020" t="s">
        <v>1546</v>
      </c>
    </row>
    <row r="3021" spans="8:8" x14ac:dyDescent="0.25">
      <c r="H3021" t="s">
        <v>1544</v>
      </c>
    </row>
    <row r="3022" spans="8:8" x14ac:dyDescent="0.25">
      <c r="H3022" t="s">
        <v>3487</v>
      </c>
    </row>
    <row r="3023" spans="8:8" x14ac:dyDescent="0.25">
      <c r="H3023" t="s">
        <v>3472</v>
      </c>
    </row>
    <row r="3024" spans="8:8" x14ac:dyDescent="0.25">
      <c r="H3024" t="s">
        <v>1739</v>
      </c>
    </row>
    <row r="3025" spans="8:8" x14ac:dyDescent="0.25">
      <c r="H3025" t="s">
        <v>4041</v>
      </c>
    </row>
    <row r="3026" spans="8:8" x14ac:dyDescent="0.25">
      <c r="H3026" t="s">
        <v>3571</v>
      </c>
    </row>
    <row r="3027" spans="8:8" x14ac:dyDescent="0.25">
      <c r="H3027" t="s">
        <v>1801</v>
      </c>
    </row>
    <row r="3028" spans="8:8" x14ac:dyDescent="0.25">
      <c r="H3028" t="s">
        <v>1402</v>
      </c>
    </row>
    <row r="3029" spans="8:8" x14ac:dyDescent="0.25">
      <c r="H3029" t="s">
        <v>4136</v>
      </c>
    </row>
    <row r="3030" spans="8:8" x14ac:dyDescent="0.25">
      <c r="H3030" t="s">
        <v>919</v>
      </c>
    </row>
    <row r="3031" spans="8:8" x14ac:dyDescent="0.25">
      <c r="H3031" t="s">
        <v>920</v>
      </c>
    </row>
    <row r="3032" spans="8:8" x14ac:dyDescent="0.25">
      <c r="H3032" t="s">
        <v>4464</v>
      </c>
    </row>
    <row r="3033" spans="8:8" x14ac:dyDescent="0.25">
      <c r="H3033" t="s">
        <v>2232</v>
      </c>
    </row>
    <row r="3034" spans="8:8" x14ac:dyDescent="0.25">
      <c r="H3034" t="s">
        <v>4532</v>
      </c>
    </row>
    <row r="3035" spans="8:8" x14ac:dyDescent="0.25">
      <c r="H3035" t="s">
        <v>3730</v>
      </c>
    </row>
    <row r="3036" spans="8:8" x14ac:dyDescent="0.25">
      <c r="H3036" t="s">
        <v>4914</v>
      </c>
    </row>
    <row r="3037" spans="8:8" x14ac:dyDescent="0.25">
      <c r="H3037" t="s">
        <v>4825</v>
      </c>
    </row>
    <row r="3038" spans="8:8" x14ac:dyDescent="0.25">
      <c r="H3038" t="s">
        <v>3737</v>
      </c>
    </row>
    <row r="3039" spans="8:8" x14ac:dyDescent="0.25">
      <c r="H3039" t="s">
        <v>470</v>
      </c>
    </row>
    <row r="3040" spans="8:8" x14ac:dyDescent="0.25">
      <c r="H3040" t="s">
        <v>5117</v>
      </c>
    </row>
    <row r="3041" spans="8:8" x14ac:dyDescent="0.25">
      <c r="H3041" t="s">
        <v>4186</v>
      </c>
    </row>
    <row r="3042" spans="8:8" x14ac:dyDescent="0.25">
      <c r="H3042" t="s">
        <v>4438</v>
      </c>
    </row>
    <row r="3043" spans="8:8" x14ac:dyDescent="0.25">
      <c r="H3043" t="s">
        <v>3490</v>
      </c>
    </row>
    <row r="3044" spans="8:8" x14ac:dyDescent="0.25">
      <c r="H3044" t="s">
        <v>3491</v>
      </c>
    </row>
    <row r="3045" spans="8:8" x14ac:dyDescent="0.25">
      <c r="H3045" t="s">
        <v>3492</v>
      </c>
    </row>
    <row r="3046" spans="8:8" x14ac:dyDescent="0.25">
      <c r="H3046" t="s">
        <v>3493</v>
      </c>
    </row>
    <row r="3047" spans="8:8" x14ac:dyDescent="0.25">
      <c r="H3047" t="s">
        <v>3503</v>
      </c>
    </row>
    <row r="3048" spans="8:8" x14ac:dyDescent="0.25">
      <c r="H3048" t="s">
        <v>2889</v>
      </c>
    </row>
    <row r="3049" spans="8:8" x14ac:dyDescent="0.25">
      <c r="H3049" t="s">
        <v>3745</v>
      </c>
    </row>
    <row r="3050" spans="8:8" x14ac:dyDescent="0.25">
      <c r="H3050" t="s">
        <v>5088</v>
      </c>
    </row>
    <row r="3051" spans="8:8" x14ac:dyDescent="0.25">
      <c r="H3051" t="s">
        <v>3749</v>
      </c>
    </row>
    <row r="3052" spans="8:8" x14ac:dyDescent="0.25">
      <c r="H3052" t="s">
        <v>3510</v>
      </c>
    </row>
    <row r="3053" spans="8:8" x14ac:dyDescent="0.25">
      <c r="H3053" t="s">
        <v>3511</v>
      </c>
    </row>
    <row r="3054" spans="8:8" x14ac:dyDescent="0.25">
      <c r="H3054" t="s">
        <v>1142</v>
      </c>
    </row>
    <row r="3055" spans="8:8" x14ac:dyDescent="0.25">
      <c r="H3055" t="s">
        <v>1228</v>
      </c>
    </row>
    <row r="3056" spans="8:8" x14ac:dyDescent="0.25">
      <c r="H3056" t="s">
        <v>2925</v>
      </c>
    </row>
    <row r="3057" spans="8:8" x14ac:dyDescent="0.25">
      <c r="H3057" t="s">
        <v>4882</v>
      </c>
    </row>
    <row r="3058" spans="8:8" x14ac:dyDescent="0.25">
      <c r="H3058" t="s">
        <v>5142</v>
      </c>
    </row>
    <row r="3059" spans="8:8" x14ac:dyDescent="0.25">
      <c r="H3059" t="s">
        <v>492</v>
      </c>
    </row>
    <row r="3060" spans="8:8" x14ac:dyDescent="0.25">
      <c r="H3060" t="s">
        <v>1859</v>
      </c>
    </row>
    <row r="3061" spans="8:8" x14ac:dyDescent="0.25">
      <c r="H3061" t="s">
        <v>768</v>
      </c>
    </row>
    <row r="3062" spans="8:8" x14ac:dyDescent="0.25">
      <c r="H3062" t="s">
        <v>1967</v>
      </c>
    </row>
    <row r="3063" spans="8:8" x14ac:dyDescent="0.25">
      <c r="H3063" t="s">
        <v>3473</v>
      </c>
    </row>
    <row r="3064" spans="8:8" x14ac:dyDescent="0.25">
      <c r="H3064" t="s">
        <v>5046</v>
      </c>
    </row>
    <row r="3065" spans="8:8" x14ac:dyDescent="0.25">
      <c r="H3065" t="s">
        <v>5002</v>
      </c>
    </row>
    <row r="3066" spans="8:8" x14ac:dyDescent="0.25">
      <c r="H3066" t="s">
        <v>2464</v>
      </c>
    </row>
    <row r="3067" spans="8:8" x14ac:dyDescent="0.25">
      <c r="H3067" t="s">
        <v>3157</v>
      </c>
    </row>
    <row r="3068" spans="8:8" x14ac:dyDescent="0.25">
      <c r="H3068" t="s">
        <v>3464</v>
      </c>
    </row>
    <row r="3069" spans="8:8" x14ac:dyDescent="0.25">
      <c r="H3069" t="s">
        <v>1952</v>
      </c>
    </row>
    <row r="3070" spans="8:8" x14ac:dyDescent="0.25">
      <c r="H3070" t="s">
        <v>3513</v>
      </c>
    </row>
    <row r="3071" spans="8:8" x14ac:dyDescent="0.25">
      <c r="H3071" t="s">
        <v>656</v>
      </c>
    </row>
    <row r="3072" spans="8:8" x14ac:dyDescent="0.25">
      <c r="H3072" t="s">
        <v>1515</v>
      </c>
    </row>
    <row r="3073" spans="8:8" x14ac:dyDescent="0.25">
      <c r="H3073" t="s">
        <v>1515</v>
      </c>
    </row>
    <row r="3074" spans="8:8" x14ac:dyDescent="0.25">
      <c r="H3074" t="s">
        <v>934</v>
      </c>
    </row>
    <row r="3075" spans="8:8" x14ac:dyDescent="0.25">
      <c r="H3075" t="s">
        <v>3515</v>
      </c>
    </row>
    <row r="3076" spans="8:8" x14ac:dyDescent="0.25">
      <c r="H3076" t="s">
        <v>2712</v>
      </c>
    </row>
    <row r="3077" spans="8:8" x14ac:dyDescent="0.25">
      <c r="H3077" t="s">
        <v>3518</v>
      </c>
    </row>
    <row r="3078" spans="8:8" x14ac:dyDescent="0.25">
      <c r="H3078" t="s">
        <v>992</v>
      </c>
    </row>
    <row r="3079" spans="8:8" x14ac:dyDescent="0.25">
      <c r="H3079" t="s">
        <v>3519</v>
      </c>
    </row>
    <row r="3080" spans="8:8" x14ac:dyDescent="0.25">
      <c r="H3080" t="s">
        <v>3521</v>
      </c>
    </row>
    <row r="3081" spans="8:8" x14ac:dyDescent="0.25">
      <c r="H3081" t="s">
        <v>3523</v>
      </c>
    </row>
    <row r="3082" spans="8:8" x14ac:dyDescent="0.25">
      <c r="H3082" t="s">
        <v>3524</v>
      </c>
    </row>
    <row r="3083" spans="8:8" x14ac:dyDescent="0.25">
      <c r="H3083" t="s">
        <v>3525</v>
      </c>
    </row>
    <row r="3084" spans="8:8" x14ac:dyDescent="0.25">
      <c r="H3084" t="s">
        <v>3522</v>
      </c>
    </row>
    <row r="3085" spans="8:8" x14ac:dyDescent="0.25">
      <c r="H3085" t="s">
        <v>3526</v>
      </c>
    </row>
    <row r="3086" spans="8:8" x14ac:dyDescent="0.25">
      <c r="H3086" t="s">
        <v>3466</v>
      </c>
    </row>
    <row r="3087" spans="8:8" x14ac:dyDescent="0.25">
      <c r="H3087" t="s">
        <v>3527</v>
      </c>
    </row>
    <row r="3088" spans="8:8" x14ac:dyDescent="0.25">
      <c r="H3088" t="s">
        <v>3528</v>
      </c>
    </row>
    <row r="3089" spans="8:8" x14ac:dyDescent="0.25">
      <c r="H3089" t="s">
        <v>3532</v>
      </c>
    </row>
    <row r="3090" spans="8:8" x14ac:dyDescent="0.25">
      <c r="H3090" t="s">
        <v>905</v>
      </c>
    </row>
    <row r="3091" spans="8:8" x14ac:dyDescent="0.25">
      <c r="H3091" t="s">
        <v>3530</v>
      </c>
    </row>
    <row r="3092" spans="8:8" x14ac:dyDescent="0.25">
      <c r="H3092" t="s">
        <v>3531</v>
      </c>
    </row>
    <row r="3093" spans="8:8" x14ac:dyDescent="0.25">
      <c r="H3093" t="s">
        <v>1419</v>
      </c>
    </row>
    <row r="3094" spans="8:8" x14ac:dyDescent="0.25">
      <c r="H3094" t="s">
        <v>1730</v>
      </c>
    </row>
    <row r="3095" spans="8:8" x14ac:dyDescent="0.25">
      <c r="H3095" t="s">
        <v>4595</v>
      </c>
    </row>
    <row r="3096" spans="8:8" x14ac:dyDescent="0.25">
      <c r="H3096" t="s">
        <v>534</v>
      </c>
    </row>
    <row r="3097" spans="8:8" x14ac:dyDescent="0.25">
      <c r="H3097" t="s">
        <v>535</v>
      </c>
    </row>
    <row r="3098" spans="8:8" x14ac:dyDescent="0.25">
      <c r="H3098" t="s">
        <v>3790</v>
      </c>
    </row>
    <row r="3099" spans="8:8" x14ac:dyDescent="0.25">
      <c r="H3099" t="s">
        <v>1293</v>
      </c>
    </row>
    <row r="3100" spans="8:8" x14ac:dyDescent="0.25">
      <c r="H3100" t="s">
        <v>3431</v>
      </c>
    </row>
    <row r="3101" spans="8:8" x14ac:dyDescent="0.25">
      <c r="H3101" t="s">
        <v>3656</v>
      </c>
    </row>
    <row r="3102" spans="8:8" x14ac:dyDescent="0.25">
      <c r="H3102" t="s">
        <v>4524</v>
      </c>
    </row>
    <row r="3103" spans="8:8" x14ac:dyDescent="0.25">
      <c r="H3103" t="s">
        <v>536</v>
      </c>
    </row>
    <row r="3104" spans="8:8" x14ac:dyDescent="0.25">
      <c r="H3104" t="s">
        <v>537</v>
      </c>
    </row>
    <row r="3105" spans="8:8" x14ac:dyDescent="0.25">
      <c r="H3105" t="s">
        <v>3541</v>
      </c>
    </row>
    <row r="3106" spans="8:8" x14ac:dyDescent="0.25">
      <c r="H3106" t="s">
        <v>3324</v>
      </c>
    </row>
    <row r="3107" spans="8:8" x14ac:dyDescent="0.25">
      <c r="H3107" t="s">
        <v>3861</v>
      </c>
    </row>
    <row r="3108" spans="8:8" x14ac:dyDescent="0.25">
      <c r="H3108" t="s">
        <v>3551</v>
      </c>
    </row>
    <row r="3109" spans="8:8" x14ac:dyDescent="0.25">
      <c r="H3109" t="s">
        <v>3496</v>
      </c>
    </row>
    <row r="3110" spans="8:8" x14ac:dyDescent="0.25">
      <c r="H3110" t="s">
        <v>3748</v>
      </c>
    </row>
    <row r="3111" spans="8:8" x14ac:dyDescent="0.25">
      <c r="H3111" t="s">
        <v>3547</v>
      </c>
    </row>
    <row r="3112" spans="8:8" x14ac:dyDescent="0.25">
      <c r="H3112" t="s">
        <v>3549</v>
      </c>
    </row>
    <row r="3113" spans="8:8" x14ac:dyDescent="0.25">
      <c r="H3113" t="s">
        <v>4782</v>
      </c>
    </row>
    <row r="3114" spans="8:8" x14ac:dyDescent="0.25">
      <c r="H3114" t="s">
        <v>2999</v>
      </c>
    </row>
    <row r="3115" spans="8:8" x14ac:dyDescent="0.25">
      <c r="H3115" t="s">
        <v>5350</v>
      </c>
    </row>
    <row r="3116" spans="8:8" x14ac:dyDescent="0.25">
      <c r="H3116" t="s">
        <v>3554</v>
      </c>
    </row>
    <row r="3117" spans="8:8" x14ac:dyDescent="0.25">
      <c r="H3117" t="s">
        <v>3564</v>
      </c>
    </row>
    <row r="3118" spans="8:8" x14ac:dyDescent="0.25">
      <c r="H3118" t="s">
        <v>3566</v>
      </c>
    </row>
    <row r="3119" spans="8:8" x14ac:dyDescent="0.25">
      <c r="H3119" t="s">
        <v>3568</v>
      </c>
    </row>
    <row r="3120" spans="8:8" x14ac:dyDescent="0.25">
      <c r="H3120" t="s">
        <v>3192</v>
      </c>
    </row>
    <row r="3121" spans="8:8" x14ac:dyDescent="0.25">
      <c r="H3121" t="s">
        <v>4815</v>
      </c>
    </row>
    <row r="3122" spans="8:8" x14ac:dyDescent="0.25">
      <c r="H3122" t="s">
        <v>5332</v>
      </c>
    </row>
    <row r="3123" spans="8:8" x14ac:dyDescent="0.25">
      <c r="H3123" t="s">
        <v>2241</v>
      </c>
    </row>
    <row r="3124" spans="8:8" x14ac:dyDescent="0.25">
      <c r="H3124" t="s">
        <v>5436</v>
      </c>
    </row>
    <row r="3125" spans="8:8" x14ac:dyDescent="0.25">
      <c r="H3125" t="s">
        <v>3243</v>
      </c>
    </row>
    <row r="3126" spans="8:8" x14ac:dyDescent="0.25">
      <c r="H3126" t="s">
        <v>4580</v>
      </c>
    </row>
    <row r="3127" spans="8:8" x14ac:dyDescent="0.25">
      <c r="H3127" t="s">
        <v>4639</v>
      </c>
    </row>
    <row r="3128" spans="8:8" x14ac:dyDescent="0.25">
      <c r="H3128" t="s">
        <v>1551</v>
      </c>
    </row>
    <row r="3129" spans="8:8" x14ac:dyDescent="0.25">
      <c r="H3129" t="s">
        <v>4117</v>
      </c>
    </row>
    <row r="3130" spans="8:8" x14ac:dyDescent="0.25">
      <c r="H3130" t="s">
        <v>4842</v>
      </c>
    </row>
    <row r="3131" spans="8:8" x14ac:dyDescent="0.25">
      <c r="H3131" t="s">
        <v>1788</v>
      </c>
    </row>
    <row r="3132" spans="8:8" x14ac:dyDescent="0.25">
      <c r="H3132" t="s">
        <v>1292</v>
      </c>
    </row>
    <row r="3133" spans="8:8" x14ac:dyDescent="0.25">
      <c r="H3133" t="s">
        <v>1327</v>
      </c>
    </row>
    <row r="3134" spans="8:8" x14ac:dyDescent="0.25">
      <c r="H3134" t="s">
        <v>3319</v>
      </c>
    </row>
    <row r="3135" spans="8:8" x14ac:dyDescent="0.25">
      <c r="H3135" t="s">
        <v>2287</v>
      </c>
    </row>
    <row r="3136" spans="8:8" x14ac:dyDescent="0.25">
      <c r="H3136" t="s">
        <v>3576</v>
      </c>
    </row>
    <row r="3137" spans="8:8" x14ac:dyDescent="0.25">
      <c r="H3137" t="s">
        <v>4039</v>
      </c>
    </row>
    <row r="3138" spans="8:8" x14ac:dyDescent="0.25">
      <c r="H3138" t="s">
        <v>4665</v>
      </c>
    </row>
    <row r="3139" spans="8:8" x14ac:dyDescent="0.25">
      <c r="H3139" t="s">
        <v>1977</v>
      </c>
    </row>
    <row r="3140" spans="8:8" x14ac:dyDescent="0.25">
      <c r="H3140" t="s">
        <v>1977</v>
      </c>
    </row>
    <row r="3141" spans="8:8" x14ac:dyDescent="0.25">
      <c r="H3141" t="s">
        <v>2785</v>
      </c>
    </row>
    <row r="3142" spans="8:8" x14ac:dyDescent="0.25">
      <c r="H3142" t="s">
        <v>1994</v>
      </c>
    </row>
    <row r="3143" spans="8:8" x14ac:dyDescent="0.25">
      <c r="H3143" t="s">
        <v>3577</v>
      </c>
    </row>
    <row r="3144" spans="8:8" x14ac:dyDescent="0.25">
      <c r="H3144" t="s">
        <v>3248</v>
      </c>
    </row>
    <row r="3145" spans="8:8" x14ac:dyDescent="0.25">
      <c r="H3145" t="s">
        <v>2759</v>
      </c>
    </row>
    <row r="3146" spans="8:8" x14ac:dyDescent="0.25">
      <c r="H3146" t="s">
        <v>5452</v>
      </c>
    </row>
    <row r="3147" spans="8:8" x14ac:dyDescent="0.25">
      <c r="H3147" t="s">
        <v>3580</v>
      </c>
    </row>
    <row r="3148" spans="8:8" x14ac:dyDescent="0.25">
      <c r="H3148" t="s">
        <v>5506</v>
      </c>
    </row>
    <row r="3149" spans="8:8" x14ac:dyDescent="0.25">
      <c r="H3149" t="s">
        <v>3590</v>
      </c>
    </row>
    <row r="3150" spans="8:8" x14ac:dyDescent="0.25">
      <c r="H3150" t="s">
        <v>3712</v>
      </c>
    </row>
    <row r="3151" spans="8:8" x14ac:dyDescent="0.25">
      <c r="H3151" t="s">
        <v>939</v>
      </c>
    </row>
    <row r="3152" spans="8:8" x14ac:dyDescent="0.25">
      <c r="H3152" t="s">
        <v>940</v>
      </c>
    </row>
    <row r="3153" spans="8:8" x14ac:dyDescent="0.25">
      <c r="H3153" t="s">
        <v>3605</v>
      </c>
    </row>
    <row r="3154" spans="8:8" x14ac:dyDescent="0.25">
      <c r="H3154" t="s">
        <v>4484</v>
      </c>
    </row>
    <row r="3155" spans="8:8" x14ac:dyDescent="0.25">
      <c r="H3155" t="s">
        <v>3591</v>
      </c>
    </row>
    <row r="3156" spans="8:8" x14ac:dyDescent="0.25">
      <c r="H3156" t="s">
        <v>2907</v>
      </c>
    </row>
    <row r="3157" spans="8:8" x14ac:dyDescent="0.25">
      <c r="H3157" t="s">
        <v>3668</v>
      </c>
    </row>
    <row r="3158" spans="8:8" x14ac:dyDescent="0.25">
      <c r="H3158" t="s">
        <v>3593</v>
      </c>
    </row>
    <row r="3159" spans="8:8" x14ac:dyDescent="0.25">
      <c r="H3159" t="s">
        <v>4925</v>
      </c>
    </row>
    <row r="3160" spans="8:8" x14ac:dyDescent="0.25">
      <c r="H3160" t="s">
        <v>3594</v>
      </c>
    </row>
    <row r="3161" spans="8:8" x14ac:dyDescent="0.25">
      <c r="H3161" t="s">
        <v>3071</v>
      </c>
    </row>
    <row r="3162" spans="8:8" x14ac:dyDescent="0.25">
      <c r="H3162" t="s">
        <v>1608</v>
      </c>
    </row>
    <row r="3163" spans="8:8" x14ac:dyDescent="0.25">
      <c r="H3163" t="s">
        <v>2289</v>
      </c>
    </row>
    <row r="3164" spans="8:8" x14ac:dyDescent="0.25">
      <c r="H3164" t="s">
        <v>1714</v>
      </c>
    </row>
    <row r="3165" spans="8:8" x14ac:dyDescent="0.25">
      <c r="H3165" t="s">
        <v>5177</v>
      </c>
    </row>
    <row r="3166" spans="8:8" x14ac:dyDescent="0.25">
      <c r="H3166" t="s">
        <v>2737</v>
      </c>
    </row>
    <row r="3167" spans="8:8" x14ac:dyDescent="0.25">
      <c r="H3167" t="s">
        <v>2728</v>
      </c>
    </row>
    <row r="3168" spans="8:8" x14ac:dyDescent="0.25">
      <c r="H3168" t="s">
        <v>2671</v>
      </c>
    </row>
    <row r="3169" spans="8:8" x14ac:dyDescent="0.25">
      <c r="H3169" t="s">
        <v>1985</v>
      </c>
    </row>
    <row r="3170" spans="8:8" x14ac:dyDescent="0.25">
      <c r="H3170" t="s">
        <v>720</v>
      </c>
    </row>
    <row r="3171" spans="8:8" x14ac:dyDescent="0.25">
      <c r="H3171" t="s">
        <v>3540</v>
      </c>
    </row>
    <row r="3172" spans="8:8" x14ac:dyDescent="0.25">
      <c r="H3172" t="s">
        <v>993</v>
      </c>
    </row>
    <row r="3173" spans="8:8" x14ac:dyDescent="0.25">
      <c r="H3173" t="s">
        <v>5485</v>
      </c>
    </row>
    <row r="3174" spans="8:8" x14ac:dyDescent="0.25">
      <c r="H3174" t="s">
        <v>3595</v>
      </c>
    </row>
    <row r="3175" spans="8:8" x14ac:dyDescent="0.25">
      <c r="H3175" t="s">
        <v>4161</v>
      </c>
    </row>
    <row r="3176" spans="8:8" x14ac:dyDescent="0.25">
      <c r="H3176" t="s">
        <v>2130</v>
      </c>
    </row>
    <row r="3177" spans="8:8" x14ac:dyDescent="0.25">
      <c r="H3177" t="s">
        <v>2207</v>
      </c>
    </row>
    <row r="3178" spans="8:8" x14ac:dyDescent="0.25">
      <c r="H3178" t="s">
        <v>4732</v>
      </c>
    </row>
    <row r="3179" spans="8:8" x14ac:dyDescent="0.25">
      <c r="H3179" t="s">
        <v>1409</v>
      </c>
    </row>
    <row r="3180" spans="8:8" x14ac:dyDescent="0.25">
      <c r="H3180" t="s">
        <v>1271</v>
      </c>
    </row>
    <row r="3181" spans="8:8" x14ac:dyDescent="0.25">
      <c r="H3181" t="s">
        <v>3471</v>
      </c>
    </row>
    <row r="3182" spans="8:8" x14ac:dyDescent="0.25">
      <c r="H3182" t="s">
        <v>4126</v>
      </c>
    </row>
    <row r="3183" spans="8:8" x14ac:dyDescent="0.25">
      <c r="H3183" t="s">
        <v>2342</v>
      </c>
    </row>
    <row r="3184" spans="8:8" x14ac:dyDescent="0.25">
      <c r="H3184" t="s">
        <v>3614</v>
      </c>
    </row>
    <row r="3185" spans="8:8" x14ac:dyDescent="0.25">
      <c r="H3185" t="s">
        <v>3354</v>
      </c>
    </row>
    <row r="3186" spans="8:8" x14ac:dyDescent="0.25">
      <c r="H3186" t="s">
        <v>5306</v>
      </c>
    </row>
    <row r="3187" spans="8:8" x14ac:dyDescent="0.25">
      <c r="H3187" t="s">
        <v>3631</v>
      </c>
    </row>
    <row r="3188" spans="8:8" x14ac:dyDescent="0.25">
      <c r="H3188" t="s">
        <v>3633</v>
      </c>
    </row>
    <row r="3189" spans="8:8" x14ac:dyDescent="0.25">
      <c r="H3189" t="s">
        <v>3635</v>
      </c>
    </row>
    <row r="3190" spans="8:8" x14ac:dyDescent="0.25">
      <c r="H3190" t="s">
        <v>3636</v>
      </c>
    </row>
    <row r="3191" spans="8:8" x14ac:dyDescent="0.25">
      <c r="H3191" t="s">
        <v>3639</v>
      </c>
    </row>
    <row r="3192" spans="8:8" x14ac:dyDescent="0.25">
      <c r="H3192" t="s">
        <v>3641</v>
      </c>
    </row>
    <row r="3193" spans="8:8" x14ac:dyDescent="0.25">
      <c r="H3193" t="s">
        <v>2704</v>
      </c>
    </row>
    <row r="3194" spans="8:8" x14ac:dyDescent="0.25">
      <c r="H3194" t="s">
        <v>3642</v>
      </c>
    </row>
    <row r="3195" spans="8:8" x14ac:dyDescent="0.25">
      <c r="H3195" t="s">
        <v>3643</v>
      </c>
    </row>
    <row r="3196" spans="8:8" x14ac:dyDescent="0.25">
      <c r="H3196" t="s">
        <v>702</v>
      </c>
    </row>
    <row r="3197" spans="8:8" x14ac:dyDescent="0.25">
      <c r="H3197" t="s">
        <v>3634</v>
      </c>
    </row>
    <row r="3198" spans="8:8" x14ac:dyDescent="0.25">
      <c r="H3198" t="s">
        <v>3846</v>
      </c>
    </row>
    <row r="3199" spans="8:8" x14ac:dyDescent="0.25">
      <c r="H3199" t="s">
        <v>1028</v>
      </c>
    </row>
    <row r="3200" spans="8:8" x14ac:dyDescent="0.25">
      <c r="H3200" t="s">
        <v>3648</v>
      </c>
    </row>
    <row r="3201" spans="8:8" x14ac:dyDescent="0.25">
      <c r="H3201" t="s">
        <v>5196</v>
      </c>
    </row>
    <row r="3202" spans="8:8" x14ac:dyDescent="0.25">
      <c r="H3202" t="s">
        <v>3684</v>
      </c>
    </row>
    <row r="3203" spans="8:8" x14ac:dyDescent="0.25">
      <c r="H3203" t="s">
        <v>822</v>
      </c>
    </row>
    <row r="3204" spans="8:8" x14ac:dyDescent="0.25">
      <c r="H3204" t="s">
        <v>1501</v>
      </c>
    </row>
    <row r="3205" spans="8:8" x14ac:dyDescent="0.25">
      <c r="H3205" t="s">
        <v>5524</v>
      </c>
    </row>
    <row r="3206" spans="8:8" x14ac:dyDescent="0.25">
      <c r="H3206" t="s">
        <v>3095</v>
      </c>
    </row>
    <row r="3207" spans="8:8" x14ac:dyDescent="0.25">
      <c r="H3207" t="s">
        <v>3444</v>
      </c>
    </row>
    <row r="3208" spans="8:8" x14ac:dyDescent="0.25">
      <c r="H3208" t="s">
        <v>3841</v>
      </c>
    </row>
    <row r="3209" spans="8:8" x14ac:dyDescent="0.25">
      <c r="H3209" t="s">
        <v>4984</v>
      </c>
    </row>
    <row r="3210" spans="8:8" x14ac:dyDescent="0.25">
      <c r="H3210" t="s">
        <v>3686</v>
      </c>
    </row>
    <row r="3211" spans="8:8" x14ac:dyDescent="0.25">
      <c r="H3211" t="s">
        <v>3079</v>
      </c>
    </row>
    <row r="3212" spans="8:8" x14ac:dyDescent="0.25">
      <c r="H3212" t="s">
        <v>4715</v>
      </c>
    </row>
    <row r="3213" spans="8:8" x14ac:dyDescent="0.25">
      <c r="H3213" t="s">
        <v>3690</v>
      </c>
    </row>
    <row r="3214" spans="8:8" x14ac:dyDescent="0.25">
      <c r="H3214" t="s">
        <v>1097</v>
      </c>
    </row>
    <row r="3215" spans="8:8" x14ac:dyDescent="0.25">
      <c r="H3215" t="s">
        <v>1466</v>
      </c>
    </row>
    <row r="3216" spans="8:8" x14ac:dyDescent="0.25">
      <c r="H3216" t="s">
        <v>1466</v>
      </c>
    </row>
    <row r="3217" spans="8:8" x14ac:dyDescent="0.25">
      <c r="H3217" t="s">
        <v>2073</v>
      </c>
    </row>
    <row r="3218" spans="8:8" x14ac:dyDescent="0.25">
      <c r="H3218" t="s">
        <v>4915</v>
      </c>
    </row>
    <row r="3219" spans="8:8" x14ac:dyDescent="0.25">
      <c r="H3219" t="s">
        <v>3619</v>
      </c>
    </row>
    <row r="3220" spans="8:8" x14ac:dyDescent="0.25">
      <c r="H3220" t="s">
        <v>3695</v>
      </c>
    </row>
    <row r="3221" spans="8:8" x14ac:dyDescent="0.25">
      <c r="H3221" t="s">
        <v>3696</v>
      </c>
    </row>
    <row r="3222" spans="8:8" x14ac:dyDescent="0.25">
      <c r="H3222" t="s">
        <v>2126</v>
      </c>
    </row>
    <row r="3223" spans="8:8" x14ac:dyDescent="0.25">
      <c r="H3223" t="s">
        <v>3702</v>
      </c>
    </row>
    <row r="3224" spans="8:8" x14ac:dyDescent="0.25">
      <c r="H3224" t="s">
        <v>592</v>
      </c>
    </row>
    <row r="3225" spans="8:8" x14ac:dyDescent="0.25">
      <c r="H3225" t="s">
        <v>3703</v>
      </c>
    </row>
    <row r="3226" spans="8:8" x14ac:dyDescent="0.25">
      <c r="H3226" t="s">
        <v>3959</v>
      </c>
    </row>
    <row r="3227" spans="8:8" x14ac:dyDescent="0.25">
      <c r="H3227" t="s">
        <v>3704</v>
      </c>
    </row>
    <row r="3228" spans="8:8" x14ac:dyDescent="0.25">
      <c r="H3228" t="s">
        <v>3706</v>
      </c>
    </row>
    <row r="3229" spans="8:8" x14ac:dyDescent="0.25">
      <c r="H3229" t="s">
        <v>3714</v>
      </c>
    </row>
    <row r="3230" spans="8:8" x14ac:dyDescent="0.25">
      <c r="H3230" t="s">
        <v>3764</v>
      </c>
    </row>
    <row r="3231" spans="8:8" x14ac:dyDescent="0.25">
      <c r="H3231" t="s">
        <v>1843</v>
      </c>
    </row>
    <row r="3232" spans="8:8" x14ac:dyDescent="0.25">
      <c r="H3232" t="s">
        <v>4890</v>
      </c>
    </row>
    <row r="3233" spans="8:8" x14ac:dyDescent="0.25">
      <c r="H3233" t="s">
        <v>4587</v>
      </c>
    </row>
    <row r="3234" spans="8:8" x14ac:dyDescent="0.25">
      <c r="H3234" t="s">
        <v>4115</v>
      </c>
    </row>
    <row r="3235" spans="8:8" x14ac:dyDescent="0.25">
      <c r="H3235" t="s">
        <v>1902</v>
      </c>
    </row>
    <row r="3236" spans="8:8" x14ac:dyDescent="0.25">
      <c r="H3236" t="s">
        <v>697</v>
      </c>
    </row>
    <row r="3237" spans="8:8" x14ac:dyDescent="0.25">
      <c r="H3237" t="s">
        <v>5407</v>
      </c>
    </row>
    <row r="3238" spans="8:8" x14ac:dyDescent="0.25">
      <c r="H3238" t="s">
        <v>2183</v>
      </c>
    </row>
    <row r="3239" spans="8:8" x14ac:dyDescent="0.25">
      <c r="H3239" t="s">
        <v>1403</v>
      </c>
    </row>
    <row r="3240" spans="8:8" x14ac:dyDescent="0.25">
      <c r="H3240" t="s">
        <v>3625</v>
      </c>
    </row>
    <row r="3241" spans="8:8" x14ac:dyDescent="0.25">
      <c r="H3241" t="s">
        <v>3729</v>
      </c>
    </row>
    <row r="3242" spans="8:8" x14ac:dyDescent="0.25">
      <c r="H3242" t="s">
        <v>3729</v>
      </c>
    </row>
    <row r="3243" spans="8:8" x14ac:dyDescent="0.25">
      <c r="H3243" t="s">
        <v>5160</v>
      </c>
    </row>
    <row r="3244" spans="8:8" x14ac:dyDescent="0.25">
      <c r="H3244" t="s">
        <v>3738</v>
      </c>
    </row>
    <row r="3245" spans="8:8" x14ac:dyDescent="0.25">
      <c r="H3245" t="s">
        <v>3739</v>
      </c>
    </row>
    <row r="3246" spans="8:8" x14ac:dyDescent="0.25">
      <c r="H3246" t="s">
        <v>3759</v>
      </c>
    </row>
    <row r="3247" spans="8:8" x14ac:dyDescent="0.25">
      <c r="H3247" t="s">
        <v>3759</v>
      </c>
    </row>
    <row r="3248" spans="8:8" x14ac:dyDescent="0.25">
      <c r="H3248" t="s">
        <v>3153</v>
      </c>
    </row>
    <row r="3249" spans="8:8" x14ac:dyDescent="0.25">
      <c r="H3249" t="s">
        <v>3758</v>
      </c>
    </row>
    <row r="3250" spans="8:8" x14ac:dyDescent="0.25">
      <c r="H3250" t="s">
        <v>3758</v>
      </c>
    </row>
    <row r="3251" spans="8:8" x14ac:dyDescent="0.25">
      <c r="H3251" t="s">
        <v>3966</v>
      </c>
    </row>
    <row r="3252" spans="8:8" x14ac:dyDescent="0.25">
      <c r="H3252" t="s">
        <v>4138</v>
      </c>
    </row>
    <row r="3253" spans="8:8" x14ac:dyDescent="0.25">
      <c r="H3253" t="s">
        <v>4222</v>
      </c>
    </row>
    <row r="3254" spans="8:8" x14ac:dyDescent="0.25">
      <c r="H3254" t="s">
        <v>844</v>
      </c>
    </row>
    <row r="3255" spans="8:8" x14ac:dyDescent="0.25">
      <c r="H3255" t="s">
        <v>2405</v>
      </c>
    </row>
    <row r="3256" spans="8:8" x14ac:dyDescent="0.25">
      <c r="H3256" t="s">
        <v>2933</v>
      </c>
    </row>
    <row r="3257" spans="8:8" x14ac:dyDescent="0.25">
      <c r="H3257" t="s">
        <v>2245</v>
      </c>
    </row>
    <row r="3258" spans="8:8" x14ac:dyDescent="0.25">
      <c r="H3258" t="s">
        <v>4534</v>
      </c>
    </row>
    <row r="3259" spans="8:8" x14ac:dyDescent="0.25">
      <c r="H3259" t="s">
        <v>4535</v>
      </c>
    </row>
    <row r="3260" spans="8:8" x14ac:dyDescent="0.25">
      <c r="H3260" t="s">
        <v>845</v>
      </c>
    </row>
    <row r="3261" spans="8:8" x14ac:dyDescent="0.25">
      <c r="H3261" t="s">
        <v>846</v>
      </c>
    </row>
    <row r="3262" spans="8:8" x14ac:dyDescent="0.25">
      <c r="H3262" t="s">
        <v>4875</v>
      </c>
    </row>
    <row r="3263" spans="8:8" x14ac:dyDescent="0.25">
      <c r="H3263" t="s">
        <v>898</v>
      </c>
    </row>
    <row r="3264" spans="8:8" x14ac:dyDescent="0.25">
      <c r="H3264" t="s">
        <v>5245</v>
      </c>
    </row>
    <row r="3265" spans="8:8" x14ac:dyDescent="0.25">
      <c r="H3265" t="s">
        <v>5516</v>
      </c>
    </row>
    <row r="3266" spans="8:8" x14ac:dyDescent="0.25">
      <c r="H3266" t="s">
        <v>3698</v>
      </c>
    </row>
    <row r="3267" spans="8:8" x14ac:dyDescent="0.25">
      <c r="H3267" t="s">
        <v>3699</v>
      </c>
    </row>
    <row r="3268" spans="8:8" x14ac:dyDescent="0.25">
      <c r="H3268" t="s">
        <v>3701</v>
      </c>
    </row>
    <row r="3269" spans="8:8" x14ac:dyDescent="0.25">
      <c r="H3269" t="s">
        <v>1612</v>
      </c>
    </row>
    <row r="3270" spans="8:8" x14ac:dyDescent="0.25">
      <c r="H3270" t="s">
        <v>3789</v>
      </c>
    </row>
    <row r="3271" spans="8:8" x14ac:dyDescent="0.25">
      <c r="H3271" t="s">
        <v>3722</v>
      </c>
    </row>
    <row r="3272" spans="8:8" x14ac:dyDescent="0.25">
      <c r="H3272" t="s">
        <v>3722</v>
      </c>
    </row>
    <row r="3273" spans="8:8" x14ac:dyDescent="0.25">
      <c r="H3273" t="s">
        <v>3795</v>
      </c>
    </row>
    <row r="3274" spans="8:8" x14ac:dyDescent="0.25">
      <c r="H3274" t="s">
        <v>3796</v>
      </c>
    </row>
    <row r="3275" spans="8:8" x14ac:dyDescent="0.25">
      <c r="H3275" t="s">
        <v>3102</v>
      </c>
    </row>
    <row r="3276" spans="8:8" x14ac:dyDescent="0.25">
      <c r="H3276" t="s">
        <v>3389</v>
      </c>
    </row>
    <row r="3277" spans="8:8" x14ac:dyDescent="0.25">
      <c r="H3277" t="s">
        <v>928</v>
      </c>
    </row>
    <row r="3278" spans="8:8" x14ac:dyDescent="0.25">
      <c r="H3278" t="s">
        <v>2404</v>
      </c>
    </row>
    <row r="3279" spans="8:8" x14ac:dyDescent="0.25">
      <c r="H3279" t="s">
        <v>2417</v>
      </c>
    </row>
    <row r="3280" spans="8:8" x14ac:dyDescent="0.25">
      <c r="H3280" t="s">
        <v>3390</v>
      </c>
    </row>
    <row r="3281" spans="8:8" x14ac:dyDescent="0.25">
      <c r="H3281" t="s">
        <v>2789</v>
      </c>
    </row>
    <row r="3282" spans="8:8" x14ac:dyDescent="0.25">
      <c r="H3282" t="s">
        <v>3799</v>
      </c>
    </row>
    <row r="3283" spans="8:8" x14ac:dyDescent="0.25">
      <c r="H3283" t="s">
        <v>2088</v>
      </c>
    </row>
    <row r="3284" spans="8:8" x14ac:dyDescent="0.25">
      <c r="H3284" t="s">
        <v>3801</v>
      </c>
    </row>
    <row r="3285" spans="8:8" x14ac:dyDescent="0.25">
      <c r="H3285" t="s">
        <v>3800</v>
      </c>
    </row>
    <row r="3286" spans="8:8" x14ac:dyDescent="0.25">
      <c r="H3286" t="s">
        <v>3240</v>
      </c>
    </row>
    <row r="3287" spans="8:8" x14ac:dyDescent="0.25">
      <c r="H3287" t="s">
        <v>4871</v>
      </c>
    </row>
    <row r="3288" spans="8:8" x14ac:dyDescent="0.25">
      <c r="H3288" t="s">
        <v>3809</v>
      </c>
    </row>
    <row r="3289" spans="8:8" x14ac:dyDescent="0.25">
      <c r="H3289" t="s">
        <v>3242</v>
      </c>
    </row>
    <row r="3290" spans="8:8" x14ac:dyDescent="0.25">
      <c r="H3290" t="s">
        <v>3616</v>
      </c>
    </row>
    <row r="3291" spans="8:8" x14ac:dyDescent="0.25">
      <c r="H3291" t="s">
        <v>3762</v>
      </c>
    </row>
    <row r="3292" spans="8:8" x14ac:dyDescent="0.25">
      <c r="H3292" t="s">
        <v>4831</v>
      </c>
    </row>
    <row r="3293" spans="8:8" x14ac:dyDescent="0.25">
      <c r="H3293" t="s">
        <v>3021</v>
      </c>
    </row>
    <row r="3294" spans="8:8" x14ac:dyDescent="0.25">
      <c r="H3294" t="s">
        <v>3763</v>
      </c>
    </row>
    <row r="3295" spans="8:8" x14ac:dyDescent="0.25">
      <c r="H3295" t="s">
        <v>4836</v>
      </c>
    </row>
    <row r="3296" spans="8:8" x14ac:dyDescent="0.25">
      <c r="H3296" t="s">
        <v>3814</v>
      </c>
    </row>
    <row r="3297" spans="8:8" x14ac:dyDescent="0.25">
      <c r="H3297" t="s">
        <v>3815</v>
      </c>
    </row>
    <row r="3298" spans="8:8" x14ac:dyDescent="0.25">
      <c r="H3298" t="s">
        <v>1242</v>
      </c>
    </row>
    <row r="3299" spans="8:8" x14ac:dyDescent="0.25">
      <c r="H3299" t="s">
        <v>2440</v>
      </c>
    </row>
    <row r="3300" spans="8:8" x14ac:dyDescent="0.25">
      <c r="H3300" t="s">
        <v>4005</v>
      </c>
    </row>
    <row r="3301" spans="8:8" x14ac:dyDescent="0.25">
      <c r="H3301" t="s">
        <v>3818</v>
      </c>
    </row>
    <row r="3302" spans="8:8" x14ac:dyDescent="0.25">
      <c r="H3302" t="s">
        <v>3817</v>
      </c>
    </row>
    <row r="3303" spans="8:8" x14ac:dyDescent="0.25">
      <c r="H3303" t="s">
        <v>2185</v>
      </c>
    </row>
    <row r="3304" spans="8:8" x14ac:dyDescent="0.25">
      <c r="H3304" t="s">
        <v>4955</v>
      </c>
    </row>
    <row r="3305" spans="8:8" x14ac:dyDescent="0.25">
      <c r="H3305" t="s">
        <v>699</v>
      </c>
    </row>
    <row r="3306" spans="8:8" x14ac:dyDescent="0.25">
      <c r="H3306" t="s">
        <v>5364</v>
      </c>
    </row>
    <row r="3307" spans="8:8" x14ac:dyDescent="0.25">
      <c r="H3307" t="s">
        <v>3533</v>
      </c>
    </row>
    <row r="3308" spans="8:8" x14ac:dyDescent="0.25">
      <c r="H3308" t="s">
        <v>5539</v>
      </c>
    </row>
    <row r="3309" spans="8:8" x14ac:dyDescent="0.25">
      <c r="H3309" t="s">
        <v>3838</v>
      </c>
    </row>
    <row r="3310" spans="8:8" x14ac:dyDescent="0.25">
      <c r="H3310" t="s">
        <v>3853</v>
      </c>
    </row>
    <row r="3311" spans="8:8" x14ac:dyDescent="0.25">
      <c r="H3311" t="s">
        <v>3854</v>
      </c>
    </row>
    <row r="3312" spans="8:8" x14ac:dyDescent="0.25">
      <c r="H3312" t="s">
        <v>3856</v>
      </c>
    </row>
    <row r="3313" spans="8:8" x14ac:dyDescent="0.25">
      <c r="H3313" t="s">
        <v>3529</v>
      </c>
    </row>
    <row r="3314" spans="8:8" x14ac:dyDescent="0.25">
      <c r="H3314" t="s">
        <v>5195</v>
      </c>
    </row>
    <row r="3315" spans="8:8" x14ac:dyDescent="0.25">
      <c r="H3315" t="s">
        <v>1238</v>
      </c>
    </row>
    <row r="3316" spans="8:8" x14ac:dyDescent="0.25">
      <c r="H3316" t="s">
        <v>3859</v>
      </c>
    </row>
    <row r="3317" spans="8:8" x14ac:dyDescent="0.25">
      <c r="H3317" t="s">
        <v>4269</v>
      </c>
    </row>
    <row r="3318" spans="8:8" x14ac:dyDescent="0.25">
      <c r="H3318" t="s">
        <v>3860</v>
      </c>
    </row>
    <row r="3319" spans="8:8" x14ac:dyDescent="0.25">
      <c r="H3319" t="s">
        <v>1021</v>
      </c>
    </row>
    <row r="3320" spans="8:8" x14ac:dyDescent="0.25">
      <c r="H3320" t="s">
        <v>4404</v>
      </c>
    </row>
    <row r="3321" spans="8:8" x14ac:dyDescent="0.25">
      <c r="H3321" t="s">
        <v>531</v>
      </c>
    </row>
    <row r="3322" spans="8:8" x14ac:dyDescent="0.25">
      <c r="H3322" t="s">
        <v>859</v>
      </c>
    </row>
    <row r="3323" spans="8:8" x14ac:dyDescent="0.25">
      <c r="H3323" t="s">
        <v>1376</v>
      </c>
    </row>
    <row r="3324" spans="8:8" x14ac:dyDescent="0.25">
      <c r="H3324" t="s">
        <v>3344</v>
      </c>
    </row>
    <row r="3325" spans="8:8" x14ac:dyDescent="0.25">
      <c r="H3325" t="s">
        <v>4661</v>
      </c>
    </row>
    <row r="3326" spans="8:8" x14ac:dyDescent="0.25">
      <c r="H3326" t="s">
        <v>2046</v>
      </c>
    </row>
    <row r="3327" spans="8:8" x14ac:dyDescent="0.25">
      <c r="H3327" t="s">
        <v>3862</v>
      </c>
    </row>
    <row r="3328" spans="8:8" x14ac:dyDescent="0.25">
      <c r="H3328" t="s">
        <v>2793</v>
      </c>
    </row>
    <row r="3329" spans="8:8" x14ac:dyDescent="0.25">
      <c r="H3329" t="s">
        <v>3194</v>
      </c>
    </row>
    <row r="3330" spans="8:8" x14ac:dyDescent="0.25">
      <c r="H3330" t="s">
        <v>1384</v>
      </c>
    </row>
    <row r="3331" spans="8:8" x14ac:dyDescent="0.25">
      <c r="H3331" t="s">
        <v>1256</v>
      </c>
    </row>
    <row r="3332" spans="8:8" x14ac:dyDescent="0.25">
      <c r="H3332" t="s">
        <v>1265</v>
      </c>
    </row>
    <row r="3333" spans="8:8" x14ac:dyDescent="0.25">
      <c r="H3333" t="s">
        <v>1266</v>
      </c>
    </row>
    <row r="3334" spans="8:8" x14ac:dyDescent="0.25">
      <c r="H3334" t="s">
        <v>2311</v>
      </c>
    </row>
    <row r="3335" spans="8:8" x14ac:dyDescent="0.25">
      <c r="H3335" t="s">
        <v>3678</v>
      </c>
    </row>
    <row r="3336" spans="8:8" x14ac:dyDescent="0.25">
      <c r="H3336" t="s">
        <v>2398</v>
      </c>
    </row>
    <row r="3337" spans="8:8" x14ac:dyDescent="0.25">
      <c r="H3337" t="s">
        <v>659</v>
      </c>
    </row>
    <row r="3338" spans="8:8" x14ac:dyDescent="0.25">
      <c r="H3338" t="s">
        <v>3148</v>
      </c>
    </row>
    <row r="3339" spans="8:8" x14ac:dyDescent="0.25">
      <c r="H3339" t="s">
        <v>491</v>
      </c>
    </row>
    <row r="3340" spans="8:8" x14ac:dyDescent="0.25">
      <c r="H3340" t="s">
        <v>3746</v>
      </c>
    </row>
    <row r="3341" spans="8:8" x14ac:dyDescent="0.25">
      <c r="H3341" t="s">
        <v>4091</v>
      </c>
    </row>
    <row r="3342" spans="8:8" x14ac:dyDescent="0.25">
      <c r="H3342" t="s">
        <v>3872</v>
      </c>
    </row>
    <row r="3343" spans="8:8" x14ac:dyDescent="0.25">
      <c r="H3343" t="s">
        <v>460</v>
      </c>
    </row>
    <row r="3344" spans="8:8" x14ac:dyDescent="0.25">
      <c r="H3344" t="s">
        <v>3469</v>
      </c>
    </row>
    <row r="3345" spans="8:8" x14ac:dyDescent="0.25">
      <c r="H3345" t="s">
        <v>5047</v>
      </c>
    </row>
    <row r="3346" spans="8:8" x14ac:dyDescent="0.25">
      <c r="H3346" t="s">
        <v>2682</v>
      </c>
    </row>
    <row r="3347" spans="8:8" x14ac:dyDescent="0.25">
      <c r="H3347" t="s">
        <v>4785</v>
      </c>
    </row>
    <row r="3348" spans="8:8" x14ac:dyDescent="0.25">
      <c r="H3348" t="s">
        <v>1518</v>
      </c>
    </row>
    <row r="3349" spans="8:8" x14ac:dyDescent="0.25">
      <c r="H3349" t="s">
        <v>3437</v>
      </c>
    </row>
    <row r="3350" spans="8:8" x14ac:dyDescent="0.25">
      <c r="H3350" t="s">
        <v>3757</v>
      </c>
    </row>
    <row r="3351" spans="8:8" x14ac:dyDescent="0.25">
      <c r="H3351" t="s">
        <v>3937</v>
      </c>
    </row>
    <row r="3352" spans="8:8" x14ac:dyDescent="0.25">
      <c r="H3352" t="s">
        <v>4668</v>
      </c>
    </row>
    <row r="3353" spans="8:8" x14ac:dyDescent="0.25">
      <c r="H3353" t="s">
        <v>3883</v>
      </c>
    </row>
    <row r="3354" spans="8:8" x14ac:dyDescent="0.25">
      <c r="H3354" t="s">
        <v>3884</v>
      </c>
    </row>
    <row r="3355" spans="8:8" x14ac:dyDescent="0.25">
      <c r="H3355" t="s">
        <v>3885</v>
      </c>
    </row>
    <row r="3356" spans="8:8" x14ac:dyDescent="0.25">
      <c r="H3356" t="s">
        <v>3886</v>
      </c>
    </row>
    <row r="3357" spans="8:8" x14ac:dyDescent="0.25">
      <c r="H3357" t="s">
        <v>4476</v>
      </c>
    </row>
    <row r="3358" spans="8:8" x14ac:dyDescent="0.25">
      <c r="H3358" t="s">
        <v>647</v>
      </c>
    </row>
    <row r="3359" spans="8:8" x14ac:dyDescent="0.25">
      <c r="H3359" t="s">
        <v>819</v>
      </c>
    </row>
    <row r="3360" spans="8:8" x14ac:dyDescent="0.25">
      <c r="H3360" t="s">
        <v>580</v>
      </c>
    </row>
    <row r="3361" spans="8:8" x14ac:dyDescent="0.25">
      <c r="H3361" t="s">
        <v>3994</v>
      </c>
    </row>
    <row r="3362" spans="8:8" x14ac:dyDescent="0.25">
      <c r="H3362" t="s">
        <v>3901</v>
      </c>
    </row>
    <row r="3363" spans="8:8" x14ac:dyDescent="0.25">
      <c r="H3363" t="s">
        <v>3903</v>
      </c>
    </row>
    <row r="3364" spans="8:8" x14ac:dyDescent="0.25">
      <c r="H3364" t="s">
        <v>1458</v>
      </c>
    </row>
    <row r="3365" spans="8:8" x14ac:dyDescent="0.25">
      <c r="H3365" t="s">
        <v>4950</v>
      </c>
    </row>
    <row r="3366" spans="8:8" x14ac:dyDescent="0.25">
      <c r="H3366" t="s">
        <v>3498</v>
      </c>
    </row>
    <row r="3367" spans="8:8" x14ac:dyDescent="0.25">
      <c r="H3367" t="s">
        <v>3713</v>
      </c>
    </row>
    <row r="3368" spans="8:8" x14ac:dyDescent="0.25">
      <c r="H3368" t="s">
        <v>3902</v>
      </c>
    </row>
    <row r="3369" spans="8:8" x14ac:dyDescent="0.25">
      <c r="H3369" t="s">
        <v>3907</v>
      </c>
    </row>
    <row r="3370" spans="8:8" x14ac:dyDescent="0.25">
      <c r="H3370" t="s">
        <v>3906</v>
      </c>
    </row>
    <row r="3371" spans="8:8" x14ac:dyDescent="0.25">
      <c r="H3371" t="s">
        <v>952</v>
      </c>
    </row>
    <row r="3372" spans="8:8" x14ac:dyDescent="0.25">
      <c r="H3372" t="s">
        <v>3914</v>
      </c>
    </row>
    <row r="3373" spans="8:8" x14ac:dyDescent="0.25">
      <c r="H3373" t="s">
        <v>3910</v>
      </c>
    </row>
    <row r="3374" spans="8:8" x14ac:dyDescent="0.25">
      <c r="H3374" t="s">
        <v>4058</v>
      </c>
    </row>
    <row r="3375" spans="8:8" x14ac:dyDescent="0.25">
      <c r="H3375" t="s">
        <v>5167</v>
      </c>
    </row>
    <row r="3376" spans="8:8" x14ac:dyDescent="0.25">
      <c r="H3376" t="s">
        <v>1565</v>
      </c>
    </row>
    <row r="3377" spans="8:8" x14ac:dyDescent="0.25">
      <c r="H3377" t="s">
        <v>1011</v>
      </c>
    </row>
    <row r="3378" spans="8:8" x14ac:dyDescent="0.25">
      <c r="H3378" t="s">
        <v>510</v>
      </c>
    </row>
    <row r="3379" spans="8:8" x14ac:dyDescent="0.25">
      <c r="H3379" t="s">
        <v>3921</v>
      </c>
    </row>
    <row r="3380" spans="8:8" x14ac:dyDescent="0.25">
      <c r="H3380" t="s">
        <v>3398</v>
      </c>
    </row>
    <row r="3381" spans="8:8" x14ac:dyDescent="0.25">
      <c r="H3381" t="s">
        <v>3922</v>
      </c>
    </row>
    <row r="3382" spans="8:8" x14ac:dyDescent="0.25">
      <c r="H3382" t="s">
        <v>4364</v>
      </c>
    </row>
    <row r="3383" spans="8:8" x14ac:dyDescent="0.25">
      <c r="H3383" t="s">
        <v>5353</v>
      </c>
    </row>
    <row r="3384" spans="8:8" x14ac:dyDescent="0.25">
      <c r="H3384" t="s">
        <v>677</v>
      </c>
    </row>
    <row r="3385" spans="8:8" x14ac:dyDescent="0.25">
      <c r="H3385" t="s">
        <v>1295</v>
      </c>
    </row>
    <row r="3386" spans="8:8" x14ac:dyDescent="0.25">
      <c r="H3386" t="s">
        <v>3924</v>
      </c>
    </row>
    <row r="3387" spans="8:8" x14ac:dyDescent="0.25">
      <c r="H3387" t="s">
        <v>2127</v>
      </c>
    </row>
    <row r="3388" spans="8:8" x14ac:dyDescent="0.25">
      <c r="H3388" t="s">
        <v>3508</v>
      </c>
    </row>
    <row r="3389" spans="8:8" x14ac:dyDescent="0.25">
      <c r="H3389" t="s">
        <v>5082</v>
      </c>
    </row>
    <row r="3390" spans="8:8" x14ac:dyDescent="0.25">
      <c r="H3390" t="s">
        <v>3925</v>
      </c>
    </row>
    <row r="3391" spans="8:8" x14ac:dyDescent="0.25">
      <c r="H3391" t="s">
        <v>1960</v>
      </c>
    </row>
    <row r="3392" spans="8:8" x14ac:dyDescent="0.25">
      <c r="H3392" t="s">
        <v>3926</v>
      </c>
    </row>
    <row r="3393" spans="8:8" x14ac:dyDescent="0.25">
      <c r="H3393" t="s">
        <v>2870</v>
      </c>
    </row>
    <row r="3394" spans="8:8" x14ac:dyDescent="0.25">
      <c r="H3394" t="s">
        <v>3927</v>
      </c>
    </row>
    <row r="3395" spans="8:8" x14ac:dyDescent="0.25">
      <c r="H3395" t="s">
        <v>4985</v>
      </c>
    </row>
    <row r="3396" spans="8:8" x14ac:dyDescent="0.25">
      <c r="H3396" t="s">
        <v>538</v>
      </c>
    </row>
    <row r="3397" spans="8:8" x14ac:dyDescent="0.25">
      <c r="H3397" t="s">
        <v>3650</v>
      </c>
    </row>
    <row r="3398" spans="8:8" x14ac:dyDescent="0.25">
      <c r="H3398" t="s">
        <v>3669</v>
      </c>
    </row>
    <row r="3399" spans="8:8" x14ac:dyDescent="0.25">
      <c r="H3399" t="s">
        <v>540</v>
      </c>
    </row>
    <row r="3400" spans="8:8" x14ac:dyDescent="0.25">
      <c r="H3400" t="s">
        <v>5521</v>
      </c>
    </row>
    <row r="3401" spans="8:8" x14ac:dyDescent="0.25">
      <c r="H3401" t="s">
        <v>4270</v>
      </c>
    </row>
    <row r="3402" spans="8:8" x14ac:dyDescent="0.25">
      <c r="H3402" t="s">
        <v>3929</v>
      </c>
    </row>
    <row r="3403" spans="8:8" x14ac:dyDescent="0.25">
      <c r="H3403" t="s">
        <v>2458</v>
      </c>
    </row>
    <row r="3404" spans="8:8" x14ac:dyDescent="0.25">
      <c r="H3404" t="s">
        <v>4274</v>
      </c>
    </row>
    <row r="3405" spans="8:8" x14ac:dyDescent="0.25">
      <c r="H3405" t="s">
        <v>4272</v>
      </c>
    </row>
    <row r="3406" spans="8:8" x14ac:dyDescent="0.25">
      <c r="H3406" t="s">
        <v>4092</v>
      </c>
    </row>
    <row r="3407" spans="8:8" x14ac:dyDescent="0.25">
      <c r="H3407" t="s">
        <v>3931</v>
      </c>
    </row>
    <row r="3408" spans="8:8" x14ac:dyDescent="0.25">
      <c r="H3408" t="s">
        <v>4682</v>
      </c>
    </row>
    <row r="3409" spans="8:8" x14ac:dyDescent="0.25">
      <c r="H3409" t="s">
        <v>1728</v>
      </c>
    </row>
    <row r="3410" spans="8:8" x14ac:dyDescent="0.25">
      <c r="H3410" t="s">
        <v>4271</v>
      </c>
    </row>
    <row r="3411" spans="8:8" x14ac:dyDescent="0.25">
      <c r="H3411" t="s">
        <v>4733</v>
      </c>
    </row>
    <row r="3412" spans="8:8" x14ac:dyDescent="0.25">
      <c r="H3412" t="s">
        <v>3932</v>
      </c>
    </row>
    <row r="3413" spans="8:8" x14ac:dyDescent="0.25">
      <c r="H3413" t="s">
        <v>4064</v>
      </c>
    </row>
    <row r="3414" spans="8:8" x14ac:dyDescent="0.25">
      <c r="H3414" t="s">
        <v>929</v>
      </c>
    </row>
    <row r="3415" spans="8:8" x14ac:dyDescent="0.25">
      <c r="H3415" t="s">
        <v>4046</v>
      </c>
    </row>
    <row r="3416" spans="8:8" x14ac:dyDescent="0.25">
      <c r="H3416" t="s">
        <v>1849</v>
      </c>
    </row>
    <row r="3417" spans="8:8" x14ac:dyDescent="0.25">
      <c r="H3417" t="s">
        <v>4819</v>
      </c>
    </row>
    <row r="3418" spans="8:8" x14ac:dyDescent="0.25">
      <c r="H3418" t="s">
        <v>4283</v>
      </c>
    </row>
    <row r="3419" spans="8:8" x14ac:dyDescent="0.25">
      <c r="H3419" t="s">
        <v>3939</v>
      </c>
    </row>
    <row r="3420" spans="8:8" x14ac:dyDescent="0.25">
      <c r="H3420" t="s">
        <v>2941</v>
      </c>
    </row>
    <row r="3421" spans="8:8" x14ac:dyDescent="0.25">
      <c r="H3421" t="s">
        <v>4047</v>
      </c>
    </row>
    <row r="3422" spans="8:8" x14ac:dyDescent="0.25">
      <c r="H3422" t="s">
        <v>620</v>
      </c>
    </row>
    <row r="3423" spans="8:8" x14ac:dyDescent="0.25">
      <c r="H3423" t="s">
        <v>511</v>
      </c>
    </row>
    <row r="3424" spans="8:8" x14ac:dyDescent="0.25">
      <c r="H3424" t="s">
        <v>1863</v>
      </c>
    </row>
    <row r="3425" spans="8:8" x14ac:dyDescent="0.25">
      <c r="H3425" t="s">
        <v>976</v>
      </c>
    </row>
    <row r="3426" spans="8:8" x14ac:dyDescent="0.25">
      <c r="H3426" t="s">
        <v>3664</v>
      </c>
    </row>
    <row r="3427" spans="8:8" x14ac:dyDescent="0.25">
      <c r="H3427" t="s">
        <v>621</v>
      </c>
    </row>
    <row r="3428" spans="8:8" x14ac:dyDescent="0.25">
      <c r="H3428" t="s">
        <v>2810</v>
      </c>
    </row>
    <row r="3429" spans="8:8" x14ac:dyDescent="0.25">
      <c r="H3429" t="s">
        <v>2810</v>
      </c>
    </row>
    <row r="3430" spans="8:8" x14ac:dyDescent="0.25">
      <c r="H3430" t="s">
        <v>4169</v>
      </c>
    </row>
    <row r="3431" spans="8:8" x14ac:dyDescent="0.25">
      <c r="H3431" t="s">
        <v>2581</v>
      </c>
    </row>
    <row r="3432" spans="8:8" x14ac:dyDescent="0.25">
      <c r="H3432" t="s">
        <v>3220</v>
      </c>
    </row>
    <row r="3433" spans="8:8" x14ac:dyDescent="0.25">
      <c r="H3433" t="s">
        <v>1970</v>
      </c>
    </row>
    <row r="3434" spans="8:8" x14ac:dyDescent="0.25">
      <c r="H3434" t="s">
        <v>1973</v>
      </c>
    </row>
    <row r="3435" spans="8:8" x14ac:dyDescent="0.25">
      <c r="H3435" t="s">
        <v>756</v>
      </c>
    </row>
    <row r="3436" spans="8:8" x14ac:dyDescent="0.25">
      <c r="H3436" t="s">
        <v>3245</v>
      </c>
    </row>
    <row r="3437" spans="8:8" x14ac:dyDescent="0.25">
      <c r="H3437" t="s">
        <v>1922</v>
      </c>
    </row>
    <row r="3438" spans="8:8" x14ac:dyDescent="0.25">
      <c r="H3438" t="s">
        <v>554</v>
      </c>
    </row>
    <row r="3439" spans="8:8" x14ac:dyDescent="0.25">
      <c r="H3439" t="s">
        <v>3246</v>
      </c>
    </row>
    <row r="3440" spans="8:8" x14ac:dyDescent="0.25">
      <c r="H3440" t="s">
        <v>5219</v>
      </c>
    </row>
    <row r="3441" spans="8:8" x14ac:dyDescent="0.25">
      <c r="H3441" t="s">
        <v>4688</v>
      </c>
    </row>
    <row r="3442" spans="8:8" x14ac:dyDescent="0.25">
      <c r="H3442" t="s">
        <v>2570</v>
      </c>
    </row>
    <row r="3443" spans="8:8" x14ac:dyDescent="0.25">
      <c r="H3443" t="s">
        <v>2563</v>
      </c>
    </row>
    <row r="3444" spans="8:8" x14ac:dyDescent="0.25">
      <c r="H3444" t="s">
        <v>5469</v>
      </c>
    </row>
    <row r="3445" spans="8:8" x14ac:dyDescent="0.25">
      <c r="H3445" t="s">
        <v>2970</v>
      </c>
    </row>
    <row r="3446" spans="8:8" x14ac:dyDescent="0.25">
      <c r="H3446" t="s">
        <v>2061</v>
      </c>
    </row>
    <row r="3447" spans="8:8" x14ac:dyDescent="0.25">
      <c r="H3447" t="s">
        <v>1686</v>
      </c>
    </row>
    <row r="3448" spans="8:8" x14ac:dyDescent="0.25">
      <c r="H3448" t="s">
        <v>3094</v>
      </c>
    </row>
    <row r="3449" spans="8:8" x14ac:dyDescent="0.25">
      <c r="H3449" t="s">
        <v>1916</v>
      </c>
    </row>
    <row r="3450" spans="8:8" x14ac:dyDescent="0.25">
      <c r="H3450" t="s">
        <v>1916</v>
      </c>
    </row>
    <row r="3451" spans="8:8" x14ac:dyDescent="0.25">
      <c r="H3451" t="s">
        <v>3433</v>
      </c>
    </row>
    <row r="3452" spans="8:8" x14ac:dyDescent="0.25">
      <c r="H3452" t="s">
        <v>648</v>
      </c>
    </row>
    <row r="3453" spans="8:8" x14ac:dyDescent="0.25">
      <c r="H3453" t="s">
        <v>654</v>
      </c>
    </row>
    <row r="3454" spans="8:8" x14ac:dyDescent="0.25">
      <c r="H3454" t="s">
        <v>3945</v>
      </c>
    </row>
    <row r="3455" spans="8:8" x14ac:dyDescent="0.25">
      <c r="H3455" t="s">
        <v>3918</v>
      </c>
    </row>
    <row r="3456" spans="8:8" x14ac:dyDescent="0.25">
      <c r="H3456" t="s">
        <v>2715</v>
      </c>
    </row>
    <row r="3457" spans="8:8" x14ac:dyDescent="0.25">
      <c r="H3457" t="s">
        <v>1240</v>
      </c>
    </row>
    <row r="3458" spans="8:8" x14ac:dyDescent="0.25">
      <c r="H3458" t="s">
        <v>637</v>
      </c>
    </row>
    <row r="3459" spans="8:8" x14ac:dyDescent="0.25">
      <c r="H3459" t="s">
        <v>3947</v>
      </c>
    </row>
    <row r="3460" spans="8:8" x14ac:dyDescent="0.25">
      <c r="H3460" t="s">
        <v>3948</v>
      </c>
    </row>
    <row r="3461" spans="8:8" x14ac:dyDescent="0.25">
      <c r="H3461" t="s">
        <v>3016</v>
      </c>
    </row>
    <row r="3462" spans="8:8" x14ac:dyDescent="0.25">
      <c r="H3462" t="s">
        <v>638</v>
      </c>
    </row>
    <row r="3463" spans="8:8" x14ac:dyDescent="0.25">
      <c r="H3463" t="s">
        <v>638</v>
      </c>
    </row>
    <row r="3464" spans="8:8" x14ac:dyDescent="0.25">
      <c r="H3464" t="s">
        <v>638</v>
      </c>
    </row>
    <row r="3465" spans="8:8" x14ac:dyDescent="0.25">
      <c r="H3465" t="s">
        <v>2102</v>
      </c>
    </row>
    <row r="3466" spans="8:8" x14ac:dyDescent="0.25">
      <c r="H3466" t="s">
        <v>2381</v>
      </c>
    </row>
    <row r="3467" spans="8:8" x14ac:dyDescent="0.25">
      <c r="H3467" t="s">
        <v>4491</v>
      </c>
    </row>
    <row r="3468" spans="8:8" x14ac:dyDescent="0.25">
      <c r="H3468" t="s">
        <v>3950</v>
      </c>
    </row>
    <row r="3469" spans="8:8" x14ac:dyDescent="0.25">
      <c r="H3469" t="s">
        <v>4614</v>
      </c>
    </row>
    <row r="3470" spans="8:8" x14ac:dyDescent="0.25">
      <c r="H3470" t="s">
        <v>4613</v>
      </c>
    </row>
    <row r="3471" spans="8:8" x14ac:dyDescent="0.25">
      <c r="H3471" t="s">
        <v>2382</v>
      </c>
    </row>
    <row r="3472" spans="8:8" x14ac:dyDescent="0.25">
      <c r="H3472" t="s">
        <v>4989</v>
      </c>
    </row>
    <row r="3473" spans="8:8" x14ac:dyDescent="0.25">
      <c r="H3473" t="s">
        <v>3953</v>
      </c>
    </row>
    <row r="3474" spans="8:8" x14ac:dyDescent="0.25">
      <c r="H3474" t="s">
        <v>3956</v>
      </c>
    </row>
    <row r="3475" spans="8:8" x14ac:dyDescent="0.25">
      <c r="H3475" t="s">
        <v>2369</v>
      </c>
    </row>
    <row r="3476" spans="8:8" x14ac:dyDescent="0.25">
      <c r="H3476" t="s">
        <v>4042</v>
      </c>
    </row>
    <row r="3477" spans="8:8" x14ac:dyDescent="0.25">
      <c r="H3477" t="s">
        <v>863</v>
      </c>
    </row>
    <row r="3478" spans="8:8" x14ac:dyDescent="0.25">
      <c r="H3478" t="s">
        <v>864</v>
      </c>
    </row>
    <row r="3479" spans="8:8" x14ac:dyDescent="0.25">
      <c r="H3479" t="s">
        <v>865</v>
      </c>
    </row>
    <row r="3480" spans="8:8" x14ac:dyDescent="0.25">
      <c r="H3480" t="s">
        <v>2489</v>
      </c>
    </row>
    <row r="3481" spans="8:8" x14ac:dyDescent="0.25">
      <c r="H3481" t="s">
        <v>3005</v>
      </c>
    </row>
    <row r="3482" spans="8:8" x14ac:dyDescent="0.25">
      <c r="H3482" t="s">
        <v>5346</v>
      </c>
    </row>
    <row r="3483" spans="8:8" x14ac:dyDescent="0.25">
      <c r="H3483" t="s">
        <v>5102</v>
      </c>
    </row>
    <row r="3484" spans="8:8" x14ac:dyDescent="0.25">
      <c r="H3484" t="s">
        <v>3960</v>
      </c>
    </row>
    <row r="3485" spans="8:8" x14ac:dyDescent="0.25">
      <c r="H3485" t="s">
        <v>3961</v>
      </c>
    </row>
    <row r="3486" spans="8:8" x14ac:dyDescent="0.25">
      <c r="H3486" t="s">
        <v>2190</v>
      </c>
    </row>
    <row r="3487" spans="8:8" x14ac:dyDescent="0.25">
      <c r="H3487" t="s">
        <v>2019</v>
      </c>
    </row>
    <row r="3488" spans="8:8" x14ac:dyDescent="0.25">
      <c r="H3488" t="s">
        <v>2002</v>
      </c>
    </row>
    <row r="3489" spans="8:8" x14ac:dyDescent="0.25">
      <c r="H3489" t="s">
        <v>3592</v>
      </c>
    </row>
    <row r="3490" spans="8:8" x14ac:dyDescent="0.25">
      <c r="H3490" t="s">
        <v>3372</v>
      </c>
    </row>
    <row r="3491" spans="8:8" x14ac:dyDescent="0.25">
      <c r="H3491" t="s">
        <v>3373</v>
      </c>
    </row>
    <row r="3492" spans="8:8" x14ac:dyDescent="0.25">
      <c r="H3492" t="s">
        <v>3965</v>
      </c>
    </row>
    <row r="3493" spans="8:8" x14ac:dyDescent="0.25">
      <c r="H3493" t="s">
        <v>4704</v>
      </c>
    </row>
    <row r="3494" spans="8:8" x14ac:dyDescent="0.25">
      <c r="H3494" t="s">
        <v>4706</v>
      </c>
    </row>
    <row r="3495" spans="8:8" x14ac:dyDescent="0.25">
      <c r="H3495" t="s">
        <v>3974</v>
      </c>
    </row>
    <row r="3496" spans="8:8" x14ac:dyDescent="0.25">
      <c r="H3496" t="s">
        <v>1851</v>
      </c>
    </row>
    <row r="3497" spans="8:8" x14ac:dyDescent="0.25">
      <c r="H3497" t="s">
        <v>3848</v>
      </c>
    </row>
    <row r="3498" spans="8:8" x14ac:dyDescent="0.25">
      <c r="H3498" t="s">
        <v>5175</v>
      </c>
    </row>
    <row r="3499" spans="8:8" x14ac:dyDescent="0.25">
      <c r="H3499" t="s">
        <v>4900</v>
      </c>
    </row>
    <row r="3500" spans="8:8" x14ac:dyDescent="0.25">
      <c r="H3500" t="s">
        <v>3980</v>
      </c>
    </row>
    <row r="3501" spans="8:8" x14ac:dyDescent="0.25">
      <c r="H3501" t="s">
        <v>3983</v>
      </c>
    </row>
    <row r="3502" spans="8:8" x14ac:dyDescent="0.25">
      <c r="H3502" t="s">
        <v>3984</v>
      </c>
    </row>
    <row r="3503" spans="8:8" x14ac:dyDescent="0.25">
      <c r="H3503" t="s">
        <v>3985</v>
      </c>
    </row>
    <row r="3504" spans="8:8" x14ac:dyDescent="0.25">
      <c r="H3504" t="s">
        <v>2843</v>
      </c>
    </row>
    <row r="3505" spans="8:8" x14ac:dyDescent="0.25">
      <c r="H3505" t="s">
        <v>4094</v>
      </c>
    </row>
    <row r="3506" spans="8:8" x14ac:dyDescent="0.25">
      <c r="H3506" t="s">
        <v>3509</v>
      </c>
    </row>
    <row r="3507" spans="8:8" x14ac:dyDescent="0.25">
      <c r="H3507" t="s">
        <v>3986</v>
      </c>
    </row>
    <row r="3508" spans="8:8" x14ac:dyDescent="0.25">
      <c r="H3508" t="s">
        <v>3987</v>
      </c>
    </row>
    <row r="3509" spans="8:8" x14ac:dyDescent="0.25">
      <c r="H3509" t="s">
        <v>3988</v>
      </c>
    </row>
    <row r="3510" spans="8:8" x14ac:dyDescent="0.25">
      <c r="H3510" t="s">
        <v>3991</v>
      </c>
    </row>
    <row r="3511" spans="8:8" x14ac:dyDescent="0.25">
      <c r="H3511" t="s">
        <v>3999</v>
      </c>
    </row>
    <row r="3512" spans="8:8" x14ac:dyDescent="0.25">
      <c r="H3512" t="s">
        <v>953</v>
      </c>
    </row>
    <row r="3513" spans="8:8" x14ac:dyDescent="0.25">
      <c r="H3513" t="s">
        <v>3998</v>
      </c>
    </row>
    <row r="3514" spans="8:8" x14ac:dyDescent="0.25">
      <c r="H3514" t="s">
        <v>1246</v>
      </c>
    </row>
    <row r="3515" spans="8:8" x14ac:dyDescent="0.25">
      <c r="H3515" t="s">
        <v>1440</v>
      </c>
    </row>
    <row r="3516" spans="8:8" x14ac:dyDescent="0.25">
      <c r="H3516" t="s">
        <v>1440</v>
      </c>
    </row>
    <row r="3517" spans="8:8" x14ac:dyDescent="0.25">
      <c r="H3517" t="s">
        <v>4001</v>
      </c>
    </row>
    <row r="3518" spans="8:8" x14ac:dyDescent="0.25">
      <c r="H3518" t="s">
        <v>469</v>
      </c>
    </row>
    <row r="3519" spans="8:8" x14ac:dyDescent="0.25">
      <c r="H3519" t="s">
        <v>4016</v>
      </c>
    </row>
    <row r="3520" spans="8:8" x14ac:dyDescent="0.25">
      <c r="H3520" t="s">
        <v>3114</v>
      </c>
    </row>
    <row r="3521" spans="8:8" x14ac:dyDescent="0.25">
      <c r="H3521" t="s">
        <v>4055</v>
      </c>
    </row>
    <row r="3522" spans="8:8" x14ac:dyDescent="0.25">
      <c r="H3522" t="s">
        <v>2942</v>
      </c>
    </row>
    <row r="3523" spans="8:8" x14ac:dyDescent="0.25">
      <c r="H3523" t="s">
        <v>257</v>
      </c>
    </row>
    <row r="3524" spans="8:8" x14ac:dyDescent="0.25">
      <c r="H3524" t="s">
        <v>4068</v>
      </c>
    </row>
    <row r="3525" spans="8:8" x14ac:dyDescent="0.25">
      <c r="H3525" t="s">
        <v>4307</v>
      </c>
    </row>
    <row r="3526" spans="8:8" x14ac:dyDescent="0.25">
      <c r="H3526" t="s">
        <v>3778</v>
      </c>
    </row>
    <row r="3527" spans="8:8" x14ac:dyDescent="0.25">
      <c r="H3527" t="s">
        <v>4017</v>
      </c>
    </row>
    <row r="3528" spans="8:8" x14ac:dyDescent="0.25">
      <c r="H3528" t="s">
        <v>4018</v>
      </c>
    </row>
    <row r="3529" spans="8:8" x14ac:dyDescent="0.25">
      <c r="H3529" t="s">
        <v>4019</v>
      </c>
    </row>
    <row r="3530" spans="8:8" x14ac:dyDescent="0.25">
      <c r="H3530" t="s">
        <v>4050</v>
      </c>
    </row>
    <row r="3531" spans="8:8" x14ac:dyDescent="0.25">
      <c r="H3531" t="s">
        <v>4020</v>
      </c>
    </row>
    <row r="3532" spans="8:8" x14ac:dyDescent="0.25">
      <c r="H3532" t="s">
        <v>4022</v>
      </c>
    </row>
    <row r="3533" spans="8:8" x14ac:dyDescent="0.25">
      <c r="H3533" t="s">
        <v>1574</v>
      </c>
    </row>
    <row r="3534" spans="8:8" x14ac:dyDescent="0.25">
      <c r="H3534" t="s">
        <v>5147</v>
      </c>
    </row>
    <row r="3535" spans="8:8" x14ac:dyDescent="0.25">
      <c r="H3535" t="s">
        <v>4335</v>
      </c>
    </row>
    <row r="3536" spans="8:8" x14ac:dyDescent="0.25">
      <c r="H3536" t="s">
        <v>4904</v>
      </c>
    </row>
    <row r="3537" spans="8:8" x14ac:dyDescent="0.25">
      <c r="H3537" t="s">
        <v>3676</v>
      </c>
    </row>
    <row r="3538" spans="8:8" x14ac:dyDescent="0.25">
      <c r="H3538" t="s">
        <v>1099</v>
      </c>
    </row>
    <row r="3539" spans="8:8" x14ac:dyDescent="0.25">
      <c r="H3539" t="s">
        <v>684</v>
      </c>
    </row>
    <row r="3540" spans="8:8" x14ac:dyDescent="0.25">
      <c r="H3540" t="s">
        <v>1100</v>
      </c>
    </row>
    <row r="3541" spans="8:8" x14ac:dyDescent="0.25">
      <c r="H3541" t="s">
        <v>4026</v>
      </c>
    </row>
    <row r="3542" spans="8:8" x14ac:dyDescent="0.25">
      <c r="H3542" t="s">
        <v>4029</v>
      </c>
    </row>
    <row r="3543" spans="8:8" x14ac:dyDescent="0.25">
      <c r="H3543" t="s">
        <v>4031</v>
      </c>
    </row>
    <row r="3544" spans="8:8" x14ac:dyDescent="0.25">
      <c r="H3544" t="s">
        <v>2569</v>
      </c>
    </row>
    <row r="3545" spans="8:8" x14ac:dyDescent="0.25">
      <c r="H3545" t="s">
        <v>663</v>
      </c>
    </row>
    <row r="3546" spans="8:8" x14ac:dyDescent="0.25">
      <c r="H3546" t="s">
        <v>664</v>
      </c>
    </row>
    <row r="3547" spans="8:8" x14ac:dyDescent="0.25">
      <c r="H3547" t="s">
        <v>1602</v>
      </c>
    </row>
    <row r="3548" spans="8:8" x14ac:dyDescent="0.25">
      <c r="H3548" t="s">
        <v>3928</v>
      </c>
    </row>
    <row r="3549" spans="8:8" x14ac:dyDescent="0.25">
      <c r="H3549" t="s">
        <v>4586</v>
      </c>
    </row>
    <row r="3550" spans="8:8" x14ac:dyDescent="0.25">
      <c r="H3550" t="s">
        <v>4033</v>
      </c>
    </row>
    <row r="3551" spans="8:8" x14ac:dyDescent="0.25">
      <c r="H3551" t="s">
        <v>528</v>
      </c>
    </row>
    <row r="3552" spans="8:8" x14ac:dyDescent="0.25">
      <c r="H3552" t="s">
        <v>4034</v>
      </c>
    </row>
    <row r="3553" spans="8:8" x14ac:dyDescent="0.25">
      <c r="H3553" t="s">
        <v>2069</v>
      </c>
    </row>
    <row r="3554" spans="8:8" x14ac:dyDescent="0.25">
      <c r="H3554" t="s">
        <v>2004</v>
      </c>
    </row>
    <row r="3555" spans="8:8" x14ac:dyDescent="0.25">
      <c r="H3555" t="s">
        <v>2620</v>
      </c>
    </row>
    <row r="3556" spans="8:8" x14ac:dyDescent="0.25">
      <c r="H3556" t="s">
        <v>5310</v>
      </c>
    </row>
    <row r="3557" spans="8:8" x14ac:dyDescent="0.25">
      <c r="H3557" t="s">
        <v>3688</v>
      </c>
    </row>
    <row r="3558" spans="8:8" x14ac:dyDescent="0.25">
      <c r="H3558" t="s">
        <v>1980</v>
      </c>
    </row>
    <row r="3559" spans="8:8" x14ac:dyDescent="0.25">
      <c r="H3559" t="s">
        <v>4560</v>
      </c>
    </row>
    <row r="3560" spans="8:8" x14ac:dyDescent="0.25">
      <c r="H3560" t="s">
        <v>1979</v>
      </c>
    </row>
    <row r="3561" spans="8:8" x14ac:dyDescent="0.25">
      <c r="H3561" t="s">
        <v>4037</v>
      </c>
    </row>
    <row r="3562" spans="8:8" x14ac:dyDescent="0.25">
      <c r="H3562" t="s">
        <v>3407</v>
      </c>
    </row>
    <row r="3563" spans="8:8" x14ac:dyDescent="0.25">
      <c r="H3563" t="s">
        <v>2580</v>
      </c>
    </row>
    <row r="3564" spans="8:8" x14ac:dyDescent="0.25">
      <c r="H3564" t="s">
        <v>989</v>
      </c>
    </row>
    <row r="3565" spans="8:8" x14ac:dyDescent="0.25">
      <c r="H3565" t="s">
        <v>1187</v>
      </c>
    </row>
    <row r="3566" spans="8:8" x14ac:dyDescent="0.25">
      <c r="H3566" t="s">
        <v>2313</v>
      </c>
    </row>
    <row r="3567" spans="8:8" x14ac:dyDescent="0.25">
      <c r="H3567" t="s">
        <v>830</v>
      </c>
    </row>
    <row r="3568" spans="8:8" x14ac:dyDescent="0.25">
      <c r="H3568" t="s">
        <v>2230</v>
      </c>
    </row>
    <row r="3569" spans="8:8" x14ac:dyDescent="0.25">
      <c r="H3569" t="s">
        <v>2385</v>
      </c>
    </row>
    <row r="3570" spans="8:8" x14ac:dyDescent="0.25">
      <c r="H3570" t="s">
        <v>722</v>
      </c>
    </row>
    <row r="3571" spans="8:8" x14ac:dyDescent="0.25">
      <c r="H3571" t="s">
        <v>567</v>
      </c>
    </row>
    <row r="3572" spans="8:8" x14ac:dyDescent="0.25">
      <c r="H3572" t="s">
        <v>4036</v>
      </c>
    </row>
    <row r="3573" spans="8:8" x14ac:dyDescent="0.25">
      <c r="H3573" t="s">
        <v>4038</v>
      </c>
    </row>
    <row r="3574" spans="8:8" x14ac:dyDescent="0.25">
      <c r="H3574" t="s">
        <v>581</v>
      </c>
    </row>
    <row r="3575" spans="8:8" x14ac:dyDescent="0.25">
      <c r="H3575" t="s">
        <v>2173</v>
      </c>
    </row>
    <row r="3576" spans="8:8" x14ac:dyDescent="0.25">
      <c r="H3576" t="s">
        <v>4006</v>
      </c>
    </row>
    <row r="3577" spans="8:8" x14ac:dyDescent="0.25">
      <c r="H3577" t="s">
        <v>4516</v>
      </c>
    </row>
    <row r="3578" spans="8:8" x14ac:dyDescent="0.25">
      <c r="H3578" t="s">
        <v>5143</v>
      </c>
    </row>
    <row r="3579" spans="8:8" x14ac:dyDescent="0.25">
      <c r="H3579" t="s">
        <v>2383</v>
      </c>
    </row>
    <row r="3580" spans="8:8" x14ac:dyDescent="0.25">
      <c r="H3580" t="s">
        <v>2140</v>
      </c>
    </row>
    <row r="3581" spans="8:8" x14ac:dyDescent="0.25">
      <c r="H3581" t="s">
        <v>831</v>
      </c>
    </row>
    <row r="3582" spans="8:8" x14ac:dyDescent="0.25">
      <c r="H3582" t="s">
        <v>3651</v>
      </c>
    </row>
    <row r="3583" spans="8:8" x14ac:dyDescent="0.25">
      <c r="H3583" t="s">
        <v>4086</v>
      </c>
    </row>
    <row r="3584" spans="8:8" x14ac:dyDescent="0.25">
      <c r="H3584" t="s">
        <v>4396</v>
      </c>
    </row>
    <row r="3585" spans="8:8" x14ac:dyDescent="0.25">
      <c r="H3585" t="s">
        <v>1965</v>
      </c>
    </row>
    <row r="3586" spans="8:8" x14ac:dyDescent="0.25">
      <c r="H3586" t="s">
        <v>5221</v>
      </c>
    </row>
    <row r="3587" spans="8:8" x14ac:dyDescent="0.25">
      <c r="H3587" t="s">
        <v>2510</v>
      </c>
    </row>
    <row r="3588" spans="8:8" x14ac:dyDescent="0.25">
      <c r="H3588" t="s">
        <v>3052</v>
      </c>
    </row>
    <row r="3589" spans="8:8" x14ac:dyDescent="0.25">
      <c r="H3589" t="s">
        <v>4054</v>
      </c>
    </row>
    <row r="3590" spans="8:8" x14ac:dyDescent="0.25">
      <c r="H3590" t="s">
        <v>4059</v>
      </c>
    </row>
    <row r="3591" spans="8:8" x14ac:dyDescent="0.25">
      <c r="H3591" t="s">
        <v>2598</v>
      </c>
    </row>
    <row r="3592" spans="8:8" x14ac:dyDescent="0.25">
      <c r="H3592" t="s">
        <v>3480</v>
      </c>
    </row>
    <row r="3593" spans="8:8" x14ac:dyDescent="0.25">
      <c r="H3593" t="s">
        <v>1857</v>
      </c>
    </row>
    <row r="3594" spans="8:8" x14ac:dyDescent="0.25">
      <c r="H3594" t="s">
        <v>1285</v>
      </c>
    </row>
    <row r="3595" spans="8:8" x14ac:dyDescent="0.25">
      <c r="H3595" t="s">
        <v>1539</v>
      </c>
    </row>
    <row r="3596" spans="8:8" x14ac:dyDescent="0.25">
      <c r="H3596" t="s">
        <v>3479</v>
      </c>
    </row>
    <row r="3597" spans="8:8" x14ac:dyDescent="0.25">
      <c r="H3597" t="s">
        <v>1302</v>
      </c>
    </row>
    <row r="3598" spans="8:8" x14ac:dyDescent="0.25">
      <c r="H3598" t="s">
        <v>5479</v>
      </c>
    </row>
    <row r="3599" spans="8:8" x14ac:dyDescent="0.25">
      <c r="H3599" t="s">
        <v>1288</v>
      </c>
    </row>
    <row r="3600" spans="8:8" x14ac:dyDescent="0.25">
      <c r="H3600" t="s">
        <v>1289</v>
      </c>
    </row>
    <row r="3601" spans="8:8" x14ac:dyDescent="0.25">
      <c r="H3601" t="s">
        <v>4053</v>
      </c>
    </row>
    <row r="3602" spans="8:8" x14ac:dyDescent="0.25">
      <c r="H3602" t="s">
        <v>4063</v>
      </c>
    </row>
    <row r="3603" spans="8:8" x14ac:dyDescent="0.25">
      <c r="H3603" t="s">
        <v>4362</v>
      </c>
    </row>
    <row r="3604" spans="8:8" x14ac:dyDescent="0.25">
      <c r="H3604" t="s">
        <v>1793</v>
      </c>
    </row>
    <row r="3605" spans="8:8" x14ac:dyDescent="0.25">
      <c r="H3605" t="s">
        <v>4066</v>
      </c>
    </row>
    <row r="3606" spans="8:8" x14ac:dyDescent="0.25">
      <c r="H3606" t="s">
        <v>3277</v>
      </c>
    </row>
    <row r="3607" spans="8:8" x14ac:dyDescent="0.25">
      <c r="H3607" t="s">
        <v>2579</v>
      </c>
    </row>
    <row r="3608" spans="8:8" x14ac:dyDescent="0.25">
      <c r="H3608" t="s">
        <v>4332</v>
      </c>
    </row>
    <row r="3609" spans="8:8" x14ac:dyDescent="0.25">
      <c r="H3609" t="s">
        <v>3465</v>
      </c>
    </row>
    <row r="3610" spans="8:8" x14ac:dyDescent="0.25">
      <c r="H3610" t="s">
        <v>4069</v>
      </c>
    </row>
    <row r="3611" spans="8:8" x14ac:dyDescent="0.25">
      <c r="H3611" t="s">
        <v>5183</v>
      </c>
    </row>
    <row r="3612" spans="8:8" x14ac:dyDescent="0.25">
      <c r="H3612" t="s">
        <v>1003</v>
      </c>
    </row>
    <row r="3613" spans="8:8" x14ac:dyDescent="0.25">
      <c r="H3613" t="s">
        <v>5237</v>
      </c>
    </row>
    <row r="3614" spans="8:8" x14ac:dyDescent="0.25">
      <c r="H3614" t="s">
        <v>2894</v>
      </c>
    </row>
    <row r="3615" spans="8:8" x14ac:dyDescent="0.25">
      <c r="H3615" t="s">
        <v>5456</v>
      </c>
    </row>
    <row r="3616" spans="8:8" x14ac:dyDescent="0.25">
      <c r="H3616" t="s">
        <v>1622</v>
      </c>
    </row>
    <row r="3617" spans="8:8" x14ac:dyDescent="0.25">
      <c r="H3617" t="s">
        <v>5527</v>
      </c>
    </row>
    <row r="3618" spans="8:8" x14ac:dyDescent="0.25">
      <c r="H3618" t="s">
        <v>4072</v>
      </c>
    </row>
    <row r="3619" spans="8:8" x14ac:dyDescent="0.25">
      <c r="H3619" t="s">
        <v>2568</v>
      </c>
    </row>
    <row r="3620" spans="8:8" x14ac:dyDescent="0.25">
      <c r="H3620" t="s">
        <v>571</v>
      </c>
    </row>
    <row r="3621" spans="8:8" x14ac:dyDescent="0.25">
      <c r="H3621" t="s">
        <v>4077</v>
      </c>
    </row>
    <row r="3622" spans="8:8" x14ac:dyDescent="0.25">
      <c r="H3622" t="s">
        <v>4078</v>
      </c>
    </row>
    <row r="3623" spans="8:8" x14ac:dyDescent="0.25">
      <c r="H3623" t="s">
        <v>4081</v>
      </c>
    </row>
    <row r="3624" spans="8:8" x14ac:dyDescent="0.25">
      <c r="H3624" t="s">
        <v>4081</v>
      </c>
    </row>
    <row r="3625" spans="8:8" x14ac:dyDescent="0.25">
      <c r="H3625" t="s">
        <v>1971</v>
      </c>
    </row>
    <row r="3626" spans="8:8" x14ac:dyDescent="0.25">
      <c r="H3626" t="s">
        <v>1723</v>
      </c>
    </row>
    <row r="3627" spans="8:8" x14ac:dyDescent="0.25">
      <c r="H3627" t="s">
        <v>1251</v>
      </c>
    </row>
    <row r="3628" spans="8:8" x14ac:dyDescent="0.25">
      <c r="H3628" t="s">
        <v>5107</v>
      </c>
    </row>
    <row r="3629" spans="8:8" x14ac:dyDescent="0.25">
      <c r="H3629" t="s">
        <v>1389</v>
      </c>
    </row>
    <row r="3630" spans="8:8" x14ac:dyDescent="0.25">
      <c r="H3630" t="s">
        <v>2164</v>
      </c>
    </row>
    <row r="3631" spans="8:8" x14ac:dyDescent="0.25">
      <c r="H3631" t="s">
        <v>1865</v>
      </c>
    </row>
    <row r="3632" spans="8:8" x14ac:dyDescent="0.25">
      <c r="H3632" t="s">
        <v>1398</v>
      </c>
    </row>
    <row r="3633" spans="8:8" x14ac:dyDescent="0.25">
      <c r="H3633" t="s">
        <v>3827</v>
      </c>
    </row>
    <row r="3634" spans="8:8" x14ac:dyDescent="0.25">
      <c r="H3634" t="s">
        <v>4085</v>
      </c>
    </row>
    <row r="3635" spans="8:8" x14ac:dyDescent="0.25">
      <c r="H3635" t="s">
        <v>1253</v>
      </c>
    </row>
    <row r="3636" spans="8:8" x14ac:dyDescent="0.25">
      <c r="H3636" t="s">
        <v>1341</v>
      </c>
    </row>
    <row r="3637" spans="8:8" x14ac:dyDescent="0.25">
      <c r="H3637" t="s">
        <v>558</v>
      </c>
    </row>
    <row r="3638" spans="8:8" x14ac:dyDescent="0.25">
      <c r="H3638" t="s">
        <v>1393</v>
      </c>
    </row>
    <row r="3639" spans="8:8" x14ac:dyDescent="0.25">
      <c r="H3639" t="s">
        <v>1392</v>
      </c>
    </row>
    <row r="3640" spans="8:8" x14ac:dyDescent="0.25">
      <c r="H3640" t="s">
        <v>2567</v>
      </c>
    </row>
    <row r="3641" spans="8:8" x14ac:dyDescent="0.25">
      <c r="H3641" t="s">
        <v>1391</v>
      </c>
    </row>
    <row r="3642" spans="8:8" x14ac:dyDescent="0.25">
      <c r="H3642" t="s">
        <v>1356</v>
      </c>
    </row>
    <row r="3643" spans="8:8" x14ac:dyDescent="0.25">
      <c r="H3643" t="s">
        <v>2386</v>
      </c>
    </row>
    <row r="3644" spans="8:8" x14ac:dyDescent="0.25">
      <c r="H3644" t="s">
        <v>1396</v>
      </c>
    </row>
    <row r="3645" spans="8:8" x14ac:dyDescent="0.25">
      <c r="H3645" t="s">
        <v>3252</v>
      </c>
    </row>
    <row r="3646" spans="8:8" x14ac:dyDescent="0.25">
      <c r="H3646" t="s">
        <v>4188</v>
      </c>
    </row>
    <row r="3647" spans="8:8" x14ac:dyDescent="0.25">
      <c r="H3647" t="s">
        <v>1394</v>
      </c>
    </row>
    <row r="3648" spans="8:8" x14ac:dyDescent="0.25">
      <c r="H3648" t="s">
        <v>1528</v>
      </c>
    </row>
    <row r="3649" spans="8:8" x14ac:dyDescent="0.25">
      <c r="H3649" t="s">
        <v>2290</v>
      </c>
    </row>
    <row r="3650" spans="8:8" x14ac:dyDescent="0.25">
      <c r="H3650" t="s">
        <v>1733</v>
      </c>
    </row>
    <row r="3651" spans="8:8" x14ac:dyDescent="0.25">
      <c r="H3651" t="s">
        <v>3357</v>
      </c>
    </row>
    <row r="3652" spans="8:8" x14ac:dyDescent="0.25">
      <c r="H3652" t="s">
        <v>1340</v>
      </c>
    </row>
    <row r="3653" spans="8:8" x14ac:dyDescent="0.25">
      <c r="H3653" t="s">
        <v>1350</v>
      </c>
    </row>
    <row r="3654" spans="8:8" x14ac:dyDescent="0.25">
      <c r="H3654" t="s">
        <v>1337</v>
      </c>
    </row>
    <row r="3655" spans="8:8" x14ac:dyDescent="0.25">
      <c r="H3655" t="s">
        <v>5141</v>
      </c>
    </row>
    <row r="3656" spans="8:8" x14ac:dyDescent="0.25">
      <c r="H3656" t="s">
        <v>2141</v>
      </c>
    </row>
    <row r="3657" spans="8:8" x14ac:dyDescent="0.25">
      <c r="H3657" t="s">
        <v>1274</v>
      </c>
    </row>
    <row r="3658" spans="8:8" x14ac:dyDescent="0.25">
      <c r="H3658" t="s">
        <v>2174</v>
      </c>
    </row>
    <row r="3659" spans="8:8" x14ac:dyDescent="0.25">
      <c r="H3659" t="s">
        <v>2274</v>
      </c>
    </row>
    <row r="3660" spans="8:8" x14ac:dyDescent="0.25">
      <c r="H3660" t="s">
        <v>3042</v>
      </c>
    </row>
    <row r="3661" spans="8:8" x14ac:dyDescent="0.25">
      <c r="H3661" t="s">
        <v>2644</v>
      </c>
    </row>
    <row r="3662" spans="8:8" x14ac:dyDescent="0.25">
      <c r="H3662" t="s">
        <v>1346</v>
      </c>
    </row>
    <row r="3663" spans="8:8" x14ac:dyDescent="0.25">
      <c r="H3663" t="s">
        <v>2657</v>
      </c>
    </row>
    <row r="3664" spans="8:8" x14ac:dyDescent="0.25">
      <c r="H3664" t="s">
        <v>2798</v>
      </c>
    </row>
    <row r="3665" spans="8:8" x14ac:dyDescent="0.25">
      <c r="H3665" t="s">
        <v>3054</v>
      </c>
    </row>
    <row r="3666" spans="8:8" x14ac:dyDescent="0.25">
      <c r="H3666" t="s">
        <v>3149</v>
      </c>
    </row>
    <row r="3667" spans="8:8" x14ac:dyDescent="0.25">
      <c r="H3667" t="s">
        <v>3622</v>
      </c>
    </row>
    <row r="3668" spans="8:8" x14ac:dyDescent="0.25">
      <c r="H3668" t="s">
        <v>4573</v>
      </c>
    </row>
    <row r="3669" spans="8:8" x14ac:dyDescent="0.25">
      <c r="H3669" t="s">
        <v>4734</v>
      </c>
    </row>
    <row r="3670" spans="8:8" x14ac:dyDescent="0.25">
      <c r="H3670" t="s">
        <v>1390</v>
      </c>
    </row>
    <row r="3671" spans="8:8" x14ac:dyDescent="0.25">
      <c r="H3671" t="s">
        <v>5038</v>
      </c>
    </row>
    <row r="3672" spans="8:8" x14ac:dyDescent="0.25">
      <c r="H3672" t="s">
        <v>5223</v>
      </c>
    </row>
    <row r="3673" spans="8:8" x14ac:dyDescent="0.25">
      <c r="H3673" t="s">
        <v>4095</v>
      </c>
    </row>
    <row r="3674" spans="8:8" x14ac:dyDescent="0.25">
      <c r="H3674" t="s">
        <v>4096</v>
      </c>
    </row>
    <row r="3675" spans="8:8" x14ac:dyDescent="0.25">
      <c r="H3675" t="s">
        <v>2213</v>
      </c>
    </row>
    <row r="3676" spans="8:8" x14ac:dyDescent="0.25">
      <c r="H3676" t="s">
        <v>2729</v>
      </c>
    </row>
    <row r="3677" spans="8:8" x14ac:dyDescent="0.25">
      <c r="H3677" t="s">
        <v>4858</v>
      </c>
    </row>
    <row r="3678" spans="8:8" x14ac:dyDescent="0.25">
      <c r="H3678" t="s">
        <v>4960</v>
      </c>
    </row>
    <row r="3679" spans="8:8" x14ac:dyDescent="0.25">
      <c r="H3679" t="s">
        <v>5144</v>
      </c>
    </row>
    <row r="3680" spans="8:8" x14ac:dyDescent="0.25">
      <c r="H3680" t="s">
        <v>1279</v>
      </c>
    </row>
    <row r="3681" spans="8:8" x14ac:dyDescent="0.25">
      <c r="H3681" t="s">
        <v>5411</v>
      </c>
    </row>
    <row r="3682" spans="8:8" x14ac:dyDescent="0.25">
      <c r="H3682" t="s">
        <v>4786</v>
      </c>
    </row>
    <row r="3683" spans="8:8" x14ac:dyDescent="0.25">
      <c r="H3683" t="s">
        <v>2844</v>
      </c>
    </row>
    <row r="3684" spans="8:8" x14ac:dyDescent="0.25">
      <c r="H3684" t="s">
        <v>3101</v>
      </c>
    </row>
    <row r="3685" spans="8:8" x14ac:dyDescent="0.25">
      <c r="H3685" t="s">
        <v>3740</v>
      </c>
    </row>
    <row r="3686" spans="8:8" x14ac:dyDescent="0.25">
      <c r="H3686" t="s">
        <v>3867</v>
      </c>
    </row>
    <row r="3687" spans="8:8" x14ac:dyDescent="0.25">
      <c r="H3687" t="s">
        <v>1550</v>
      </c>
    </row>
    <row r="3688" spans="8:8" x14ac:dyDescent="0.25">
      <c r="H3688" t="s">
        <v>4007</v>
      </c>
    </row>
    <row r="3689" spans="8:8" x14ac:dyDescent="0.25">
      <c r="H3689" t="s">
        <v>4317</v>
      </c>
    </row>
    <row r="3690" spans="8:8" x14ac:dyDescent="0.25">
      <c r="H3690" t="s">
        <v>3732</v>
      </c>
    </row>
    <row r="3691" spans="8:8" x14ac:dyDescent="0.25">
      <c r="H3691" t="s">
        <v>918</v>
      </c>
    </row>
    <row r="3692" spans="8:8" x14ac:dyDescent="0.25">
      <c r="H3692" t="s">
        <v>259</v>
      </c>
    </row>
    <row r="3693" spans="8:8" x14ac:dyDescent="0.25">
      <c r="H3693" t="s">
        <v>906</v>
      </c>
    </row>
    <row r="3694" spans="8:8" x14ac:dyDescent="0.25">
      <c r="H3694" t="s">
        <v>1978</v>
      </c>
    </row>
    <row r="3695" spans="8:8" x14ac:dyDescent="0.25">
      <c r="H3695" t="s">
        <v>4074</v>
      </c>
    </row>
    <row r="3696" spans="8:8" x14ac:dyDescent="0.25">
      <c r="H3696" t="s">
        <v>3030</v>
      </c>
    </row>
    <row r="3697" spans="8:8" x14ac:dyDescent="0.25">
      <c r="H3697" t="s">
        <v>1007</v>
      </c>
    </row>
    <row r="3698" spans="8:8" x14ac:dyDescent="0.25">
      <c r="H3698" t="s">
        <v>907</v>
      </c>
    </row>
    <row r="3699" spans="8:8" x14ac:dyDescent="0.25">
      <c r="H3699" t="s">
        <v>5150</v>
      </c>
    </row>
    <row r="3700" spans="8:8" x14ac:dyDescent="0.25">
      <c r="H3700" t="s">
        <v>1287</v>
      </c>
    </row>
    <row r="3701" spans="8:8" x14ac:dyDescent="0.25">
      <c r="H3701" t="s">
        <v>1746</v>
      </c>
    </row>
    <row r="3702" spans="8:8" x14ac:dyDescent="0.25">
      <c r="H3702" t="s">
        <v>4497</v>
      </c>
    </row>
    <row r="3703" spans="8:8" x14ac:dyDescent="0.25">
      <c r="H3703" t="s">
        <v>3438</v>
      </c>
    </row>
    <row r="3704" spans="8:8" x14ac:dyDescent="0.25">
      <c r="H3704" t="s">
        <v>5224</v>
      </c>
    </row>
    <row r="3705" spans="8:8" x14ac:dyDescent="0.25">
      <c r="H3705" t="s">
        <v>3217</v>
      </c>
    </row>
    <row r="3706" spans="8:8" x14ac:dyDescent="0.25">
      <c r="H3706" t="s">
        <v>2225</v>
      </c>
    </row>
    <row r="3707" spans="8:8" x14ac:dyDescent="0.25">
      <c r="H3707" t="s">
        <v>5412</v>
      </c>
    </row>
    <row r="3708" spans="8:8" x14ac:dyDescent="0.25">
      <c r="H3708" t="s">
        <v>2388</v>
      </c>
    </row>
    <row r="3709" spans="8:8" x14ac:dyDescent="0.25">
      <c r="H3709" t="s">
        <v>2683</v>
      </c>
    </row>
    <row r="3710" spans="8:8" x14ac:dyDescent="0.25">
      <c r="H3710" t="s">
        <v>2828</v>
      </c>
    </row>
    <row r="3711" spans="8:8" x14ac:dyDescent="0.25">
      <c r="H3711" t="s">
        <v>2850</v>
      </c>
    </row>
    <row r="3712" spans="8:8" x14ac:dyDescent="0.25">
      <c r="H3712" t="s">
        <v>1050</v>
      </c>
    </row>
    <row r="3713" spans="8:8" x14ac:dyDescent="0.25">
      <c r="H3713" t="s">
        <v>909</v>
      </c>
    </row>
    <row r="3714" spans="8:8" x14ac:dyDescent="0.25">
      <c r="H3714" t="s">
        <v>910</v>
      </c>
    </row>
    <row r="3715" spans="8:8" x14ac:dyDescent="0.25">
      <c r="H3715" t="s">
        <v>1687</v>
      </c>
    </row>
    <row r="3716" spans="8:8" x14ac:dyDescent="0.25">
      <c r="H3716" t="s">
        <v>3241</v>
      </c>
    </row>
    <row r="3717" spans="8:8" x14ac:dyDescent="0.25">
      <c r="H3717" t="s">
        <v>3241</v>
      </c>
    </row>
    <row r="3718" spans="8:8" x14ac:dyDescent="0.25">
      <c r="H3718" t="s">
        <v>2212</v>
      </c>
    </row>
    <row r="3719" spans="8:8" x14ac:dyDescent="0.25">
      <c r="H3719" t="s">
        <v>3055</v>
      </c>
    </row>
    <row r="3720" spans="8:8" x14ac:dyDescent="0.25">
      <c r="H3720" t="s">
        <v>911</v>
      </c>
    </row>
    <row r="3721" spans="8:8" x14ac:dyDescent="0.25">
      <c r="H3721" t="s">
        <v>4325</v>
      </c>
    </row>
    <row r="3722" spans="8:8" x14ac:dyDescent="0.25">
      <c r="H3722" t="s">
        <v>3852</v>
      </c>
    </row>
    <row r="3723" spans="8:8" x14ac:dyDescent="0.25">
      <c r="H3723" t="s">
        <v>912</v>
      </c>
    </row>
    <row r="3724" spans="8:8" x14ac:dyDescent="0.25">
      <c r="H3724" t="s">
        <v>913</v>
      </c>
    </row>
    <row r="3725" spans="8:8" x14ac:dyDescent="0.25">
      <c r="H3725" t="s">
        <v>4008</v>
      </c>
    </row>
    <row r="3726" spans="8:8" x14ac:dyDescent="0.25">
      <c r="H3726" t="s">
        <v>3733</v>
      </c>
    </row>
    <row r="3727" spans="8:8" x14ac:dyDescent="0.25">
      <c r="H3727" t="s">
        <v>914</v>
      </c>
    </row>
    <row r="3728" spans="8:8" x14ac:dyDescent="0.25">
      <c r="H3728" t="s">
        <v>5056</v>
      </c>
    </row>
    <row r="3729" spans="8:8" x14ac:dyDescent="0.25">
      <c r="H3729" t="s">
        <v>915</v>
      </c>
    </row>
    <row r="3730" spans="8:8" x14ac:dyDescent="0.25">
      <c r="H3730" t="s">
        <v>5134</v>
      </c>
    </row>
    <row r="3731" spans="8:8" x14ac:dyDescent="0.25">
      <c r="H3731" t="s">
        <v>4142</v>
      </c>
    </row>
    <row r="3732" spans="8:8" x14ac:dyDescent="0.25">
      <c r="H3732" t="s">
        <v>4143</v>
      </c>
    </row>
    <row r="3733" spans="8:8" x14ac:dyDescent="0.25">
      <c r="H3733" t="s">
        <v>4145</v>
      </c>
    </row>
    <row r="3734" spans="8:8" x14ac:dyDescent="0.25">
      <c r="H3734" t="s">
        <v>4146</v>
      </c>
    </row>
    <row r="3735" spans="8:8" x14ac:dyDescent="0.25">
      <c r="H3735" t="s">
        <v>4152</v>
      </c>
    </row>
    <row r="3736" spans="8:8" x14ac:dyDescent="0.25">
      <c r="H3736" t="s">
        <v>4149</v>
      </c>
    </row>
    <row r="3737" spans="8:8" x14ac:dyDescent="0.25">
      <c r="H3737" t="s">
        <v>1624</v>
      </c>
    </row>
    <row r="3738" spans="8:8" x14ac:dyDescent="0.25">
      <c r="H3738" t="s">
        <v>4151</v>
      </c>
    </row>
    <row r="3739" spans="8:8" x14ac:dyDescent="0.25">
      <c r="H3739" t="s">
        <v>5168</v>
      </c>
    </row>
    <row r="3740" spans="8:8" x14ac:dyDescent="0.25">
      <c r="H3740" t="s">
        <v>4150</v>
      </c>
    </row>
    <row r="3741" spans="8:8" x14ac:dyDescent="0.25">
      <c r="H3741" t="s">
        <v>4285</v>
      </c>
    </row>
    <row r="3742" spans="8:8" x14ac:dyDescent="0.25">
      <c r="H3742" t="s">
        <v>4284</v>
      </c>
    </row>
    <row r="3743" spans="8:8" x14ac:dyDescent="0.25">
      <c r="H3743" t="s">
        <v>2883</v>
      </c>
    </row>
    <row r="3744" spans="8:8" x14ac:dyDescent="0.25">
      <c r="H3744" t="s">
        <v>5417</v>
      </c>
    </row>
    <row r="3745" spans="8:8" x14ac:dyDescent="0.25">
      <c r="H3745" t="s">
        <v>2020</v>
      </c>
    </row>
    <row r="3746" spans="8:8" x14ac:dyDescent="0.25">
      <c r="H3746" t="s">
        <v>459</v>
      </c>
    </row>
    <row r="3747" spans="8:8" x14ac:dyDescent="0.25">
      <c r="H3747" t="s">
        <v>2943</v>
      </c>
    </row>
    <row r="3748" spans="8:8" x14ac:dyDescent="0.25">
      <c r="H3748" t="s">
        <v>4158</v>
      </c>
    </row>
    <row r="3749" spans="8:8" x14ac:dyDescent="0.25">
      <c r="H3749" t="s">
        <v>2120</v>
      </c>
    </row>
    <row r="3750" spans="8:8" x14ac:dyDescent="0.25">
      <c r="H3750" t="s">
        <v>685</v>
      </c>
    </row>
    <row r="3751" spans="8:8" x14ac:dyDescent="0.25">
      <c r="H3751" t="s">
        <v>1432</v>
      </c>
    </row>
    <row r="3752" spans="8:8" x14ac:dyDescent="0.25">
      <c r="H3752" t="s">
        <v>593</v>
      </c>
    </row>
    <row r="3753" spans="8:8" x14ac:dyDescent="0.25">
      <c r="H3753" t="s">
        <v>4525</v>
      </c>
    </row>
    <row r="3754" spans="8:8" x14ac:dyDescent="0.25">
      <c r="H3754" t="s">
        <v>5191</v>
      </c>
    </row>
    <row r="3755" spans="8:8" x14ac:dyDescent="0.25">
      <c r="H3755" t="s">
        <v>5225</v>
      </c>
    </row>
    <row r="3756" spans="8:8" x14ac:dyDescent="0.25">
      <c r="H3756" t="s">
        <v>610</v>
      </c>
    </row>
    <row r="3757" spans="8:8" x14ac:dyDescent="0.25">
      <c r="H3757" t="s">
        <v>1126</v>
      </c>
    </row>
    <row r="3758" spans="8:8" x14ac:dyDescent="0.25">
      <c r="H3758" t="s">
        <v>2848</v>
      </c>
    </row>
    <row r="3759" spans="8:8" x14ac:dyDescent="0.25">
      <c r="H3759" t="s">
        <v>3424</v>
      </c>
    </row>
    <row r="3760" spans="8:8" x14ac:dyDescent="0.25">
      <c r="H3760" t="s">
        <v>1470</v>
      </c>
    </row>
    <row r="3761" spans="8:8" x14ac:dyDescent="0.25">
      <c r="H3761" t="s">
        <v>607</v>
      </c>
    </row>
    <row r="3762" spans="8:8" x14ac:dyDescent="0.25">
      <c r="H3762" t="s">
        <v>1772</v>
      </c>
    </row>
    <row r="3763" spans="8:8" x14ac:dyDescent="0.25">
      <c r="H3763" t="s">
        <v>4163</v>
      </c>
    </row>
    <row r="3764" spans="8:8" x14ac:dyDescent="0.25">
      <c r="H3764" t="s">
        <v>1031</v>
      </c>
    </row>
    <row r="3765" spans="8:8" x14ac:dyDescent="0.25">
      <c r="H3765" t="s">
        <v>4165</v>
      </c>
    </row>
    <row r="3766" spans="8:8" x14ac:dyDescent="0.25">
      <c r="H3766" t="s">
        <v>3911</v>
      </c>
    </row>
    <row r="3767" spans="8:8" x14ac:dyDescent="0.25">
      <c r="H3767" t="s">
        <v>5351</v>
      </c>
    </row>
    <row r="3768" spans="8:8" x14ac:dyDescent="0.25">
      <c r="H3768" t="s">
        <v>4369</v>
      </c>
    </row>
    <row r="3769" spans="8:8" x14ac:dyDescent="0.25">
      <c r="H3769" t="s">
        <v>5318</v>
      </c>
    </row>
    <row r="3770" spans="8:8" x14ac:dyDescent="0.25">
      <c r="H3770" t="s">
        <v>4235</v>
      </c>
    </row>
    <row r="3771" spans="8:8" x14ac:dyDescent="0.25">
      <c r="H3771" t="s">
        <v>2085</v>
      </c>
    </row>
    <row r="3772" spans="8:8" x14ac:dyDescent="0.25">
      <c r="H3772" t="s">
        <v>4866</v>
      </c>
    </row>
    <row r="3773" spans="8:8" x14ac:dyDescent="0.25">
      <c r="H3773" t="s">
        <v>882</v>
      </c>
    </row>
    <row r="3774" spans="8:8" x14ac:dyDescent="0.25">
      <c r="H3774" t="s">
        <v>930</v>
      </c>
    </row>
    <row r="3775" spans="8:8" x14ac:dyDescent="0.25">
      <c r="H3775" t="s">
        <v>4093</v>
      </c>
    </row>
    <row r="3776" spans="8:8" x14ac:dyDescent="0.25">
      <c r="H3776" t="s">
        <v>2805</v>
      </c>
    </row>
    <row r="3777" spans="8:8" x14ac:dyDescent="0.25">
      <c r="H3777" t="s">
        <v>1372</v>
      </c>
    </row>
    <row r="3778" spans="8:8" x14ac:dyDescent="0.25">
      <c r="H3778" t="s">
        <v>2666</v>
      </c>
    </row>
    <row r="3779" spans="8:8" x14ac:dyDescent="0.25">
      <c r="H3779" t="s">
        <v>3470</v>
      </c>
    </row>
    <row r="3780" spans="8:8" x14ac:dyDescent="0.25">
      <c r="H3780" t="s">
        <v>4543</v>
      </c>
    </row>
    <row r="3781" spans="8:8" x14ac:dyDescent="0.25">
      <c r="H3781" t="s">
        <v>599</v>
      </c>
    </row>
    <row r="3782" spans="8:8" x14ac:dyDescent="0.25">
      <c r="H3782" t="s">
        <v>4171</v>
      </c>
    </row>
    <row r="3783" spans="8:8" x14ac:dyDescent="0.25">
      <c r="H3783" t="s">
        <v>4080</v>
      </c>
    </row>
    <row r="3784" spans="8:8" x14ac:dyDescent="0.25">
      <c r="H3784" t="s">
        <v>4173</v>
      </c>
    </row>
    <row r="3785" spans="8:8" x14ac:dyDescent="0.25">
      <c r="H3785" t="s">
        <v>899</v>
      </c>
    </row>
    <row r="3786" spans="8:8" x14ac:dyDescent="0.25">
      <c r="H3786" t="s">
        <v>964</v>
      </c>
    </row>
    <row r="3787" spans="8:8" x14ac:dyDescent="0.25">
      <c r="H3787" t="s">
        <v>900</v>
      </c>
    </row>
    <row r="3788" spans="8:8" x14ac:dyDescent="0.25">
      <c r="H3788" t="s">
        <v>1572</v>
      </c>
    </row>
    <row r="3789" spans="8:8" x14ac:dyDescent="0.25">
      <c r="H3789" t="s">
        <v>3679</v>
      </c>
    </row>
    <row r="3790" spans="8:8" x14ac:dyDescent="0.25">
      <c r="H3790" t="s">
        <v>2648</v>
      </c>
    </row>
    <row r="3791" spans="8:8" x14ac:dyDescent="0.25">
      <c r="H3791" t="s">
        <v>1769</v>
      </c>
    </row>
    <row r="3792" spans="8:8" x14ac:dyDescent="0.25">
      <c r="H3792" t="s">
        <v>1770</v>
      </c>
    </row>
    <row r="3793" spans="8:8" x14ac:dyDescent="0.25">
      <c r="H3793" t="s">
        <v>5427</v>
      </c>
    </row>
    <row r="3794" spans="8:8" x14ac:dyDescent="0.25">
      <c r="H3794" t="s">
        <v>3440</v>
      </c>
    </row>
    <row r="3795" spans="8:8" x14ac:dyDescent="0.25">
      <c r="H3795" t="s">
        <v>3978</v>
      </c>
    </row>
    <row r="3796" spans="8:8" x14ac:dyDescent="0.25">
      <c r="H3796" t="s">
        <v>4182</v>
      </c>
    </row>
    <row r="3797" spans="8:8" x14ac:dyDescent="0.25">
      <c r="H3797" t="s">
        <v>4181</v>
      </c>
    </row>
    <row r="3798" spans="8:8" x14ac:dyDescent="0.25">
      <c r="H3798" t="s">
        <v>4183</v>
      </c>
    </row>
    <row r="3799" spans="8:8" x14ac:dyDescent="0.25">
      <c r="H3799" t="s">
        <v>1588</v>
      </c>
    </row>
    <row r="3800" spans="8:8" x14ac:dyDescent="0.25">
      <c r="H3800" t="s">
        <v>1589</v>
      </c>
    </row>
    <row r="3801" spans="8:8" x14ac:dyDescent="0.25">
      <c r="H3801" t="s">
        <v>5413</v>
      </c>
    </row>
    <row r="3802" spans="8:8" x14ac:dyDescent="0.25">
      <c r="H3802" t="s">
        <v>3001</v>
      </c>
    </row>
    <row r="3803" spans="8:8" x14ac:dyDescent="0.25">
      <c r="H3803" t="s">
        <v>4266</v>
      </c>
    </row>
    <row r="3804" spans="8:8" x14ac:dyDescent="0.25">
      <c r="H3804" t="s">
        <v>2007</v>
      </c>
    </row>
    <row r="3805" spans="8:8" x14ac:dyDescent="0.25">
      <c r="H3805" t="s">
        <v>1885</v>
      </c>
    </row>
    <row r="3806" spans="8:8" x14ac:dyDescent="0.25">
      <c r="H3806" t="s">
        <v>4712</v>
      </c>
    </row>
    <row r="3807" spans="8:8" x14ac:dyDescent="0.25">
      <c r="H3807" t="s">
        <v>2554</v>
      </c>
    </row>
    <row r="3808" spans="8:8" x14ac:dyDescent="0.25">
      <c r="H3808" t="s">
        <v>1163</v>
      </c>
    </row>
    <row r="3809" spans="8:8" x14ac:dyDescent="0.25">
      <c r="H3809" t="s">
        <v>474</v>
      </c>
    </row>
    <row r="3810" spans="8:8" x14ac:dyDescent="0.25">
      <c r="H3810" t="s">
        <v>468</v>
      </c>
    </row>
    <row r="3811" spans="8:8" x14ac:dyDescent="0.25">
      <c r="H3811" t="s">
        <v>2641</v>
      </c>
    </row>
    <row r="3812" spans="8:8" x14ac:dyDescent="0.25">
      <c r="H3812" t="s">
        <v>3369</v>
      </c>
    </row>
    <row r="3813" spans="8:8" x14ac:dyDescent="0.25">
      <c r="H3813" t="s">
        <v>2238</v>
      </c>
    </row>
    <row r="3814" spans="8:8" x14ac:dyDescent="0.25">
      <c r="H3814" t="s">
        <v>1036</v>
      </c>
    </row>
    <row r="3815" spans="8:8" x14ac:dyDescent="0.25">
      <c r="H3815" t="s">
        <v>1334</v>
      </c>
    </row>
    <row r="3816" spans="8:8" x14ac:dyDescent="0.25">
      <c r="H3816" t="s">
        <v>3507</v>
      </c>
    </row>
    <row r="3817" spans="8:8" x14ac:dyDescent="0.25">
      <c r="H3817" t="s">
        <v>3507</v>
      </c>
    </row>
    <row r="3818" spans="8:8" x14ac:dyDescent="0.25">
      <c r="H3818" t="s">
        <v>2990</v>
      </c>
    </row>
    <row r="3819" spans="8:8" x14ac:dyDescent="0.25">
      <c r="H3819" t="s">
        <v>2006</v>
      </c>
    </row>
    <row r="3820" spans="8:8" x14ac:dyDescent="0.25">
      <c r="H3820" t="s">
        <v>4193</v>
      </c>
    </row>
    <row r="3821" spans="8:8" x14ac:dyDescent="0.25">
      <c r="H3821" t="s">
        <v>4177</v>
      </c>
    </row>
    <row r="3822" spans="8:8" x14ac:dyDescent="0.25">
      <c r="H3822" t="s">
        <v>748</v>
      </c>
    </row>
    <row r="3823" spans="8:8" x14ac:dyDescent="0.25">
      <c r="H3823" t="s">
        <v>1810</v>
      </c>
    </row>
    <row r="3824" spans="8:8" x14ac:dyDescent="0.25">
      <c r="H3824" t="s">
        <v>4194</v>
      </c>
    </row>
    <row r="3825" spans="8:8" x14ac:dyDescent="0.25">
      <c r="H3825" t="s">
        <v>1729</v>
      </c>
    </row>
    <row r="3826" spans="8:8" x14ac:dyDescent="0.25">
      <c r="H3826" t="s">
        <v>1088</v>
      </c>
    </row>
    <row r="3827" spans="8:8" x14ac:dyDescent="0.25">
      <c r="H3827" t="s">
        <v>1088</v>
      </c>
    </row>
    <row r="3828" spans="8:8" x14ac:dyDescent="0.25">
      <c r="H3828" t="s">
        <v>723</v>
      </c>
    </row>
    <row r="3829" spans="8:8" x14ac:dyDescent="0.25">
      <c r="H3829" t="s">
        <v>4124</v>
      </c>
    </row>
    <row r="3830" spans="8:8" x14ac:dyDescent="0.25">
      <c r="H3830" t="s">
        <v>2389</v>
      </c>
    </row>
    <row r="3831" spans="8:8" x14ac:dyDescent="0.25">
      <c r="H3831" t="s">
        <v>4205</v>
      </c>
    </row>
    <row r="3832" spans="8:8" x14ac:dyDescent="0.25">
      <c r="H3832" t="s">
        <v>4187</v>
      </c>
    </row>
    <row r="3833" spans="8:8" x14ac:dyDescent="0.25">
      <c r="H3833" t="s">
        <v>1347</v>
      </c>
    </row>
    <row r="3834" spans="8:8" x14ac:dyDescent="0.25">
      <c r="H3834" t="s">
        <v>1348</v>
      </c>
    </row>
    <row r="3835" spans="8:8" x14ac:dyDescent="0.25">
      <c r="H3835" t="s">
        <v>1349</v>
      </c>
    </row>
    <row r="3836" spans="8:8" x14ac:dyDescent="0.25">
      <c r="H3836" t="s">
        <v>4577</v>
      </c>
    </row>
    <row r="3837" spans="8:8" x14ac:dyDescent="0.25">
      <c r="H3837" t="s">
        <v>4736</v>
      </c>
    </row>
    <row r="3838" spans="8:8" x14ac:dyDescent="0.25">
      <c r="H3838" t="s">
        <v>4206</v>
      </c>
    </row>
    <row r="3839" spans="8:8" x14ac:dyDescent="0.25">
      <c r="H3839" t="s">
        <v>4207</v>
      </c>
    </row>
    <row r="3840" spans="8:8" x14ac:dyDescent="0.25">
      <c r="H3840" t="s">
        <v>5062</v>
      </c>
    </row>
    <row r="3841" spans="8:8" x14ac:dyDescent="0.25">
      <c r="H3841" t="s">
        <v>1299</v>
      </c>
    </row>
    <row r="3842" spans="8:8" x14ac:dyDescent="0.25">
      <c r="H3842" t="s">
        <v>1252</v>
      </c>
    </row>
    <row r="3843" spans="8:8" x14ac:dyDescent="0.25">
      <c r="H3843" t="s">
        <v>4529</v>
      </c>
    </row>
    <row r="3844" spans="8:8" x14ac:dyDescent="0.25">
      <c r="H3844" t="s">
        <v>5464</v>
      </c>
    </row>
    <row r="3845" spans="8:8" x14ac:dyDescent="0.25">
      <c r="H3845" t="s">
        <v>5008</v>
      </c>
    </row>
    <row r="3846" spans="8:8" x14ac:dyDescent="0.25">
      <c r="H3846" t="s">
        <v>754</v>
      </c>
    </row>
    <row r="3847" spans="8:8" x14ac:dyDescent="0.25">
      <c r="H3847" t="s">
        <v>3381</v>
      </c>
    </row>
    <row r="3848" spans="8:8" x14ac:dyDescent="0.25">
      <c r="H3848" t="s">
        <v>2874</v>
      </c>
    </row>
    <row r="3849" spans="8:8" x14ac:dyDescent="0.25">
      <c r="H3849" t="s">
        <v>4574</v>
      </c>
    </row>
    <row r="3850" spans="8:8" x14ac:dyDescent="0.25">
      <c r="H3850" t="s">
        <v>5045</v>
      </c>
    </row>
    <row r="3851" spans="8:8" x14ac:dyDescent="0.25">
      <c r="H3851" t="s">
        <v>4401</v>
      </c>
    </row>
    <row r="3852" spans="8:8" x14ac:dyDescent="0.25">
      <c r="H3852" t="s">
        <v>1379</v>
      </c>
    </row>
    <row r="3853" spans="8:8" x14ac:dyDescent="0.25">
      <c r="H3853" t="s">
        <v>1385</v>
      </c>
    </row>
    <row r="3854" spans="8:8" x14ac:dyDescent="0.25">
      <c r="H3854" t="s">
        <v>2367</v>
      </c>
    </row>
    <row r="3855" spans="8:8" x14ac:dyDescent="0.25">
      <c r="H3855" t="s">
        <v>883</v>
      </c>
    </row>
    <row r="3856" spans="8:8" x14ac:dyDescent="0.25">
      <c r="H3856" t="s">
        <v>3313</v>
      </c>
    </row>
    <row r="3857" spans="8:8" x14ac:dyDescent="0.25">
      <c r="H3857" t="s">
        <v>4176</v>
      </c>
    </row>
    <row r="3858" spans="8:8" x14ac:dyDescent="0.25">
      <c r="H3858" t="s">
        <v>890</v>
      </c>
    </row>
    <row r="3859" spans="8:8" x14ac:dyDescent="0.25">
      <c r="H3859" t="s">
        <v>1516</v>
      </c>
    </row>
    <row r="3860" spans="8:8" x14ac:dyDescent="0.25">
      <c r="H3860" t="s">
        <v>4908</v>
      </c>
    </row>
    <row r="3861" spans="8:8" x14ac:dyDescent="0.25">
      <c r="H3861" t="s">
        <v>5153</v>
      </c>
    </row>
    <row r="3862" spans="8:8" x14ac:dyDescent="0.25">
      <c r="H3862" t="s">
        <v>5488</v>
      </c>
    </row>
    <row r="3863" spans="8:8" x14ac:dyDescent="0.25">
      <c r="H3863" t="s">
        <v>1908</v>
      </c>
    </row>
    <row r="3864" spans="8:8" x14ac:dyDescent="0.25">
      <c r="H3864" t="s">
        <v>4230</v>
      </c>
    </row>
    <row r="3865" spans="8:8" x14ac:dyDescent="0.25">
      <c r="H3865" t="s">
        <v>4425</v>
      </c>
    </row>
    <row r="3866" spans="8:8" x14ac:dyDescent="0.25">
      <c r="H3866" t="s">
        <v>4788</v>
      </c>
    </row>
    <row r="3867" spans="8:8" x14ac:dyDescent="0.25">
      <c r="H3867" t="s">
        <v>2275</v>
      </c>
    </row>
    <row r="3868" spans="8:8" x14ac:dyDescent="0.25">
      <c r="H3868" t="s">
        <v>2767</v>
      </c>
    </row>
    <row r="3869" spans="8:8" x14ac:dyDescent="0.25">
      <c r="H3869" t="s">
        <v>2769</v>
      </c>
    </row>
    <row r="3870" spans="8:8" x14ac:dyDescent="0.25">
      <c r="H3870" t="s">
        <v>3056</v>
      </c>
    </row>
    <row r="3871" spans="8:8" x14ac:dyDescent="0.25">
      <c r="H3871" t="s">
        <v>1493</v>
      </c>
    </row>
    <row r="3872" spans="8:8" x14ac:dyDescent="0.25">
      <c r="H3872" t="s">
        <v>4013</v>
      </c>
    </row>
    <row r="3873" spans="8:8" x14ac:dyDescent="0.25">
      <c r="H3873" t="s">
        <v>4009</v>
      </c>
    </row>
    <row r="3874" spans="8:8" x14ac:dyDescent="0.25">
      <c r="H3874" t="s">
        <v>4737</v>
      </c>
    </row>
    <row r="3875" spans="8:8" x14ac:dyDescent="0.25">
      <c r="H3875" t="s">
        <v>1416</v>
      </c>
    </row>
    <row r="3876" spans="8:8" x14ac:dyDescent="0.25">
      <c r="H3876" t="s">
        <v>1992</v>
      </c>
    </row>
    <row r="3877" spans="8:8" x14ac:dyDescent="0.25">
      <c r="H3877" t="s">
        <v>2629</v>
      </c>
    </row>
    <row r="3878" spans="8:8" x14ac:dyDescent="0.25">
      <c r="H3878" t="s">
        <v>3132</v>
      </c>
    </row>
    <row r="3879" spans="8:8" x14ac:dyDescent="0.25">
      <c r="H3879" t="s">
        <v>5158</v>
      </c>
    </row>
    <row r="3880" spans="8:8" x14ac:dyDescent="0.25">
      <c r="H3880" t="s">
        <v>4992</v>
      </c>
    </row>
    <row r="3881" spans="8:8" x14ac:dyDescent="0.25">
      <c r="H3881" t="s">
        <v>3416</v>
      </c>
    </row>
    <row r="3882" spans="8:8" x14ac:dyDescent="0.25">
      <c r="H3882" t="s">
        <v>2276</v>
      </c>
    </row>
    <row r="3883" spans="8:8" x14ac:dyDescent="0.25">
      <c r="H3883" t="s">
        <v>2197</v>
      </c>
    </row>
    <row r="3884" spans="8:8" x14ac:dyDescent="0.25">
      <c r="H3884" t="s">
        <v>2658</v>
      </c>
    </row>
    <row r="3885" spans="8:8" x14ac:dyDescent="0.25">
      <c r="H3885" t="s">
        <v>3057</v>
      </c>
    </row>
    <row r="3886" spans="8:8" x14ac:dyDescent="0.25">
      <c r="H3886" t="s">
        <v>472</v>
      </c>
    </row>
    <row r="3887" spans="8:8" x14ac:dyDescent="0.25">
      <c r="H3887" t="s">
        <v>472</v>
      </c>
    </row>
    <row r="3888" spans="8:8" x14ac:dyDescent="0.25">
      <c r="H3888" t="s">
        <v>4219</v>
      </c>
    </row>
    <row r="3889" spans="8:8" x14ac:dyDescent="0.25">
      <c r="H3889" t="s">
        <v>4214</v>
      </c>
    </row>
    <row r="3890" spans="8:8" x14ac:dyDescent="0.25">
      <c r="H3890" t="s">
        <v>1997</v>
      </c>
    </row>
    <row r="3891" spans="8:8" x14ac:dyDescent="0.25">
      <c r="H3891" t="s">
        <v>1272</v>
      </c>
    </row>
    <row r="3892" spans="8:8" x14ac:dyDescent="0.25">
      <c r="H3892" t="s">
        <v>2081</v>
      </c>
    </row>
    <row r="3893" spans="8:8" x14ac:dyDescent="0.25">
      <c r="H3893" t="s">
        <v>2634</v>
      </c>
    </row>
    <row r="3894" spans="8:8" x14ac:dyDescent="0.25">
      <c r="H3894" t="s">
        <v>1300</v>
      </c>
    </row>
    <row r="3895" spans="8:8" x14ac:dyDescent="0.25">
      <c r="H3895" t="s">
        <v>3139</v>
      </c>
    </row>
    <row r="3896" spans="8:8" x14ac:dyDescent="0.25">
      <c r="H3896" t="s">
        <v>1821</v>
      </c>
    </row>
    <row r="3897" spans="8:8" x14ac:dyDescent="0.25">
      <c r="H3897" t="s">
        <v>3303</v>
      </c>
    </row>
    <row r="3898" spans="8:8" x14ac:dyDescent="0.25">
      <c r="H3898" t="s">
        <v>965</v>
      </c>
    </row>
    <row r="3899" spans="8:8" x14ac:dyDescent="0.25">
      <c r="H3899" t="s">
        <v>2923</v>
      </c>
    </row>
    <row r="3900" spans="8:8" x14ac:dyDescent="0.25">
      <c r="H3900" t="s">
        <v>458</v>
      </c>
    </row>
    <row r="3901" spans="8:8" x14ac:dyDescent="0.25">
      <c r="H3901" t="s">
        <v>1925</v>
      </c>
    </row>
    <row r="3902" spans="8:8" x14ac:dyDescent="0.25">
      <c r="H3902" t="s">
        <v>1514</v>
      </c>
    </row>
    <row r="3903" spans="8:8" x14ac:dyDescent="0.25">
      <c r="H3903" t="s">
        <v>5497</v>
      </c>
    </row>
    <row r="3904" spans="8:8" x14ac:dyDescent="0.25">
      <c r="H3904" t="s">
        <v>2659</v>
      </c>
    </row>
    <row r="3905" spans="8:8" x14ac:dyDescent="0.25">
      <c r="H3905" t="s">
        <v>3059</v>
      </c>
    </row>
    <row r="3906" spans="8:8" x14ac:dyDescent="0.25">
      <c r="H3906" t="s">
        <v>966</v>
      </c>
    </row>
    <row r="3907" spans="8:8" x14ac:dyDescent="0.25">
      <c r="H3907" t="s">
        <v>738</v>
      </c>
    </row>
    <row r="3908" spans="8:8" x14ac:dyDescent="0.25">
      <c r="H3908" t="s">
        <v>1497</v>
      </c>
    </row>
    <row r="3909" spans="8:8" x14ac:dyDescent="0.25">
      <c r="H3909" t="s">
        <v>1881</v>
      </c>
    </row>
    <row r="3910" spans="8:8" x14ac:dyDescent="0.25">
      <c r="H3910" t="s">
        <v>3501</v>
      </c>
    </row>
    <row r="3911" spans="8:8" x14ac:dyDescent="0.25">
      <c r="H3911" t="s">
        <v>1301</v>
      </c>
    </row>
    <row r="3912" spans="8:8" x14ac:dyDescent="0.25">
      <c r="H3912" t="s">
        <v>2824</v>
      </c>
    </row>
    <row r="3913" spans="8:8" x14ac:dyDescent="0.25">
      <c r="H3913" t="s">
        <v>1294</v>
      </c>
    </row>
    <row r="3914" spans="8:8" x14ac:dyDescent="0.25">
      <c r="H3914" t="s">
        <v>3995</v>
      </c>
    </row>
    <row r="3915" spans="8:8" x14ac:dyDescent="0.25">
      <c r="H3915" t="s">
        <v>4052</v>
      </c>
    </row>
    <row r="3916" spans="8:8" x14ac:dyDescent="0.25">
      <c r="H3916" t="s">
        <v>2372</v>
      </c>
    </row>
    <row r="3917" spans="8:8" x14ac:dyDescent="0.25">
      <c r="H3917" t="s">
        <v>1296</v>
      </c>
    </row>
    <row r="3918" spans="8:8" x14ac:dyDescent="0.25">
      <c r="H3918" t="s">
        <v>4629</v>
      </c>
    </row>
    <row r="3919" spans="8:8" x14ac:dyDescent="0.25">
      <c r="H3919" t="s">
        <v>5092</v>
      </c>
    </row>
    <row r="3920" spans="8:8" x14ac:dyDescent="0.25">
      <c r="H3920" t="s">
        <v>1395</v>
      </c>
    </row>
    <row r="3921" spans="8:8" x14ac:dyDescent="0.25">
      <c r="H3921" t="s">
        <v>2479</v>
      </c>
    </row>
    <row r="3922" spans="8:8" x14ac:dyDescent="0.25">
      <c r="H3922" t="s">
        <v>3567</v>
      </c>
    </row>
    <row r="3923" spans="8:8" x14ac:dyDescent="0.25">
      <c r="H3923" t="s">
        <v>3133</v>
      </c>
    </row>
    <row r="3924" spans="8:8" x14ac:dyDescent="0.25">
      <c r="H3924" t="s">
        <v>2924</v>
      </c>
    </row>
    <row r="3925" spans="8:8" x14ac:dyDescent="0.25">
      <c r="H3925" t="s">
        <v>488</v>
      </c>
    </row>
    <row r="3926" spans="8:8" x14ac:dyDescent="0.25">
      <c r="H3926" t="s">
        <v>1325</v>
      </c>
    </row>
    <row r="3927" spans="8:8" x14ac:dyDescent="0.25">
      <c r="H3927" t="s">
        <v>1414</v>
      </c>
    </row>
    <row r="3928" spans="8:8" x14ac:dyDescent="0.25">
      <c r="H3928" t="s">
        <v>1382</v>
      </c>
    </row>
    <row r="3929" spans="8:8" x14ac:dyDescent="0.25">
      <c r="H3929" t="s">
        <v>4789</v>
      </c>
    </row>
    <row r="3930" spans="8:8" x14ac:dyDescent="0.25">
      <c r="H3930" t="s">
        <v>4225</v>
      </c>
    </row>
    <row r="3931" spans="8:8" x14ac:dyDescent="0.25">
      <c r="H3931" t="s">
        <v>4226</v>
      </c>
    </row>
    <row r="3932" spans="8:8" x14ac:dyDescent="0.25">
      <c r="H3932" t="s">
        <v>5205</v>
      </c>
    </row>
    <row r="3933" spans="8:8" x14ac:dyDescent="0.25">
      <c r="H3933" t="s">
        <v>4920</v>
      </c>
    </row>
    <row r="3934" spans="8:8" x14ac:dyDescent="0.25">
      <c r="H3934" t="s">
        <v>2910</v>
      </c>
    </row>
    <row r="3935" spans="8:8" x14ac:dyDescent="0.25">
      <c r="H3935" t="s">
        <v>4624</v>
      </c>
    </row>
    <row r="3936" spans="8:8" x14ac:dyDescent="0.25">
      <c r="H3936" t="s">
        <v>4850</v>
      </c>
    </row>
    <row r="3937" spans="8:8" x14ac:dyDescent="0.25">
      <c r="H3937" t="s">
        <v>3474</v>
      </c>
    </row>
    <row r="3938" spans="8:8" x14ac:dyDescent="0.25">
      <c r="H3938" t="s">
        <v>3681</v>
      </c>
    </row>
    <row r="3939" spans="8:8" x14ac:dyDescent="0.25">
      <c r="H3939" t="s">
        <v>5100</v>
      </c>
    </row>
    <row r="3940" spans="8:8" x14ac:dyDescent="0.25">
      <c r="H3940" t="s">
        <v>2291</v>
      </c>
    </row>
    <row r="3941" spans="8:8" x14ac:dyDescent="0.25">
      <c r="H3941" t="s">
        <v>1867</v>
      </c>
    </row>
    <row r="3942" spans="8:8" x14ac:dyDescent="0.25">
      <c r="H3942" t="s">
        <v>2390</v>
      </c>
    </row>
    <row r="3943" spans="8:8" x14ac:dyDescent="0.25">
      <c r="H3943" t="s">
        <v>2932</v>
      </c>
    </row>
    <row r="3944" spans="8:8" x14ac:dyDescent="0.25">
      <c r="H3944" t="s">
        <v>3645</v>
      </c>
    </row>
    <row r="3945" spans="8:8" x14ac:dyDescent="0.25">
      <c r="H3945" t="s">
        <v>1576</v>
      </c>
    </row>
    <row r="3946" spans="8:8" x14ac:dyDescent="0.25">
      <c r="H3946" t="s">
        <v>1577</v>
      </c>
    </row>
    <row r="3947" spans="8:8" x14ac:dyDescent="0.25">
      <c r="H3947" t="s">
        <v>1636</v>
      </c>
    </row>
    <row r="3948" spans="8:8" x14ac:dyDescent="0.25">
      <c r="H3948" t="s">
        <v>4229</v>
      </c>
    </row>
    <row r="3949" spans="8:8" x14ac:dyDescent="0.25">
      <c r="H3949" t="s">
        <v>2052</v>
      </c>
    </row>
    <row r="3950" spans="8:8" x14ac:dyDescent="0.25">
      <c r="H3950" t="s">
        <v>866</v>
      </c>
    </row>
    <row r="3951" spans="8:8" x14ac:dyDescent="0.25">
      <c r="H3951" t="s">
        <v>4433</v>
      </c>
    </row>
    <row r="3952" spans="8:8" x14ac:dyDescent="0.25">
      <c r="H3952" t="s">
        <v>813</v>
      </c>
    </row>
    <row r="3953" spans="8:8" x14ac:dyDescent="0.25">
      <c r="H3953" t="s">
        <v>4028</v>
      </c>
    </row>
    <row r="3954" spans="8:8" x14ac:dyDescent="0.25">
      <c r="H3954" t="s">
        <v>2472</v>
      </c>
    </row>
    <row r="3955" spans="8:8" x14ac:dyDescent="0.25">
      <c r="H3955" t="s">
        <v>482</v>
      </c>
    </row>
    <row r="3956" spans="8:8" x14ac:dyDescent="0.25">
      <c r="H3956" t="s">
        <v>4828</v>
      </c>
    </row>
    <row r="3957" spans="8:8" x14ac:dyDescent="0.25">
      <c r="H3957" t="s">
        <v>496</v>
      </c>
    </row>
    <row r="3958" spans="8:8" x14ac:dyDescent="0.25">
      <c r="H3958" t="s">
        <v>3900</v>
      </c>
    </row>
    <row r="3959" spans="8:8" x14ac:dyDescent="0.25">
      <c r="H3959" t="s">
        <v>3866</v>
      </c>
    </row>
    <row r="3960" spans="8:8" x14ac:dyDescent="0.25">
      <c r="H3960" t="s">
        <v>1314</v>
      </c>
    </row>
    <row r="3961" spans="8:8" x14ac:dyDescent="0.25">
      <c r="H3961" t="s">
        <v>1290</v>
      </c>
    </row>
    <row r="3962" spans="8:8" x14ac:dyDescent="0.25">
      <c r="H3962" t="s">
        <v>967</v>
      </c>
    </row>
    <row r="3963" spans="8:8" x14ac:dyDescent="0.25">
      <c r="H3963" t="s">
        <v>4010</v>
      </c>
    </row>
    <row r="3964" spans="8:8" x14ac:dyDescent="0.25">
      <c r="H3964" t="s">
        <v>4236</v>
      </c>
    </row>
    <row r="3965" spans="8:8" x14ac:dyDescent="0.25">
      <c r="H3965" t="s">
        <v>1504</v>
      </c>
    </row>
    <row r="3966" spans="8:8" x14ac:dyDescent="0.25">
      <c r="H3966" t="s">
        <v>3734</v>
      </c>
    </row>
    <row r="3967" spans="8:8" x14ac:dyDescent="0.25">
      <c r="H3967" t="s">
        <v>2557</v>
      </c>
    </row>
    <row r="3968" spans="8:8" x14ac:dyDescent="0.25">
      <c r="H3968" t="s">
        <v>1164</v>
      </c>
    </row>
    <row r="3969" spans="8:8" x14ac:dyDescent="0.25">
      <c r="H3969" t="s">
        <v>4241</v>
      </c>
    </row>
    <row r="3970" spans="8:8" x14ac:dyDescent="0.25">
      <c r="H3970" t="s">
        <v>5308</v>
      </c>
    </row>
    <row r="3971" spans="8:8" x14ac:dyDescent="0.25">
      <c r="H3971" t="s">
        <v>480</v>
      </c>
    </row>
    <row r="3972" spans="8:8" x14ac:dyDescent="0.25">
      <c r="H3972" t="s">
        <v>5473</v>
      </c>
    </row>
    <row r="3973" spans="8:8" x14ac:dyDescent="0.25">
      <c r="H3973" t="s">
        <v>639</v>
      </c>
    </row>
    <row r="3974" spans="8:8" x14ac:dyDescent="0.25">
      <c r="H3974" t="s">
        <v>555</v>
      </c>
    </row>
    <row r="3975" spans="8:8" x14ac:dyDescent="0.25">
      <c r="H3975" t="s">
        <v>3682</v>
      </c>
    </row>
    <row r="3976" spans="8:8" x14ac:dyDescent="0.25">
      <c r="H3976" t="s">
        <v>4233</v>
      </c>
    </row>
    <row r="3977" spans="8:8" x14ac:dyDescent="0.25">
      <c r="H3977" t="s">
        <v>2868</v>
      </c>
    </row>
    <row r="3978" spans="8:8" x14ac:dyDescent="0.25">
      <c r="H3978" t="s">
        <v>5414</v>
      </c>
    </row>
    <row r="3979" spans="8:8" x14ac:dyDescent="0.25">
      <c r="H3979" t="s">
        <v>4598</v>
      </c>
    </row>
    <row r="3980" spans="8:8" x14ac:dyDescent="0.25">
      <c r="H3980" t="s">
        <v>2392</v>
      </c>
    </row>
    <row r="3981" spans="8:8" x14ac:dyDescent="0.25">
      <c r="H3981" t="s">
        <v>2335</v>
      </c>
    </row>
    <row r="3982" spans="8:8" x14ac:dyDescent="0.25">
      <c r="H3982" t="s">
        <v>2875</v>
      </c>
    </row>
    <row r="3983" spans="8:8" x14ac:dyDescent="0.25">
      <c r="H3983" t="s">
        <v>1029</v>
      </c>
    </row>
    <row r="3984" spans="8:8" x14ac:dyDescent="0.25">
      <c r="H3984" t="s">
        <v>4630</v>
      </c>
    </row>
    <row r="3985" spans="8:8" x14ac:dyDescent="0.25">
      <c r="H3985" t="s">
        <v>623</v>
      </c>
    </row>
    <row r="3986" spans="8:8" x14ac:dyDescent="0.25">
      <c r="H3986" t="s">
        <v>623</v>
      </c>
    </row>
    <row r="3987" spans="8:8" x14ac:dyDescent="0.25">
      <c r="H3987" t="s">
        <v>1057</v>
      </c>
    </row>
    <row r="3988" spans="8:8" x14ac:dyDescent="0.25">
      <c r="H3988" t="s">
        <v>1785</v>
      </c>
    </row>
    <row r="3989" spans="8:8" x14ac:dyDescent="0.25">
      <c r="H3989" t="s">
        <v>1846</v>
      </c>
    </row>
    <row r="3990" spans="8:8" x14ac:dyDescent="0.25">
      <c r="H3990" t="s">
        <v>1897</v>
      </c>
    </row>
    <row r="3991" spans="8:8" x14ac:dyDescent="0.25">
      <c r="H3991" t="s">
        <v>467</v>
      </c>
    </row>
    <row r="3992" spans="8:8" x14ac:dyDescent="0.25">
      <c r="H3992" t="s">
        <v>4243</v>
      </c>
    </row>
    <row r="3993" spans="8:8" x14ac:dyDescent="0.25">
      <c r="H3993" t="s">
        <v>4344</v>
      </c>
    </row>
    <row r="3994" spans="8:8" x14ac:dyDescent="0.25">
      <c r="H3994" t="s">
        <v>1030</v>
      </c>
    </row>
    <row r="3995" spans="8:8" x14ac:dyDescent="0.25">
      <c r="H3995" t="s">
        <v>4242</v>
      </c>
    </row>
    <row r="3996" spans="8:8" x14ac:dyDescent="0.25">
      <c r="H3996" t="s">
        <v>4056</v>
      </c>
    </row>
    <row r="3997" spans="8:8" x14ac:dyDescent="0.25">
      <c r="H3997" t="s">
        <v>2829</v>
      </c>
    </row>
    <row r="3998" spans="8:8" x14ac:dyDescent="0.25">
      <c r="H3998" t="s">
        <v>556</v>
      </c>
    </row>
    <row r="3999" spans="8:8" x14ac:dyDescent="0.25">
      <c r="H3999" t="s">
        <v>3228</v>
      </c>
    </row>
    <row r="4000" spans="8:8" x14ac:dyDescent="0.25">
      <c r="H4000" t="s">
        <v>1525</v>
      </c>
    </row>
    <row r="4001" spans="8:8" x14ac:dyDescent="0.25">
      <c r="H4001" t="s">
        <v>557</v>
      </c>
    </row>
    <row r="4002" spans="8:8" x14ac:dyDescent="0.25">
      <c r="H4002" t="s">
        <v>3251</v>
      </c>
    </row>
    <row r="4003" spans="8:8" x14ac:dyDescent="0.25">
      <c r="H4003" t="s">
        <v>3251</v>
      </c>
    </row>
    <row r="4004" spans="8:8" x14ac:dyDescent="0.25">
      <c r="H4004" t="s">
        <v>1264</v>
      </c>
    </row>
    <row r="4005" spans="8:8" x14ac:dyDescent="0.25">
      <c r="H4005" t="s">
        <v>4245</v>
      </c>
    </row>
    <row r="4006" spans="8:8" x14ac:dyDescent="0.25">
      <c r="H4006" t="s">
        <v>44</v>
      </c>
    </row>
    <row r="4007" spans="8:8" x14ac:dyDescent="0.25">
      <c r="H4007" t="s">
        <v>2776</v>
      </c>
    </row>
    <row r="4008" spans="8:8" x14ac:dyDescent="0.25">
      <c r="H4008" t="s">
        <v>4246</v>
      </c>
    </row>
    <row r="4009" spans="8:8" x14ac:dyDescent="0.25">
      <c r="H4009" t="s">
        <v>4247</v>
      </c>
    </row>
    <row r="4010" spans="8:8" x14ac:dyDescent="0.25">
      <c r="H4010" t="s">
        <v>4251</v>
      </c>
    </row>
    <row r="4011" spans="8:8" x14ac:dyDescent="0.25">
      <c r="H4011" t="s">
        <v>2401</v>
      </c>
    </row>
    <row r="4012" spans="8:8" x14ac:dyDescent="0.25">
      <c r="H4012" t="s">
        <v>704</v>
      </c>
    </row>
    <row r="4013" spans="8:8" x14ac:dyDescent="0.25">
      <c r="H4013" t="s">
        <v>3819</v>
      </c>
    </row>
    <row r="4014" spans="8:8" x14ac:dyDescent="0.25">
      <c r="H4014" t="s">
        <v>672</v>
      </c>
    </row>
    <row r="4015" spans="8:8" x14ac:dyDescent="0.25">
      <c r="H4015" t="s">
        <v>1145</v>
      </c>
    </row>
    <row r="4016" spans="8:8" x14ac:dyDescent="0.25">
      <c r="H4016" t="s">
        <v>1193</v>
      </c>
    </row>
    <row r="4017" spans="8:8" x14ac:dyDescent="0.25">
      <c r="H4017" t="s">
        <v>2585</v>
      </c>
    </row>
    <row r="4018" spans="8:8" x14ac:dyDescent="0.25">
      <c r="H4018" t="s">
        <v>5399</v>
      </c>
    </row>
    <row r="4019" spans="8:8" x14ac:dyDescent="0.25">
      <c r="H4019" t="s">
        <v>2827</v>
      </c>
    </row>
    <row r="4020" spans="8:8" x14ac:dyDescent="0.25">
      <c r="H4020" t="s">
        <v>5458</v>
      </c>
    </row>
    <row r="4021" spans="8:8" x14ac:dyDescent="0.25">
      <c r="H4021" t="s">
        <v>4140</v>
      </c>
    </row>
    <row r="4022" spans="8:8" x14ac:dyDescent="0.25">
      <c r="H4022" t="s">
        <v>5444</v>
      </c>
    </row>
    <row r="4023" spans="8:8" x14ac:dyDescent="0.25">
      <c r="H4023" t="s">
        <v>569</v>
      </c>
    </row>
    <row r="4024" spans="8:8" x14ac:dyDescent="0.25">
      <c r="H4024" t="s">
        <v>3336</v>
      </c>
    </row>
    <row r="4025" spans="8:8" x14ac:dyDescent="0.25">
      <c r="H4025" t="s">
        <v>4290</v>
      </c>
    </row>
    <row r="4026" spans="8:8" x14ac:dyDescent="0.25">
      <c r="H4026" t="s">
        <v>941</v>
      </c>
    </row>
    <row r="4027" spans="8:8" x14ac:dyDescent="0.25">
      <c r="H4027" t="s">
        <v>4292</v>
      </c>
    </row>
    <row r="4028" spans="8:8" x14ac:dyDescent="0.25">
      <c r="H4028" t="s">
        <v>979</v>
      </c>
    </row>
    <row r="4029" spans="8:8" x14ac:dyDescent="0.25">
      <c r="H4029" t="s">
        <v>2255</v>
      </c>
    </row>
    <row r="4030" spans="8:8" x14ac:dyDescent="0.25">
      <c r="H4030" t="s">
        <v>5421</v>
      </c>
    </row>
    <row r="4031" spans="8:8" x14ac:dyDescent="0.25">
      <c r="H4031" t="s">
        <v>2402</v>
      </c>
    </row>
    <row r="4032" spans="8:8" x14ac:dyDescent="0.25">
      <c r="H4032" t="s">
        <v>4296</v>
      </c>
    </row>
    <row r="4033" spans="8:8" x14ac:dyDescent="0.25">
      <c r="H4033" t="s">
        <v>2630</v>
      </c>
    </row>
    <row r="4034" spans="8:8" x14ac:dyDescent="0.25">
      <c r="H4034" t="s">
        <v>1235</v>
      </c>
    </row>
    <row r="4035" spans="8:8" x14ac:dyDescent="0.25">
      <c r="H4035" t="s">
        <v>5377</v>
      </c>
    </row>
    <row r="4036" spans="8:8" x14ac:dyDescent="0.25">
      <c r="H4036" t="s">
        <v>4790</v>
      </c>
    </row>
    <row r="4037" spans="8:8" x14ac:dyDescent="0.25">
      <c r="H4037" t="s">
        <v>4439</v>
      </c>
    </row>
    <row r="4038" spans="8:8" x14ac:dyDescent="0.25">
      <c r="H4038" t="s">
        <v>4513</v>
      </c>
    </row>
    <row r="4039" spans="8:8" x14ac:dyDescent="0.25">
      <c r="H4039" t="s">
        <v>4300</v>
      </c>
    </row>
    <row r="4040" spans="8:8" x14ac:dyDescent="0.25">
      <c r="H4040" t="s">
        <v>4311</v>
      </c>
    </row>
    <row r="4041" spans="8:8" x14ac:dyDescent="0.25">
      <c r="H4041" t="s">
        <v>4323</v>
      </c>
    </row>
    <row r="4042" spans="8:8" x14ac:dyDescent="0.25">
      <c r="H4042" t="s">
        <v>3670</v>
      </c>
    </row>
    <row r="4043" spans="8:8" x14ac:dyDescent="0.25">
      <c r="H4043" t="s">
        <v>999</v>
      </c>
    </row>
    <row r="4044" spans="8:8" x14ac:dyDescent="0.25">
      <c r="H4044" t="s">
        <v>4324</v>
      </c>
    </row>
    <row r="4045" spans="8:8" x14ac:dyDescent="0.25">
      <c r="H4045" t="s">
        <v>4308</v>
      </c>
    </row>
    <row r="4046" spans="8:8" x14ac:dyDescent="0.25">
      <c r="H4046" t="s">
        <v>4326</v>
      </c>
    </row>
    <row r="4047" spans="8:8" x14ac:dyDescent="0.25">
      <c r="H4047" t="s">
        <v>4377</v>
      </c>
    </row>
    <row r="4048" spans="8:8" x14ac:dyDescent="0.25">
      <c r="H4048" t="s">
        <v>1677</v>
      </c>
    </row>
    <row r="4049" spans="8:8" x14ac:dyDescent="0.25">
      <c r="H4049" t="s">
        <v>3843</v>
      </c>
    </row>
    <row r="4050" spans="8:8" x14ac:dyDescent="0.25">
      <c r="H4050" t="s">
        <v>4376</v>
      </c>
    </row>
    <row r="4051" spans="8:8" x14ac:dyDescent="0.25">
      <c r="H4051" t="s">
        <v>3842</v>
      </c>
    </row>
    <row r="4052" spans="8:8" x14ac:dyDescent="0.25">
      <c r="H4052" t="s">
        <v>5379</v>
      </c>
    </row>
    <row r="4053" spans="8:8" x14ac:dyDescent="0.25">
      <c r="H4053" t="s">
        <v>1215</v>
      </c>
    </row>
    <row r="4054" spans="8:8" x14ac:dyDescent="0.25">
      <c r="H4054" t="s">
        <v>4370</v>
      </c>
    </row>
    <row r="4055" spans="8:8" x14ac:dyDescent="0.25">
      <c r="H4055" t="s">
        <v>1216</v>
      </c>
    </row>
    <row r="4056" spans="8:8" x14ac:dyDescent="0.25">
      <c r="H4056" t="s">
        <v>2406</v>
      </c>
    </row>
    <row r="4057" spans="8:8" x14ac:dyDescent="0.25">
      <c r="H4057" t="s">
        <v>4881</v>
      </c>
    </row>
    <row r="4058" spans="8:8" x14ac:dyDescent="0.25">
      <c r="H4058" t="s">
        <v>4170</v>
      </c>
    </row>
    <row r="4059" spans="8:8" x14ac:dyDescent="0.25">
      <c r="H4059" t="s">
        <v>4043</v>
      </c>
    </row>
    <row r="4060" spans="8:8" x14ac:dyDescent="0.25">
      <c r="H4060" t="s">
        <v>4301</v>
      </c>
    </row>
    <row r="4061" spans="8:8" x14ac:dyDescent="0.25">
      <c r="H4061" t="s">
        <v>2653</v>
      </c>
    </row>
    <row r="4062" spans="8:8" x14ac:dyDescent="0.25">
      <c r="H4062" t="s">
        <v>4334</v>
      </c>
    </row>
    <row r="4063" spans="8:8" x14ac:dyDescent="0.25">
      <c r="H4063" t="s">
        <v>4744</v>
      </c>
    </row>
    <row r="4064" spans="8:8" x14ac:dyDescent="0.25">
      <c r="H4064" t="s">
        <v>1823</v>
      </c>
    </row>
    <row r="4065" spans="8:8" x14ac:dyDescent="0.25">
      <c r="H4065" t="s">
        <v>2720</v>
      </c>
    </row>
    <row r="4066" spans="8:8" x14ac:dyDescent="0.25">
      <c r="H4066" t="s">
        <v>3087</v>
      </c>
    </row>
    <row r="4067" spans="8:8" x14ac:dyDescent="0.25">
      <c r="H4067" t="s">
        <v>3173</v>
      </c>
    </row>
    <row r="4068" spans="8:8" x14ac:dyDescent="0.25">
      <c r="H4068" t="s">
        <v>3747</v>
      </c>
    </row>
    <row r="4069" spans="8:8" x14ac:dyDescent="0.25">
      <c r="H4069" t="s">
        <v>4810</v>
      </c>
    </row>
    <row r="4070" spans="8:8" x14ac:dyDescent="0.25">
      <c r="H4070" t="s">
        <v>5186</v>
      </c>
    </row>
    <row r="4071" spans="8:8" x14ac:dyDescent="0.25">
      <c r="H4071" t="s">
        <v>5513</v>
      </c>
    </row>
    <row r="4072" spans="8:8" x14ac:dyDescent="0.25">
      <c r="H4072" t="s">
        <v>4617</v>
      </c>
    </row>
    <row r="4073" spans="8:8" x14ac:dyDescent="0.25">
      <c r="H4073" t="s">
        <v>4346</v>
      </c>
    </row>
    <row r="4074" spans="8:8" x14ac:dyDescent="0.25">
      <c r="H4074" t="s">
        <v>3783</v>
      </c>
    </row>
    <row r="4075" spans="8:8" x14ac:dyDescent="0.25">
      <c r="H4075" t="s">
        <v>3992</v>
      </c>
    </row>
    <row r="4076" spans="8:8" x14ac:dyDescent="0.25">
      <c r="H4076" t="s">
        <v>1333</v>
      </c>
    </row>
    <row r="4077" spans="8:8" x14ac:dyDescent="0.25">
      <c r="H4077" t="s">
        <v>3782</v>
      </c>
    </row>
    <row r="4078" spans="8:8" x14ac:dyDescent="0.25">
      <c r="H4078" t="s">
        <v>3996</v>
      </c>
    </row>
    <row r="4079" spans="8:8" x14ac:dyDescent="0.25">
      <c r="H4079" t="s">
        <v>626</v>
      </c>
    </row>
    <row r="4080" spans="8:8" x14ac:dyDescent="0.25">
      <c r="H4080" t="s">
        <v>626</v>
      </c>
    </row>
    <row r="4081" spans="8:8" x14ac:dyDescent="0.25">
      <c r="H4081" t="s">
        <v>765</v>
      </c>
    </row>
    <row r="4082" spans="8:8" x14ac:dyDescent="0.25">
      <c r="H4082" t="s">
        <v>2786</v>
      </c>
    </row>
    <row r="4083" spans="8:8" x14ac:dyDescent="0.25">
      <c r="H4083" t="s">
        <v>261</v>
      </c>
    </row>
    <row r="4084" spans="8:8" x14ac:dyDescent="0.25">
      <c r="H4084" t="s">
        <v>774</v>
      </c>
    </row>
    <row r="4085" spans="8:8" x14ac:dyDescent="0.25">
      <c r="H4085" t="s">
        <v>3342</v>
      </c>
    </row>
    <row r="4086" spans="8:8" x14ac:dyDescent="0.25">
      <c r="H4086" t="s">
        <v>2181</v>
      </c>
    </row>
    <row r="4087" spans="8:8" x14ac:dyDescent="0.25">
      <c r="H4087" t="s">
        <v>3206</v>
      </c>
    </row>
    <row r="4088" spans="8:8" x14ac:dyDescent="0.25">
      <c r="H4088" t="s">
        <v>2908</v>
      </c>
    </row>
    <row r="4089" spans="8:8" x14ac:dyDescent="0.25">
      <c r="H4089" t="s">
        <v>3127</v>
      </c>
    </row>
    <row r="4090" spans="8:8" x14ac:dyDescent="0.25">
      <c r="H4090" t="s">
        <v>466</v>
      </c>
    </row>
    <row r="4091" spans="8:8" x14ac:dyDescent="0.25">
      <c r="H4091" t="s">
        <v>775</v>
      </c>
    </row>
    <row r="4092" spans="8:8" x14ac:dyDescent="0.25">
      <c r="H4092" t="s">
        <v>1666</v>
      </c>
    </row>
    <row r="4093" spans="8:8" x14ac:dyDescent="0.25">
      <c r="H4093" t="s">
        <v>2407</v>
      </c>
    </row>
    <row r="4094" spans="8:8" x14ac:dyDescent="0.25">
      <c r="H4094" t="s">
        <v>2156</v>
      </c>
    </row>
    <row r="4095" spans="8:8" x14ac:dyDescent="0.25">
      <c r="H4095" t="s">
        <v>4375</v>
      </c>
    </row>
    <row r="4096" spans="8:8" x14ac:dyDescent="0.25">
      <c r="H4096" t="s">
        <v>529</v>
      </c>
    </row>
    <row r="4097" spans="8:8" x14ac:dyDescent="0.25">
      <c r="H4097" t="s">
        <v>1815</v>
      </c>
    </row>
    <row r="4098" spans="8:8" x14ac:dyDescent="0.25">
      <c r="H4098" t="s">
        <v>3756</v>
      </c>
    </row>
    <row r="4099" spans="8:8" x14ac:dyDescent="0.25">
      <c r="H4099" t="s">
        <v>2741</v>
      </c>
    </row>
    <row r="4100" spans="8:8" x14ac:dyDescent="0.25">
      <c r="H4100" t="s">
        <v>2852</v>
      </c>
    </row>
    <row r="4101" spans="8:8" x14ac:dyDescent="0.25">
      <c r="H4101" t="s">
        <v>4351</v>
      </c>
    </row>
    <row r="4102" spans="8:8" x14ac:dyDescent="0.25">
      <c r="H4102" t="s">
        <v>1607</v>
      </c>
    </row>
    <row r="4103" spans="8:8" x14ac:dyDescent="0.25">
      <c r="H4103" t="s">
        <v>4371</v>
      </c>
    </row>
    <row r="4104" spans="8:8" x14ac:dyDescent="0.25">
      <c r="H4104" t="s">
        <v>3291</v>
      </c>
    </row>
    <row r="4105" spans="8:8" x14ac:dyDescent="0.25">
      <c r="H4105" t="s">
        <v>4359</v>
      </c>
    </row>
    <row r="4106" spans="8:8" x14ac:dyDescent="0.25">
      <c r="H4106" t="s">
        <v>5357</v>
      </c>
    </row>
    <row r="4107" spans="8:8" x14ac:dyDescent="0.25">
      <c r="H4107" t="s">
        <v>3844</v>
      </c>
    </row>
    <row r="4108" spans="8:8" x14ac:dyDescent="0.25">
      <c r="H4108" t="s">
        <v>4818</v>
      </c>
    </row>
    <row r="4109" spans="8:8" x14ac:dyDescent="0.25">
      <c r="H4109" t="s">
        <v>4361</v>
      </c>
    </row>
    <row r="4110" spans="8:8" x14ac:dyDescent="0.25">
      <c r="H4110" t="s">
        <v>4365</v>
      </c>
    </row>
    <row r="4111" spans="8:8" x14ac:dyDescent="0.25">
      <c r="H4111" t="s">
        <v>5358</v>
      </c>
    </row>
    <row r="4112" spans="8:8" x14ac:dyDescent="0.25">
      <c r="H4112" t="s">
        <v>4444</v>
      </c>
    </row>
    <row r="4113" spans="8:8" x14ac:dyDescent="0.25">
      <c r="H4113" t="s">
        <v>1446</v>
      </c>
    </row>
    <row r="4114" spans="8:8" x14ac:dyDescent="0.25">
      <c r="H4114" t="s">
        <v>5320</v>
      </c>
    </row>
    <row r="4115" spans="8:8" x14ac:dyDescent="0.25">
      <c r="H4115" t="s">
        <v>5369</v>
      </c>
    </row>
    <row r="4116" spans="8:8" x14ac:dyDescent="0.25">
      <c r="H4116" t="s">
        <v>4373</v>
      </c>
    </row>
    <row r="4117" spans="8:8" x14ac:dyDescent="0.25">
      <c r="H4117" t="s">
        <v>4125</v>
      </c>
    </row>
    <row r="4118" spans="8:8" x14ac:dyDescent="0.25">
      <c r="H4118" t="s">
        <v>3840</v>
      </c>
    </row>
    <row r="4119" spans="8:8" x14ac:dyDescent="0.25">
      <c r="H4119" t="s">
        <v>2649</v>
      </c>
    </row>
    <row r="4120" spans="8:8" x14ac:dyDescent="0.25">
      <c r="H4120" t="s">
        <v>2240</v>
      </c>
    </row>
    <row r="4121" spans="8:8" x14ac:dyDescent="0.25">
      <c r="H4121" t="s">
        <v>1828</v>
      </c>
    </row>
    <row r="4122" spans="8:8" x14ac:dyDescent="0.25">
      <c r="H4122" t="s">
        <v>5359</v>
      </c>
    </row>
    <row r="4123" spans="8:8" x14ac:dyDescent="0.25">
      <c r="H4123" t="s">
        <v>1654</v>
      </c>
    </row>
    <row r="4124" spans="8:8" x14ac:dyDescent="0.25">
      <c r="H4124" t="s">
        <v>5340</v>
      </c>
    </row>
    <row r="4125" spans="8:8" x14ac:dyDescent="0.25">
      <c r="H4125" t="s">
        <v>5378</v>
      </c>
    </row>
    <row r="4126" spans="8:8" x14ac:dyDescent="0.25">
      <c r="H4126" t="s">
        <v>4492</v>
      </c>
    </row>
    <row r="4127" spans="8:8" x14ac:dyDescent="0.25">
      <c r="H4127" t="s">
        <v>3735</v>
      </c>
    </row>
    <row r="4128" spans="8:8" x14ac:dyDescent="0.25">
      <c r="H4128" t="s">
        <v>4474</v>
      </c>
    </row>
    <row r="4129" spans="8:8" x14ac:dyDescent="0.25">
      <c r="H4129" t="s">
        <v>4378</v>
      </c>
    </row>
    <row r="4130" spans="8:8" x14ac:dyDescent="0.25">
      <c r="H4130" t="s">
        <v>4380</v>
      </c>
    </row>
    <row r="4131" spans="8:8" x14ac:dyDescent="0.25">
      <c r="H4131" t="s">
        <v>4383</v>
      </c>
    </row>
    <row r="4132" spans="8:8" x14ac:dyDescent="0.25">
      <c r="H4132" t="s">
        <v>4382</v>
      </c>
    </row>
    <row r="4133" spans="8:8" x14ac:dyDescent="0.25">
      <c r="H4133" t="s">
        <v>1805</v>
      </c>
    </row>
    <row r="4134" spans="8:8" x14ac:dyDescent="0.25">
      <c r="H4134" t="s">
        <v>1665</v>
      </c>
    </row>
    <row r="4135" spans="8:8" x14ac:dyDescent="0.25">
      <c r="H4135" t="s">
        <v>5371</v>
      </c>
    </row>
    <row r="4136" spans="8:8" x14ac:dyDescent="0.25">
      <c r="H4136" t="s">
        <v>4385</v>
      </c>
    </row>
    <row r="4137" spans="8:8" x14ac:dyDescent="0.25">
      <c r="H4137" t="s">
        <v>4389</v>
      </c>
    </row>
    <row r="4138" spans="8:8" x14ac:dyDescent="0.25">
      <c r="H4138" t="s">
        <v>1089</v>
      </c>
    </row>
    <row r="4139" spans="8:8" x14ac:dyDescent="0.25">
      <c r="H4139" t="s">
        <v>640</v>
      </c>
    </row>
    <row r="4140" spans="8:8" x14ac:dyDescent="0.25">
      <c r="H4140" t="s">
        <v>2010</v>
      </c>
    </row>
    <row r="4141" spans="8:8" x14ac:dyDescent="0.25">
      <c r="H4141" t="s">
        <v>4784</v>
      </c>
    </row>
    <row r="4142" spans="8:8" x14ac:dyDescent="0.25">
      <c r="H4142" t="s">
        <v>832</v>
      </c>
    </row>
    <row r="4143" spans="8:8" x14ac:dyDescent="0.25">
      <c r="H4143" t="s">
        <v>5400</v>
      </c>
    </row>
    <row r="4144" spans="8:8" x14ac:dyDescent="0.25">
      <c r="H4144" t="s">
        <v>4391</v>
      </c>
    </row>
    <row r="4145" spans="8:8" x14ac:dyDescent="0.25">
      <c r="H4145" t="s">
        <v>5023</v>
      </c>
    </row>
    <row r="4146" spans="8:8" x14ac:dyDescent="0.25">
      <c r="H4146" t="s">
        <v>3247</v>
      </c>
    </row>
    <row r="4147" spans="8:8" x14ac:dyDescent="0.25">
      <c r="H4147" t="s">
        <v>3621</v>
      </c>
    </row>
    <row r="4148" spans="8:8" x14ac:dyDescent="0.25">
      <c r="H4148" t="s">
        <v>1397</v>
      </c>
    </row>
    <row r="4149" spans="8:8" x14ac:dyDescent="0.25">
      <c r="H4149" t="s">
        <v>4076</v>
      </c>
    </row>
    <row r="4150" spans="8:8" x14ac:dyDescent="0.25">
      <c r="H4150" t="s">
        <v>5293</v>
      </c>
    </row>
    <row r="4151" spans="8:8" x14ac:dyDescent="0.25">
      <c r="H4151" t="s">
        <v>5016</v>
      </c>
    </row>
    <row r="4152" spans="8:8" x14ac:dyDescent="0.25">
      <c r="H4152" t="s">
        <v>2242</v>
      </c>
    </row>
    <row r="4153" spans="8:8" x14ac:dyDescent="0.25">
      <c r="H4153" t="s">
        <v>3694</v>
      </c>
    </row>
    <row r="4154" spans="8:8" x14ac:dyDescent="0.25">
      <c r="H4154" t="s">
        <v>4533</v>
      </c>
    </row>
    <row r="4155" spans="8:8" x14ac:dyDescent="0.25">
      <c r="H4155" t="s">
        <v>1724</v>
      </c>
    </row>
    <row r="4156" spans="8:8" x14ac:dyDescent="0.25">
      <c r="H4156" t="s">
        <v>4082</v>
      </c>
    </row>
    <row r="4157" spans="8:8" x14ac:dyDescent="0.25">
      <c r="H4157" t="s">
        <v>867</v>
      </c>
    </row>
    <row r="4158" spans="8:8" x14ac:dyDescent="0.25">
      <c r="H4158" t="s">
        <v>2166</v>
      </c>
    </row>
    <row r="4159" spans="8:8" x14ac:dyDescent="0.25">
      <c r="H4159" t="s">
        <v>2167</v>
      </c>
    </row>
    <row r="4160" spans="8:8" x14ac:dyDescent="0.25">
      <c r="H4160" t="s">
        <v>2165</v>
      </c>
    </row>
    <row r="4161" spans="8:8" x14ac:dyDescent="0.25">
      <c r="H4161" t="s">
        <v>3195</v>
      </c>
    </row>
    <row r="4162" spans="8:8" x14ac:dyDescent="0.25">
      <c r="H4162" t="s">
        <v>3624</v>
      </c>
    </row>
    <row r="4163" spans="8:8" x14ac:dyDescent="0.25">
      <c r="H4163" t="s">
        <v>4397</v>
      </c>
    </row>
    <row r="4164" spans="8:8" x14ac:dyDescent="0.25">
      <c r="H4164" t="s">
        <v>3560</v>
      </c>
    </row>
    <row r="4165" spans="8:8" x14ac:dyDescent="0.25">
      <c r="H4165" t="s">
        <v>4403</v>
      </c>
    </row>
    <row r="4166" spans="8:8" x14ac:dyDescent="0.25">
      <c r="H4166" t="s">
        <v>1366</v>
      </c>
    </row>
    <row r="4167" spans="8:8" x14ac:dyDescent="0.25">
      <c r="H4167" t="s">
        <v>1367</v>
      </c>
    </row>
    <row r="4168" spans="8:8" x14ac:dyDescent="0.25">
      <c r="H4168" t="s">
        <v>2399</v>
      </c>
    </row>
    <row r="4169" spans="8:8" x14ac:dyDescent="0.25">
      <c r="H4169" t="s">
        <v>4129</v>
      </c>
    </row>
    <row r="4170" spans="8:8" x14ac:dyDescent="0.25">
      <c r="H4170" t="s">
        <v>3808</v>
      </c>
    </row>
    <row r="4171" spans="8:8" x14ac:dyDescent="0.25">
      <c r="H4171" t="s">
        <v>1890</v>
      </c>
    </row>
    <row r="4172" spans="8:8" x14ac:dyDescent="0.25">
      <c r="H4172" t="s">
        <v>1364</v>
      </c>
    </row>
    <row r="4173" spans="8:8" x14ac:dyDescent="0.25">
      <c r="H4173" t="s">
        <v>582</v>
      </c>
    </row>
    <row r="4174" spans="8:8" x14ac:dyDescent="0.25">
      <c r="H4174" t="s">
        <v>2363</v>
      </c>
    </row>
    <row r="4175" spans="8:8" x14ac:dyDescent="0.25">
      <c r="H4175" t="s">
        <v>1375</v>
      </c>
    </row>
    <row r="4176" spans="8:8" x14ac:dyDescent="0.25">
      <c r="H4176" t="s">
        <v>3290</v>
      </c>
    </row>
    <row r="4177" spans="8:8" x14ac:dyDescent="0.25">
      <c r="H4177" t="s">
        <v>1168</v>
      </c>
    </row>
    <row r="4178" spans="8:8" x14ac:dyDescent="0.25">
      <c r="H4178" t="s">
        <v>2869</v>
      </c>
    </row>
    <row r="4179" spans="8:8" x14ac:dyDescent="0.25">
      <c r="H4179" t="s">
        <v>2587</v>
      </c>
    </row>
    <row r="4180" spans="8:8" x14ac:dyDescent="0.25">
      <c r="H4180" t="s">
        <v>2211</v>
      </c>
    </row>
    <row r="4181" spans="8:8" x14ac:dyDescent="0.25">
      <c r="H4181" t="s">
        <v>847</v>
      </c>
    </row>
    <row r="4182" spans="8:8" x14ac:dyDescent="0.25">
      <c r="H4182" t="s">
        <v>2558</v>
      </c>
    </row>
    <row r="4183" spans="8:8" x14ac:dyDescent="0.25">
      <c r="H4183" t="s">
        <v>5397</v>
      </c>
    </row>
    <row r="4184" spans="8:8" x14ac:dyDescent="0.25">
      <c r="H4184" t="s">
        <v>4408</v>
      </c>
    </row>
    <row r="4185" spans="8:8" x14ac:dyDescent="0.25">
      <c r="H4185" t="s">
        <v>2935</v>
      </c>
    </row>
    <row r="4186" spans="8:8" x14ac:dyDescent="0.25">
      <c r="H4186" t="s">
        <v>4410</v>
      </c>
    </row>
    <row r="4187" spans="8:8" x14ac:dyDescent="0.25">
      <c r="H4187" t="s">
        <v>4852</v>
      </c>
    </row>
    <row r="4188" spans="8:8" x14ac:dyDescent="0.25">
      <c r="H4188" t="s">
        <v>624</v>
      </c>
    </row>
    <row r="4189" spans="8:8" x14ac:dyDescent="0.25">
      <c r="H4189" t="s">
        <v>625</v>
      </c>
    </row>
    <row r="4190" spans="8:8" x14ac:dyDescent="0.25">
      <c r="H4190" t="s">
        <v>2319</v>
      </c>
    </row>
    <row r="4191" spans="8:8" x14ac:dyDescent="0.25">
      <c r="H4191" t="s">
        <v>2246</v>
      </c>
    </row>
    <row r="4192" spans="8:8" x14ac:dyDescent="0.25">
      <c r="H4192" t="s">
        <v>5370</v>
      </c>
    </row>
    <row r="4193" spans="8:8" x14ac:dyDescent="0.25">
      <c r="H4193" t="s">
        <v>916</v>
      </c>
    </row>
    <row r="4194" spans="8:8" x14ac:dyDescent="0.25">
      <c r="H4194" t="s">
        <v>3813</v>
      </c>
    </row>
    <row r="4195" spans="8:8" x14ac:dyDescent="0.25">
      <c r="H4195" t="s">
        <v>917</v>
      </c>
    </row>
    <row r="4196" spans="8:8" x14ac:dyDescent="0.25">
      <c r="H4196" t="s">
        <v>4860</v>
      </c>
    </row>
    <row r="4197" spans="8:8" x14ac:dyDescent="0.25">
      <c r="H4197" t="s">
        <v>5109</v>
      </c>
    </row>
    <row r="4198" spans="8:8" x14ac:dyDescent="0.25">
      <c r="H4198" t="s">
        <v>1824</v>
      </c>
    </row>
    <row r="4199" spans="8:8" x14ac:dyDescent="0.25">
      <c r="H4199" t="s">
        <v>4411</v>
      </c>
    </row>
    <row r="4200" spans="8:8" x14ac:dyDescent="0.25">
      <c r="H4200" t="s">
        <v>2051</v>
      </c>
    </row>
    <row r="4201" spans="8:8" x14ac:dyDescent="0.25">
      <c r="H4201" t="s">
        <v>3150</v>
      </c>
    </row>
    <row r="4202" spans="8:8" x14ac:dyDescent="0.25">
      <c r="H4202" t="s">
        <v>4299</v>
      </c>
    </row>
    <row r="4203" spans="8:8" x14ac:dyDescent="0.25">
      <c r="H4203" t="s">
        <v>1260</v>
      </c>
    </row>
    <row r="4204" spans="8:8" x14ac:dyDescent="0.25">
      <c r="H4204" t="s">
        <v>757</v>
      </c>
    </row>
    <row r="4205" spans="8:8" x14ac:dyDescent="0.25">
      <c r="H4205" t="s">
        <v>1578</v>
      </c>
    </row>
    <row r="4206" spans="8:8" x14ac:dyDescent="0.25">
      <c r="H4206" t="s">
        <v>2863</v>
      </c>
    </row>
    <row r="4207" spans="8:8" x14ac:dyDescent="0.25">
      <c r="H4207" t="s">
        <v>4921</v>
      </c>
    </row>
    <row r="4208" spans="8:8" x14ac:dyDescent="0.25">
      <c r="H4208" t="s">
        <v>2643</v>
      </c>
    </row>
    <row r="4209" spans="8:8" x14ac:dyDescent="0.25">
      <c r="H4209" t="s">
        <v>2107</v>
      </c>
    </row>
    <row r="4210" spans="8:8" x14ac:dyDescent="0.25">
      <c r="H4210" t="s">
        <v>3413</v>
      </c>
    </row>
    <row r="4211" spans="8:8" x14ac:dyDescent="0.25">
      <c r="H4211" t="s">
        <v>3144</v>
      </c>
    </row>
    <row r="4212" spans="8:8" x14ac:dyDescent="0.25">
      <c r="H4212" t="s">
        <v>2100</v>
      </c>
    </row>
    <row r="4213" spans="8:8" x14ac:dyDescent="0.25">
      <c r="H4213" t="s">
        <v>530</v>
      </c>
    </row>
    <row r="4214" spans="8:8" x14ac:dyDescent="0.25">
      <c r="H4214" t="s">
        <v>530</v>
      </c>
    </row>
    <row r="4215" spans="8:8" x14ac:dyDescent="0.25">
      <c r="H4215" t="s">
        <v>4413</v>
      </c>
    </row>
    <row r="4216" spans="8:8" x14ac:dyDescent="0.25">
      <c r="H4216" t="s">
        <v>4409</v>
      </c>
    </row>
    <row r="4217" spans="8:8" x14ac:dyDescent="0.25">
      <c r="H4217" t="s">
        <v>3542</v>
      </c>
    </row>
    <row r="4218" spans="8:8" x14ac:dyDescent="0.25">
      <c r="H4218" t="s">
        <v>3229</v>
      </c>
    </row>
    <row r="4219" spans="8:8" x14ac:dyDescent="0.25">
      <c r="H4219" t="s">
        <v>4390</v>
      </c>
    </row>
    <row r="4220" spans="8:8" x14ac:dyDescent="0.25">
      <c r="H4220" t="s">
        <v>3561</v>
      </c>
    </row>
    <row r="4221" spans="8:8" x14ac:dyDescent="0.25">
      <c r="H4221" t="s">
        <v>4121</v>
      </c>
    </row>
    <row r="4222" spans="8:8" x14ac:dyDescent="0.25">
      <c r="H4222" t="s">
        <v>3237</v>
      </c>
    </row>
    <row r="4223" spans="8:8" x14ac:dyDescent="0.25">
      <c r="H4223" t="s">
        <v>1033</v>
      </c>
    </row>
    <row r="4224" spans="8:8" x14ac:dyDescent="0.25">
      <c r="H4224" t="s">
        <v>5515</v>
      </c>
    </row>
    <row r="4225" spans="8:8" x14ac:dyDescent="0.25">
      <c r="H4225" t="s">
        <v>1283</v>
      </c>
    </row>
    <row r="4226" spans="8:8" x14ac:dyDescent="0.25">
      <c r="H4226" t="s">
        <v>1055</v>
      </c>
    </row>
    <row r="4227" spans="8:8" x14ac:dyDescent="0.25">
      <c r="H4227" t="s">
        <v>2093</v>
      </c>
    </row>
    <row r="4228" spans="8:8" x14ac:dyDescent="0.25">
      <c r="H4228" t="s">
        <v>5226</v>
      </c>
    </row>
    <row r="4229" spans="8:8" x14ac:dyDescent="0.25">
      <c r="H4229" t="s">
        <v>1196</v>
      </c>
    </row>
    <row r="4230" spans="8:8" x14ac:dyDescent="0.25">
      <c r="H4230" t="s">
        <v>1420</v>
      </c>
    </row>
    <row r="4231" spans="8:8" x14ac:dyDescent="0.25">
      <c r="H4231" t="s">
        <v>4353</v>
      </c>
    </row>
    <row r="4232" spans="8:8" x14ac:dyDescent="0.25">
      <c r="H4232" t="s">
        <v>485</v>
      </c>
    </row>
    <row r="4233" spans="8:8" x14ac:dyDescent="0.25">
      <c r="H4233" t="s">
        <v>4426</v>
      </c>
    </row>
    <row r="4234" spans="8:8" x14ac:dyDescent="0.25">
      <c r="H4234" t="s">
        <v>705</v>
      </c>
    </row>
    <row r="4235" spans="8:8" x14ac:dyDescent="0.25">
      <c r="H4235" t="s">
        <v>901</v>
      </c>
    </row>
    <row r="4236" spans="8:8" x14ac:dyDescent="0.25">
      <c r="H4236" t="s">
        <v>4428</v>
      </c>
    </row>
    <row r="4237" spans="8:8" x14ac:dyDescent="0.25">
      <c r="H4237" t="s">
        <v>595</v>
      </c>
    </row>
    <row r="4238" spans="8:8" x14ac:dyDescent="0.25">
      <c r="H4238" t="s">
        <v>5261</v>
      </c>
    </row>
    <row r="4239" spans="8:8" x14ac:dyDescent="0.25">
      <c r="H4239" t="s">
        <v>4430</v>
      </c>
    </row>
    <row r="4240" spans="8:8" x14ac:dyDescent="0.25">
      <c r="H4240" t="s">
        <v>5304</v>
      </c>
    </row>
    <row r="4241" spans="8:8" x14ac:dyDescent="0.25">
      <c r="H4241" t="s">
        <v>1078</v>
      </c>
    </row>
    <row r="4242" spans="8:8" x14ac:dyDescent="0.25">
      <c r="H4242" t="s">
        <v>1077</v>
      </c>
    </row>
    <row r="4243" spans="8:8" x14ac:dyDescent="0.25">
      <c r="H4243" t="s">
        <v>1506</v>
      </c>
    </row>
    <row r="4244" spans="8:8" x14ac:dyDescent="0.25">
      <c r="H4244" t="s">
        <v>5393</v>
      </c>
    </row>
    <row r="4245" spans="8:8" x14ac:dyDescent="0.25">
      <c r="H4245" t="s">
        <v>805</v>
      </c>
    </row>
    <row r="4246" spans="8:8" x14ac:dyDescent="0.25">
      <c r="H4246" t="s">
        <v>3586</v>
      </c>
    </row>
    <row r="4247" spans="8:8" x14ac:dyDescent="0.25">
      <c r="H4247" t="s">
        <v>4652</v>
      </c>
    </row>
    <row r="4248" spans="8:8" x14ac:dyDescent="0.25">
      <c r="H4248" t="s">
        <v>1225</v>
      </c>
    </row>
    <row r="4249" spans="8:8" x14ac:dyDescent="0.25">
      <c r="H4249" t="s">
        <v>2358</v>
      </c>
    </row>
    <row r="4250" spans="8:8" x14ac:dyDescent="0.25">
      <c r="H4250" t="s">
        <v>806</v>
      </c>
    </row>
    <row r="4251" spans="8:8" x14ac:dyDescent="0.25">
      <c r="H4251" t="s">
        <v>1561</v>
      </c>
    </row>
    <row r="4252" spans="8:8" x14ac:dyDescent="0.25">
      <c r="H4252" t="s">
        <v>820</v>
      </c>
    </row>
    <row r="4253" spans="8:8" x14ac:dyDescent="0.25">
      <c r="H4253" t="s">
        <v>2735</v>
      </c>
    </row>
    <row r="4254" spans="8:8" x14ac:dyDescent="0.25">
      <c r="H4254" t="s">
        <v>1562</v>
      </c>
    </row>
    <row r="4255" spans="8:8" x14ac:dyDescent="0.25">
      <c r="H4255" t="s">
        <v>1037</v>
      </c>
    </row>
    <row r="4256" spans="8:8" x14ac:dyDescent="0.25">
      <c r="H4256" t="s">
        <v>821</v>
      </c>
    </row>
    <row r="4257" spans="8:8" x14ac:dyDescent="0.25">
      <c r="H4257" t="s">
        <v>541</v>
      </c>
    </row>
    <row r="4258" spans="8:8" x14ac:dyDescent="0.25">
      <c r="H4258" t="s">
        <v>3272</v>
      </c>
    </row>
    <row r="4259" spans="8:8" x14ac:dyDescent="0.25">
      <c r="H4259" t="s">
        <v>4434</v>
      </c>
    </row>
    <row r="4260" spans="8:8" x14ac:dyDescent="0.25">
      <c r="H4260" t="s">
        <v>543</v>
      </c>
    </row>
    <row r="4261" spans="8:8" x14ac:dyDescent="0.25">
      <c r="H4261" t="s">
        <v>542</v>
      </c>
    </row>
    <row r="4262" spans="8:8" x14ac:dyDescent="0.25">
      <c r="H4262" t="s">
        <v>5271</v>
      </c>
    </row>
    <row r="4263" spans="8:8" x14ac:dyDescent="0.25">
      <c r="H4263" t="s">
        <v>2950</v>
      </c>
    </row>
    <row r="4264" spans="8:8" x14ac:dyDescent="0.25">
      <c r="H4264" t="s">
        <v>2574</v>
      </c>
    </row>
    <row r="4265" spans="8:8" x14ac:dyDescent="0.25">
      <c r="H4265" t="s">
        <v>4452</v>
      </c>
    </row>
    <row r="4266" spans="8:8" x14ac:dyDescent="0.25">
      <c r="H4266" t="s">
        <v>2660</v>
      </c>
    </row>
    <row r="4267" spans="8:8" x14ac:dyDescent="0.25">
      <c r="H4267" t="s">
        <v>3439</v>
      </c>
    </row>
    <row r="4268" spans="8:8" x14ac:dyDescent="0.25">
      <c r="H4268" t="s">
        <v>649</v>
      </c>
    </row>
    <row r="4269" spans="8:8" x14ac:dyDescent="0.25">
      <c r="H4269" t="s">
        <v>3683</v>
      </c>
    </row>
    <row r="4270" spans="8:8" x14ac:dyDescent="0.25">
      <c r="H4270" t="s">
        <v>2457</v>
      </c>
    </row>
    <row r="4271" spans="8:8" x14ac:dyDescent="0.25">
      <c r="H4271" t="s">
        <v>3118</v>
      </c>
    </row>
    <row r="4272" spans="8:8" x14ac:dyDescent="0.25">
      <c r="H4272" t="s">
        <v>3652</v>
      </c>
    </row>
    <row r="4273" spans="8:8" x14ac:dyDescent="0.25">
      <c r="H4273" t="s">
        <v>544</v>
      </c>
    </row>
    <row r="4274" spans="8:8" x14ac:dyDescent="0.25">
      <c r="H4274" t="s">
        <v>616</v>
      </c>
    </row>
    <row r="4275" spans="8:8" x14ac:dyDescent="0.25">
      <c r="H4275" t="s">
        <v>2742</v>
      </c>
    </row>
    <row r="4276" spans="8:8" x14ac:dyDescent="0.25">
      <c r="H4276" t="s">
        <v>1070</v>
      </c>
    </row>
    <row r="4277" spans="8:8" x14ac:dyDescent="0.25">
      <c r="H4277" t="s">
        <v>1112</v>
      </c>
    </row>
    <row r="4278" spans="8:8" x14ac:dyDescent="0.25">
      <c r="H4278" t="s">
        <v>1716</v>
      </c>
    </row>
    <row r="4279" spans="8:8" x14ac:dyDescent="0.25">
      <c r="H4279" t="s">
        <v>3968</v>
      </c>
    </row>
    <row r="4280" spans="8:8" x14ac:dyDescent="0.25">
      <c r="H4280" t="s">
        <v>1113</v>
      </c>
    </row>
    <row r="4281" spans="8:8" x14ac:dyDescent="0.25">
      <c r="H4281" t="s">
        <v>1114</v>
      </c>
    </row>
    <row r="4282" spans="8:8" x14ac:dyDescent="0.25">
      <c r="H4282" t="s">
        <v>1848</v>
      </c>
    </row>
    <row r="4283" spans="8:8" x14ac:dyDescent="0.25">
      <c r="H4283" t="s">
        <v>1431</v>
      </c>
    </row>
    <row r="4284" spans="8:8" x14ac:dyDescent="0.25">
      <c r="H4284" t="s">
        <v>4445</v>
      </c>
    </row>
    <row r="4285" spans="8:8" x14ac:dyDescent="0.25">
      <c r="H4285" t="s">
        <v>641</v>
      </c>
    </row>
    <row r="4286" spans="8:8" x14ac:dyDescent="0.25">
      <c r="H4286" t="s">
        <v>4446</v>
      </c>
    </row>
    <row r="4287" spans="8:8" x14ac:dyDescent="0.25">
      <c r="H4287" t="s">
        <v>4916</v>
      </c>
    </row>
    <row r="4288" spans="8:8" x14ac:dyDescent="0.25">
      <c r="H4288" t="s">
        <v>4447</v>
      </c>
    </row>
    <row r="4289" spans="8:8" x14ac:dyDescent="0.25">
      <c r="H4289" t="s">
        <v>1600</v>
      </c>
    </row>
    <row r="4290" spans="8:8" x14ac:dyDescent="0.25">
      <c r="H4290" t="s">
        <v>4448</v>
      </c>
    </row>
    <row r="4291" spans="8:8" x14ac:dyDescent="0.25">
      <c r="H4291" t="s">
        <v>4454</v>
      </c>
    </row>
    <row r="4292" spans="8:8" x14ac:dyDescent="0.25">
      <c r="H4292" t="s">
        <v>3307</v>
      </c>
    </row>
    <row r="4293" spans="8:8" x14ac:dyDescent="0.25">
      <c r="H4293" t="s">
        <v>3307</v>
      </c>
    </row>
    <row r="4294" spans="8:8" x14ac:dyDescent="0.25">
      <c r="H4294" t="s">
        <v>4134</v>
      </c>
    </row>
    <row r="4295" spans="8:8" x14ac:dyDescent="0.25">
      <c r="H4295" t="s">
        <v>4213</v>
      </c>
    </row>
    <row r="4296" spans="8:8" x14ac:dyDescent="0.25">
      <c r="H4296" t="s">
        <v>2368</v>
      </c>
    </row>
    <row r="4297" spans="8:8" x14ac:dyDescent="0.25">
      <c r="H4297" t="s">
        <v>2797</v>
      </c>
    </row>
    <row r="4298" spans="8:8" x14ac:dyDescent="0.25">
      <c r="H4298" t="s">
        <v>1361</v>
      </c>
    </row>
    <row r="4299" spans="8:8" x14ac:dyDescent="0.25">
      <c r="H4299" t="s">
        <v>3962</v>
      </c>
    </row>
    <row r="4300" spans="8:8" x14ac:dyDescent="0.25">
      <c r="H4300" t="s">
        <v>3308</v>
      </c>
    </row>
    <row r="4301" spans="8:8" x14ac:dyDescent="0.25">
      <c r="H4301" t="s">
        <v>3309</v>
      </c>
    </row>
    <row r="4302" spans="8:8" x14ac:dyDescent="0.25">
      <c r="H4302" t="s">
        <v>3156</v>
      </c>
    </row>
    <row r="4303" spans="8:8" x14ac:dyDescent="0.25">
      <c r="H4303" t="s">
        <v>5182</v>
      </c>
    </row>
    <row r="4304" spans="8:8" x14ac:dyDescent="0.25">
      <c r="H4304" t="s">
        <v>1527</v>
      </c>
    </row>
    <row r="4305" spans="8:8" x14ac:dyDescent="0.25">
      <c r="H4305" t="s">
        <v>5426</v>
      </c>
    </row>
    <row r="4306" spans="8:8" x14ac:dyDescent="0.25">
      <c r="H4306" t="s">
        <v>2684</v>
      </c>
    </row>
    <row r="4307" spans="8:8" x14ac:dyDescent="0.25">
      <c r="H4307" t="s">
        <v>2278</v>
      </c>
    </row>
    <row r="4308" spans="8:8" x14ac:dyDescent="0.25">
      <c r="H4308" t="s">
        <v>2662</v>
      </c>
    </row>
    <row r="4309" spans="8:8" x14ac:dyDescent="0.25">
      <c r="H4309" t="s">
        <v>2760</v>
      </c>
    </row>
    <row r="4310" spans="8:8" x14ac:dyDescent="0.25">
      <c r="H4310" t="s">
        <v>2565</v>
      </c>
    </row>
    <row r="4311" spans="8:8" x14ac:dyDescent="0.25">
      <c r="H4311" t="s">
        <v>4592</v>
      </c>
    </row>
    <row r="4312" spans="8:8" x14ac:dyDescent="0.25">
      <c r="H4312" t="s">
        <v>3516</v>
      </c>
    </row>
    <row r="4313" spans="8:8" x14ac:dyDescent="0.25">
      <c r="H4313" t="s">
        <v>3550</v>
      </c>
    </row>
    <row r="4314" spans="8:8" x14ac:dyDescent="0.25">
      <c r="H4314" t="s">
        <v>3673</v>
      </c>
    </row>
    <row r="4315" spans="8:8" x14ac:dyDescent="0.25">
      <c r="H4315" t="s">
        <v>3754</v>
      </c>
    </row>
    <row r="4316" spans="8:8" x14ac:dyDescent="0.25">
      <c r="H4316" t="s">
        <v>4420</v>
      </c>
    </row>
    <row r="4317" spans="8:8" x14ac:dyDescent="0.25">
      <c r="H4317" t="s">
        <v>5262</v>
      </c>
    </row>
    <row r="4318" spans="8:8" x14ac:dyDescent="0.25">
      <c r="H4318" t="s">
        <v>263</v>
      </c>
    </row>
    <row r="4319" spans="8:8" x14ac:dyDescent="0.25">
      <c r="H4319" t="s">
        <v>5035</v>
      </c>
    </row>
    <row r="4320" spans="8:8" x14ac:dyDescent="0.25">
      <c r="H4320" t="s">
        <v>4791</v>
      </c>
    </row>
    <row r="4321" spans="8:8" x14ac:dyDescent="0.25">
      <c r="H4321" t="s">
        <v>2608</v>
      </c>
    </row>
    <row r="4322" spans="8:8" x14ac:dyDescent="0.25">
      <c r="H4322" t="s">
        <v>3350</v>
      </c>
    </row>
    <row r="4323" spans="8:8" x14ac:dyDescent="0.25">
      <c r="H4323" t="s">
        <v>4463</v>
      </c>
    </row>
    <row r="4324" spans="8:8" x14ac:dyDescent="0.25">
      <c r="H4324" t="s">
        <v>2003</v>
      </c>
    </row>
    <row r="4325" spans="8:8" x14ac:dyDescent="0.25">
      <c r="H4325" t="s">
        <v>842</v>
      </c>
    </row>
    <row r="4326" spans="8:8" x14ac:dyDescent="0.25">
      <c r="H4326" t="s">
        <v>2594</v>
      </c>
    </row>
    <row r="4327" spans="8:8" x14ac:dyDescent="0.25">
      <c r="H4327" t="s">
        <v>4355</v>
      </c>
    </row>
    <row r="4328" spans="8:8" x14ac:dyDescent="0.25">
      <c r="H4328" t="s">
        <v>1651</v>
      </c>
    </row>
    <row r="4329" spans="8:8" x14ac:dyDescent="0.25">
      <c r="H4329" t="s">
        <v>559</v>
      </c>
    </row>
    <row r="4330" spans="8:8" x14ac:dyDescent="0.25">
      <c r="H4330" t="s">
        <v>3244</v>
      </c>
    </row>
    <row r="4331" spans="8:8" x14ac:dyDescent="0.25">
      <c r="H4331" t="s">
        <v>1165</v>
      </c>
    </row>
    <row r="4332" spans="8:8" x14ac:dyDescent="0.25">
      <c r="H4332" t="s">
        <v>1524</v>
      </c>
    </row>
    <row r="4333" spans="8:8" x14ac:dyDescent="0.25">
      <c r="H4333" t="s">
        <v>1357</v>
      </c>
    </row>
    <row r="4334" spans="8:8" x14ac:dyDescent="0.25">
      <c r="H4334" t="s">
        <v>5110</v>
      </c>
    </row>
    <row r="4335" spans="8:8" x14ac:dyDescent="0.25">
      <c r="H4335" t="s">
        <v>4467</v>
      </c>
    </row>
    <row r="4336" spans="8:8" x14ac:dyDescent="0.25">
      <c r="H4336" t="s">
        <v>4891</v>
      </c>
    </row>
    <row r="4337" spans="8:8" x14ac:dyDescent="0.25">
      <c r="H4337" t="s">
        <v>4418</v>
      </c>
    </row>
    <row r="4338" spans="8:8" x14ac:dyDescent="0.25">
      <c r="H4338" t="s">
        <v>4354</v>
      </c>
    </row>
    <row r="4339" spans="8:8" x14ac:dyDescent="0.25">
      <c r="H4339" t="s">
        <v>1059</v>
      </c>
    </row>
    <row r="4340" spans="8:8" x14ac:dyDescent="0.25">
      <c r="H4340" t="s">
        <v>2506</v>
      </c>
    </row>
    <row r="4341" spans="8:8" x14ac:dyDescent="0.25">
      <c r="H4341" t="s">
        <v>1224</v>
      </c>
    </row>
    <row r="4342" spans="8:8" x14ac:dyDescent="0.25">
      <c r="H4342" t="s">
        <v>3023</v>
      </c>
    </row>
    <row r="4343" spans="8:8" x14ac:dyDescent="0.25">
      <c r="H4343" t="s">
        <v>1008</v>
      </c>
    </row>
    <row r="4344" spans="8:8" x14ac:dyDescent="0.25">
      <c r="H4344" t="s">
        <v>1946</v>
      </c>
    </row>
    <row r="4345" spans="8:8" x14ac:dyDescent="0.25">
      <c r="H4345" t="s">
        <v>4105</v>
      </c>
    </row>
    <row r="4346" spans="8:8" x14ac:dyDescent="0.25">
      <c r="H4346" t="s">
        <v>4316</v>
      </c>
    </row>
    <row r="4347" spans="8:8" x14ac:dyDescent="0.25">
      <c r="H4347" t="s">
        <v>2074</v>
      </c>
    </row>
    <row r="4348" spans="8:8" x14ac:dyDescent="0.25">
      <c r="H4348" t="s">
        <v>4471</v>
      </c>
    </row>
    <row r="4349" spans="8:8" x14ac:dyDescent="0.25">
      <c r="H4349" t="s">
        <v>5478</v>
      </c>
    </row>
    <row r="4350" spans="8:8" x14ac:dyDescent="0.25">
      <c r="H4350" t="s">
        <v>4427</v>
      </c>
    </row>
    <row r="4351" spans="8:8" x14ac:dyDescent="0.25">
      <c r="H4351" t="s">
        <v>5429</v>
      </c>
    </row>
    <row r="4352" spans="8:8" x14ac:dyDescent="0.25">
      <c r="H4352" t="s">
        <v>3017</v>
      </c>
    </row>
    <row r="4353" spans="8:8" x14ac:dyDescent="0.25">
      <c r="H4353" t="s">
        <v>5298</v>
      </c>
    </row>
    <row r="4354" spans="8:8" x14ac:dyDescent="0.25">
      <c r="H4354" t="s">
        <v>1691</v>
      </c>
    </row>
    <row r="4355" spans="8:8" x14ac:dyDescent="0.25">
      <c r="H4355" t="s">
        <v>3331</v>
      </c>
    </row>
    <row r="4356" spans="8:8" x14ac:dyDescent="0.25">
      <c r="H4356" t="s">
        <v>3499</v>
      </c>
    </row>
    <row r="4357" spans="8:8" x14ac:dyDescent="0.25">
      <c r="H4357" t="s">
        <v>2820</v>
      </c>
    </row>
    <row r="4358" spans="8:8" x14ac:dyDescent="0.25">
      <c r="H4358" t="s">
        <v>3677</v>
      </c>
    </row>
    <row r="4359" spans="8:8" x14ac:dyDescent="0.25">
      <c r="H4359" t="s">
        <v>1052</v>
      </c>
    </row>
    <row r="4360" spans="8:8" x14ac:dyDescent="0.25">
      <c r="H4360" t="s">
        <v>1052</v>
      </c>
    </row>
    <row r="4361" spans="8:8" x14ac:dyDescent="0.25">
      <c r="H4361" t="s">
        <v>603</v>
      </c>
    </row>
    <row r="4362" spans="8:8" x14ac:dyDescent="0.25">
      <c r="H4362" t="s">
        <v>4486</v>
      </c>
    </row>
    <row r="4363" spans="8:8" x14ac:dyDescent="0.25">
      <c r="H4363" t="s">
        <v>1353</v>
      </c>
    </row>
    <row r="4364" spans="8:8" x14ac:dyDescent="0.25">
      <c r="H4364" t="s">
        <v>833</v>
      </c>
    </row>
    <row r="4365" spans="8:8" x14ac:dyDescent="0.25">
      <c r="H4365" t="s">
        <v>4139</v>
      </c>
    </row>
    <row r="4366" spans="8:8" x14ac:dyDescent="0.25">
      <c r="H4366" t="s">
        <v>2854</v>
      </c>
    </row>
    <row r="4367" spans="8:8" x14ac:dyDescent="0.25">
      <c r="H4367" t="s">
        <v>2333</v>
      </c>
    </row>
    <row r="4368" spans="8:8" x14ac:dyDescent="0.25">
      <c r="H4368" t="s">
        <v>500</v>
      </c>
    </row>
    <row r="4369" spans="8:8" x14ac:dyDescent="0.25">
      <c r="H4369" t="s">
        <v>498</v>
      </c>
    </row>
    <row r="4370" spans="8:8" x14ac:dyDescent="0.25">
      <c r="H4370" t="s">
        <v>498</v>
      </c>
    </row>
    <row r="4371" spans="8:8" x14ac:dyDescent="0.25">
      <c r="H4371" t="s">
        <v>1181</v>
      </c>
    </row>
    <row r="4372" spans="8:8" x14ac:dyDescent="0.25">
      <c r="H4372" t="s">
        <v>2866</v>
      </c>
    </row>
    <row r="4373" spans="8:8" x14ac:dyDescent="0.25">
      <c r="H4373" t="s">
        <v>2409</v>
      </c>
    </row>
    <row r="4374" spans="8:8" x14ac:dyDescent="0.25">
      <c r="H4374" t="s">
        <v>2258</v>
      </c>
    </row>
    <row r="4375" spans="8:8" x14ac:dyDescent="0.25">
      <c r="H4375" t="s">
        <v>4440</v>
      </c>
    </row>
    <row r="4376" spans="8:8" x14ac:dyDescent="0.25">
      <c r="H4376" t="s">
        <v>5394</v>
      </c>
    </row>
    <row r="4377" spans="8:8" x14ac:dyDescent="0.25">
      <c r="H4377" t="s">
        <v>5007</v>
      </c>
    </row>
    <row r="4378" spans="8:8" x14ac:dyDescent="0.25">
      <c r="H4378" t="s">
        <v>4477</v>
      </c>
    </row>
    <row r="4379" spans="8:8" x14ac:dyDescent="0.25">
      <c r="H4379" t="s">
        <v>4507</v>
      </c>
    </row>
    <row r="4380" spans="8:8" x14ac:dyDescent="0.25">
      <c r="H4380" t="s">
        <v>4511</v>
      </c>
    </row>
    <row r="4381" spans="8:8" x14ac:dyDescent="0.25">
      <c r="H4381" t="s">
        <v>4374</v>
      </c>
    </row>
    <row r="4382" spans="8:8" x14ac:dyDescent="0.25">
      <c r="H4382" t="s">
        <v>1847</v>
      </c>
    </row>
    <row r="4383" spans="8:8" x14ac:dyDescent="0.25">
      <c r="H4383" t="s">
        <v>2904</v>
      </c>
    </row>
    <row r="4384" spans="8:8" x14ac:dyDescent="0.25">
      <c r="H4384" t="s">
        <v>2904</v>
      </c>
    </row>
    <row r="4385" spans="8:8" x14ac:dyDescent="0.25">
      <c r="H4385" t="s">
        <v>5169</v>
      </c>
    </row>
    <row r="4386" spans="8:8" x14ac:dyDescent="0.25">
      <c r="H4386" t="s">
        <v>1996</v>
      </c>
    </row>
    <row r="4387" spans="8:8" x14ac:dyDescent="0.25">
      <c r="H4387" t="s">
        <v>520</v>
      </c>
    </row>
    <row r="4388" spans="8:8" x14ac:dyDescent="0.25">
      <c r="H4388" t="s">
        <v>4522</v>
      </c>
    </row>
    <row r="4389" spans="8:8" x14ac:dyDescent="0.25">
      <c r="H4389" t="s">
        <v>4957</v>
      </c>
    </row>
    <row r="4390" spans="8:8" x14ac:dyDescent="0.25">
      <c r="H4390" t="s">
        <v>4552</v>
      </c>
    </row>
    <row r="4391" spans="8:8" x14ac:dyDescent="0.25">
      <c r="H4391" t="s">
        <v>4993</v>
      </c>
    </row>
    <row r="4392" spans="8:8" x14ac:dyDescent="0.25">
      <c r="H4392" t="s">
        <v>4556</v>
      </c>
    </row>
    <row r="4393" spans="8:8" x14ac:dyDescent="0.25">
      <c r="H4393" t="s">
        <v>2642</v>
      </c>
    </row>
    <row r="4394" spans="8:8" x14ac:dyDescent="0.25">
      <c r="H4394" t="s">
        <v>4618</v>
      </c>
    </row>
    <row r="4395" spans="8:8" x14ac:dyDescent="0.25">
      <c r="H4395" t="s">
        <v>4619</v>
      </c>
    </row>
    <row r="4396" spans="8:8" x14ac:dyDescent="0.25">
      <c r="H4396" t="s">
        <v>4594</v>
      </c>
    </row>
    <row r="4397" spans="8:8" x14ac:dyDescent="0.25">
      <c r="H4397" t="s">
        <v>4537</v>
      </c>
    </row>
    <row r="4398" spans="8:8" x14ac:dyDescent="0.25">
      <c r="H4398" t="s">
        <v>4792</v>
      </c>
    </row>
    <row r="4399" spans="8:8" x14ac:dyDescent="0.25">
      <c r="H4399" t="s">
        <v>1066</v>
      </c>
    </row>
    <row r="4400" spans="8:8" x14ac:dyDescent="0.25">
      <c r="H4400" t="s">
        <v>807</v>
      </c>
    </row>
    <row r="4401" spans="8:8" x14ac:dyDescent="0.25">
      <c r="H4401" t="s">
        <v>2670</v>
      </c>
    </row>
    <row r="4402" spans="8:8" x14ac:dyDescent="0.25">
      <c r="H4402" t="s">
        <v>4539</v>
      </c>
    </row>
    <row r="4403" spans="8:8" x14ac:dyDescent="0.25">
      <c r="H4403" t="s">
        <v>4551</v>
      </c>
    </row>
    <row r="4404" spans="8:8" x14ac:dyDescent="0.25">
      <c r="H4404" t="s">
        <v>792</v>
      </c>
    </row>
    <row r="4405" spans="8:8" x14ac:dyDescent="0.25">
      <c r="H4405" t="s">
        <v>1480</v>
      </c>
    </row>
    <row r="4406" spans="8:8" x14ac:dyDescent="0.25">
      <c r="H4406" t="s">
        <v>3946</v>
      </c>
    </row>
    <row r="4407" spans="8:8" x14ac:dyDescent="0.25">
      <c r="H4407" t="s">
        <v>5477</v>
      </c>
    </row>
    <row r="4408" spans="8:8" x14ac:dyDescent="0.25">
      <c r="H4408" t="s">
        <v>5493</v>
      </c>
    </row>
    <row r="4409" spans="8:8" x14ac:dyDescent="0.25">
      <c r="H4409" t="s">
        <v>2861</v>
      </c>
    </row>
    <row r="4410" spans="8:8" x14ac:dyDescent="0.25">
      <c r="H4410" t="s">
        <v>1417</v>
      </c>
    </row>
    <row r="4411" spans="8:8" x14ac:dyDescent="0.25">
      <c r="H4411" t="s">
        <v>264</v>
      </c>
    </row>
    <row r="4412" spans="8:8" x14ac:dyDescent="0.25">
      <c r="H4412" t="s">
        <v>4263</v>
      </c>
    </row>
    <row r="4413" spans="8:8" x14ac:dyDescent="0.25">
      <c r="H4413" t="s">
        <v>4559</v>
      </c>
    </row>
    <row r="4414" spans="8:8" x14ac:dyDescent="0.25">
      <c r="H4414" t="s">
        <v>4563</v>
      </c>
    </row>
    <row r="4415" spans="8:8" x14ac:dyDescent="0.25">
      <c r="H4415" t="s">
        <v>3855</v>
      </c>
    </row>
    <row r="4416" spans="8:8" x14ac:dyDescent="0.25">
      <c r="H4416" t="s">
        <v>3855</v>
      </c>
    </row>
    <row r="4417" spans="8:8" x14ac:dyDescent="0.25">
      <c r="H4417" t="s">
        <v>935</v>
      </c>
    </row>
    <row r="4418" spans="8:8" x14ac:dyDescent="0.25">
      <c r="H4418" t="s">
        <v>2804</v>
      </c>
    </row>
    <row r="4419" spans="8:8" x14ac:dyDescent="0.25">
      <c r="H4419" t="s">
        <v>2312</v>
      </c>
    </row>
    <row r="4420" spans="8:8" x14ac:dyDescent="0.25">
      <c r="H4420" t="s">
        <v>4718</v>
      </c>
    </row>
    <row r="4421" spans="8:8" x14ac:dyDescent="0.25">
      <c r="H4421" t="s">
        <v>1599</v>
      </c>
    </row>
    <row r="4422" spans="8:8" x14ac:dyDescent="0.25">
      <c r="H4422" t="s">
        <v>4924</v>
      </c>
    </row>
    <row r="4423" spans="8:8" x14ac:dyDescent="0.25">
      <c r="H4423" t="s">
        <v>3940</v>
      </c>
    </row>
    <row r="4424" spans="8:8" x14ac:dyDescent="0.25">
      <c r="H4424" t="s">
        <v>4395</v>
      </c>
    </row>
    <row r="4425" spans="8:8" x14ac:dyDescent="0.25">
      <c r="H4425" t="s">
        <v>3845</v>
      </c>
    </row>
    <row r="4426" spans="8:8" x14ac:dyDescent="0.25">
      <c r="H4426" t="s">
        <v>4567</v>
      </c>
    </row>
    <row r="4427" spans="8:8" x14ac:dyDescent="0.25">
      <c r="H4427" t="s">
        <v>4542</v>
      </c>
    </row>
    <row r="4428" spans="8:8" x14ac:dyDescent="0.25">
      <c r="H4428" t="s">
        <v>4570</v>
      </c>
    </row>
    <row r="4429" spans="8:8" x14ac:dyDescent="0.25">
      <c r="H4429" t="s">
        <v>3392</v>
      </c>
    </row>
    <row r="4430" spans="8:8" x14ac:dyDescent="0.25">
      <c r="H4430" t="s">
        <v>4100</v>
      </c>
    </row>
    <row r="4431" spans="8:8" x14ac:dyDescent="0.25">
      <c r="H4431" t="s">
        <v>2144</v>
      </c>
    </row>
    <row r="4432" spans="8:8" x14ac:dyDescent="0.25">
      <c r="H4432" t="s">
        <v>2632</v>
      </c>
    </row>
    <row r="4433" spans="8:8" x14ac:dyDescent="0.25">
      <c r="H4433" t="s">
        <v>2469</v>
      </c>
    </row>
    <row r="4434" spans="8:8" x14ac:dyDescent="0.25">
      <c r="H4434" t="s">
        <v>3477</v>
      </c>
    </row>
    <row r="4435" spans="8:8" x14ac:dyDescent="0.25">
      <c r="H4435" t="s">
        <v>4012</v>
      </c>
    </row>
    <row r="4436" spans="8:8" x14ac:dyDescent="0.25">
      <c r="H4436" t="s">
        <v>2099</v>
      </c>
    </row>
    <row r="4437" spans="8:8" x14ac:dyDescent="0.25">
      <c r="H4437" t="s">
        <v>3318</v>
      </c>
    </row>
    <row r="4438" spans="8:8" x14ac:dyDescent="0.25">
      <c r="H4438" t="s">
        <v>5432</v>
      </c>
    </row>
    <row r="4439" spans="8:8" x14ac:dyDescent="0.25">
      <c r="H4439" t="s">
        <v>2410</v>
      </c>
    </row>
    <row r="4440" spans="8:8" x14ac:dyDescent="0.25">
      <c r="H4440" t="s">
        <v>3461</v>
      </c>
    </row>
    <row r="4441" spans="8:8" x14ac:dyDescent="0.25">
      <c r="H4441" t="s">
        <v>1413</v>
      </c>
    </row>
    <row r="4442" spans="8:8" x14ac:dyDescent="0.25">
      <c r="H4442" t="s">
        <v>4793</v>
      </c>
    </row>
    <row r="4443" spans="8:8" x14ac:dyDescent="0.25">
      <c r="H4443" t="s">
        <v>463</v>
      </c>
    </row>
    <row r="4444" spans="8:8" x14ac:dyDescent="0.25">
      <c r="H4444" t="s">
        <v>3675</v>
      </c>
    </row>
    <row r="4445" spans="8:8" x14ac:dyDescent="0.25">
      <c r="H4445" t="s">
        <v>478</v>
      </c>
    </row>
    <row r="4446" spans="8:8" x14ac:dyDescent="0.25">
      <c r="H4446" t="s">
        <v>4565</v>
      </c>
    </row>
    <row r="4447" spans="8:8" x14ac:dyDescent="0.25">
      <c r="H4447" t="s">
        <v>4691</v>
      </c>
    </row>
    <row r="4448" spans="8:8" x14ac:dyDescent="0.25">
      <c r="H4448" t="s">
        <v>2076</v>
      </c>
    </row>
    <row r="4449" spans="8:8" x14ac:dyDescent="0.25">
      <c r="H4449" t="s">
        <v>2068</v>
      </c>
    </row>
    <row r="4450" spans="8:8" x14ac:dyDescent="0.25">
      <c r="H4450" t="s">
        <v>2231</v>
      </c>
    </row>
    <row r="4451" spans="8:8" x14ac:dyDescent="0.25">
      <c r="H4451" t="s">
        <v>2008</v>
      </c>
    </row>
    <row r="4452" spans="8:8" x14ac:dyDescent="0.25">
      <c r="H4452" t="s">
        <v>1324</v>
      </c>
    </row>
    <row r="4453" spans="8:8" x14ac:dyDescent="0.25">
      <c r="H4453" t="s">
        <v>5540</v>
      </c>
    </row>
    <row r="4454" spans="8:8" x14ac:dyDescent="0.25">
      <c r="H4454" t="s">
        <v>4195</v>
      </c>
    </row>
    <row r="4455" spans="8:8" x14ac:dyDescent="0.25">
      <c r="H4455" t="s">
        <v>4273</v>
      </c>
    </row>
    <row r="4456" spans="8:8" x14ac:dyDescent="0.25">
      <c r="H4456" t="s">
        <v>3415</v>
      </c>
    </row>
    <row r="4457" spans="8:8" x14ac:dyDescent="0.25">
      <c r="H4457" t="s">
        <v>4643</v>
      </c>
    </row>
    <row r="4458" spans="8:8" x14ac:dyDescent="0.25">
      <c r="H4458" t="s">
        <v>4604</v>
      </c>
    </row>
    <row r="4459" spans="8:8" x14ac:dyDescent="0.25">
      <c r="H4459" t="s">
        <v>4192</v>
      </c>
    </row>
    <row r="4460" spans="8:8" x14ac:dyDescent="0.25">
      <c r="H4460" t="s">
        <v>4203</v>
      </c>
    </row>
    <row r="4461" spans="8:8" x14ac:dyDescent="0.25">
      <c r="H4461" t="s">
        <v>4276</v>
      </c>
    </row>
    <row r="4462" spans="8:8" x14ac:dyDescent="0.25">
      <c r="H4462" t="s">
        <v>4601</v>
      </c>
    </row>
    <row r="4463" spans="8:8" x14ac:dyDescent="0.25">
      <c r="H4463" t="s">
        <v>5041</v>
      </c>
    </row>
    <row r="4464" spans="8:8" x14ac:dyDescent="0.25">
      <c r="H4464" t="s">
        <v>4530</v>
      </c>
    </row>
    <row r="4465" spans="8:8" x14ac:dyDescent="0.25">
      <c r="H4465" t="s">
        <v>2298</v>
      </c>
    </row>
    <row r="4466" spans="8:8" x14ac:dyDescent="0.25">
      <c r="H4466" t="s">
        <v>1170</v>
      </c>
    </row>
    <row r="4467" spans="8:8" x14ac:dyDescent="0.25">
      <c r="H4467" t="s">
        <v>4605</v>
      </c>
    </row>
    <row r="4468" spans="8:8" x14ac:dyDescent="0.25">
      <c r="H4468" t="s">
        <v>3807</v>
      </c>
    </row>
    <row r="4469" spans="8:8" x14ac:dyDescent="0.25">
      <c r="H4469" t="s">
        <v>2411</v>
      </c>
    </row>
    <row r="4470" spans="8:8" x14ac:dyDescent="0.25">
      <c r="H4470" t="s">
        <v>1171</v>
      </c>
    </row>
    <row r="4471" spans="8:8" x14ac:dyDescent="0.25">
      <c r="H4471" t="s">
        <v>3152</v>
      </c>
    </row>
    <row r="4472" spans="8:8" x14ac:dyDescent="0.25">
      <c r="H4472" t="s">
        <v>3785</v>
      </c>
    </row>
    <row r="4473" spans="8:8" x14ac:dyDescent="0.25">
      <c r="H4473" t="s">
        <v>4502</v>
      </c>
    </row>
    <row r="4474" spans="8:8" x14ac:dyDescent="0.25">
      <c r="H4474" t="s">
        <v>4739</v>
      </c>
    </row>
    <row r="4475" spans="8:8" x14ac:dyDescent="0.25">
      <c r="H4475" t="s">
        <v>4609</v>
      </c>
    </row>
    <row r="4476" spans="8:8" x14ac:dyDescent="0.25">
      <c r="H4476" t="s">
        <v>3441</v>
      </c>
    </row>
    <row r="4477" spans="8:8" x14ac:dyDescent="0.25">
      <c r="H4477" t="s">
        <v>4608</v>
      </c>
    </row>
    <row r="4478" spans="8:8" x14ac:dyDescent="0.25">
      <c r="H4478" t="s">
        <v>4607</v>
      </c>
    </row>
    <row r="4479" spans="8:8" x14ac:dyDescent="0.25">
      <c r="H4479" t="s">
        <v>1038</v>
      </c>
    </row>
    <row r="4480" spans="8:8" x14ac:dyDescent="0.25">
      <c r="H4480" t="s">
        <v>2098</v>
      </c>
    </row>
    <row r="4481" spans="8:8" x14ac:dyDescent="0.25">
      <c r="H4481" t="s">
        <v>4503</v>
      </c>
    </row>
    <row r="4482" spans="8:8" x14ac:dyDescent="0.25">
      <c r="H4482" t="s">
        <v>4620</v>
      </c>
    </row>
    <row r="4483" spans="8:8" x14ac:dyDescent="0.25">
      <c r="H4483" t="s">
        <v>4044</v>
      </c>
    </row>
    <row r="4484" spans="8:8" x14ac:dyDescent="0.25">
      <c r="H4484" t="s">
        <v>4623</v>
      </c>
    </row>
    <row r="4485" spans="8:8" x14ac:dyDescent="0.25">
      <c r="H4485" t="s">
        <v>4546</v>
      </c>
    </row>
    <row r="4486" spans="8:8" x14ac:dyDescent="0.25">
      <c r="H4486" t="s">
        <v>786</v>
      </c>
    </row>
    <row r="4487" spans="8:8" x14ac:dyDescent="0.25">
      <c r="H4487" t="s">
        <v>4628</v>
      </c>
    </row>
    <row r="4488" spans="8:8" x14ac:dyDescent="0.25">
      <c r="H4488" t="s">
        <v>4631</v>
      </c>
    </row>
    <row r="4489" spans="8:8" x14ac:dyDescent="0.25">
      <c r="H4489" t="s">
        <v>5202</v>
      </c>
    </row>
    <row r="4490" spans="8:8" x14ac:dyDescent="0.25">
      <c r="H4490" t="s">
        <v>568</v>
      </c>
    </row>
    <row r="4491" spans="8:8" x14ac:dyDescent="0.25">
      <c r="H4491" t="s">
        <v>673</v>
      </c>
    </row>
    <row r="4492" spans="8:8" x14ac:dyDescent="0.25">
      <c r="H4492" t="s">
        <v>1454</v>
      </c>
    </row>
    <row r="4493" spans="8:8" x14ac:dyDescent="0.25">
      <c r="H4493" t="s">
        <v>674</v>
      </c>
    </row>
    <row r="4494" spans="8:8" x14ac:dyDescent="0.25">
      <c r="H4494" t="s">
        <v>675</v>
      </c>
    </row>
    <row r="4495" spans="8:8" x14ac:dyDescent="0.25">
      <c r="H4495" t="s">
        <v>2637</v>
      </c>
    </row>
    <row r="4496" spans="8:8" x14ac:dyDescent="0.25">
      <c r="H4496" t="s">
        <v>706</v>
      </c>
    </row>
    <row r="4497" spans="8:8" x14ac:dyDescent="0.25">
      <c r="H4497" t="s">
        <v>4637</v>
      </c>
    </row>
    <row r="4498" spans="8:8" x14ac:dyDescent="0.25">
      <c r="H4498" t="s">
        <v>3933</v>
      </c>
    </row>
    <row r="4499" spans="8:8" x14ac:dyDescent="0.25">
      <c r="H4499" t="s">
        <v>3322</v>
      </c>
    </row>
    <row r="4500" spans="8:8" x14ac:dyDescent="0.25">
      <c r="H4500" t="s">
        <v>3456</v>
      </c>
    </row>
    <row r="4501" spans="8:8" x14ac:dyDescent="0.25">
      <c r="H4501" t="s">
        <v>766</v>
      </c>
    </row>
    <row r="4502" spans="8:8" x14ac:dyDescent="0.25">
      <c r="H4502" t="s">
        <v>4640</v>
      </c>
    </row>
    <row r="4503" spans="8:8" x14ac:dyDescent="0.25">
      <c r="H4503" t="s">
        <v>1585</v>
      </c>
    </row>
    <row r="4504" spans="8:8" x14ac:dyDescent="0.25">
      <c r="H4504" t="s">
        <v>1904</v>
      </c>
    </row>
    <row r="4505" spans="8:8" x14ac:dyDescent="0.25">
      <c r="H4505" t="s">
        <v>3805</v>
      </c>
    </row>
    <row r="4506" spans="8:8" x14ac:dyDescent="0.25">
      <c r="H4506" t="s">
        <v>1513</v>
      </c>
    </row>
    <row r="4507" spans="8:8" x14ac:dyDescent="0.25">
      <c r="H4507" t="s">
        <v>2005</v>
      </c>
    </row>
    <row r="4508" spans="8:8" x14ac:dyDescent="0.25">
      <c r="H4508" t="s">
        <v>1592</v>
      </c>
    </row>
    <row r="4509" spans="8:8" x14ac:dyDescent="0.25">
      <c r="H4509" t="s">
        <v>1593</v>
      </c>
    </row>
    <row r="4510" spans="8:8" x14ac:dyDescent="0.25">
      <c r="H4510" t="s">
        <v>1586</v>
      </c>
    </row>
    <row r="4511" spans="8:8" x14ac:dyDescent="0.25">
      <c r="H4511" t="s">
        <v>2872</v>
      </c>
    </row>
    <row r="4512" spans="8:8" x14ac:dyDescent="0.25">
      <c r="H4512" t="s">
        <v>4431</v>
      </c>
    </row>
    <row r="4513" spans="8:8" x14ac:dyDescent="0.25">
      <c r="H4513" t="s">
        <v>2559</v>
      </c>
    </row>
    <row r="4514" spans="8:8" x14ac:dyDescent="0.25">
      <c r="H4514" t="s">
        <v>3082</v>
      </c>
    </row>
    <row r="4515" spans="8:8" x14ac:dyDescent="0.25">
      <c r="H4515" t="s">
        <v>3110</v>
      </c>
    </row>
    <row r="4516" spans="8:8" x14ac:dyDescent="0.25">
      <c r="H4516" t="s">
        <v>1642</v>
      </c>
    </row>
    <row r="4517" spans="8:8" x14ac:dyDescent="0.25">
      <c r="H4517" t="s">
        <v>3620</v>
      </c>
    </row>
    <row r="4518" spans="8:8" x14ac:dyDescent="0.25">
      <c r="H4518" t="s">
        <v>4277</v>
      </c>
    </row>
    <row r="4519" spans="8:8" x14ac:dyDescent="0.25">
      <c r="H4519" t="s">
        <v>4740</v>
      </c>
    </row>
    <row r="4520" spans="8:8" x14ac:dyDescent="0.25">
      <c r="H4520" t="s">
        <v>880</v>
      </c>
    </row>
    <row r="4521" spans="8:8" x14ac:dyDescent="0.25">
      <c r="H4521" t="s">
        <v>5065</v>
      </c>
    </row>
    <row r="4522" spans="8:8" x14ac:dyDescent="0.25">
      <c r="H4522" t="s">
        <v>4260</v>
      </c>
    </row>
    <row r="4523" spans="8:8" x14ac:dyDescent="0.25">
      <c r="H4523" t="s">
        <v>2117</v>
      </c>
    </row>
    <row r="4524" spans="8:8" x14ac:dyDescent="0.25">
      <c r="H4524" t="s">
        <v>4677</v>
      </c>
    </row>
    <row r="4525" spans="8:8" x14ac:dyDescent="0.25">
      <c r="H4525" t="s">
        <v>4678</v>
      </c>
    </row>
    <row r="4526" spans="8:8" x14ac:dyDescent="0.25">
      <c r="H4526" t="s">
        <v>4679</v>
      </c>
    </row>
    <row r="4527" spans="8:8" x14ac:dyDescent="0.25">
      <c r="H4527" t="s">
        <v>4683</v>
      </c>
    </row>
    <row r="4528" spans="8:8" x14ac:dyDescent="0.25">
      <c r="H4528" t="s">
        <v>4356</v>
      </c>
    </row>
    <row r="4529" spans="8:8" x14ac:dyDescent="0.25">
      <c r="H4529" t="s">
        <v>1646</v>
      </c>
    </row>
    <row r="4530" spans="8:8" x14ac:dyDescent="0.25">
      <c r="H4530" t="s">
        <v>3558</v>
      </c>
    </row>
    <row r="4531" spans="8:8" x14ac:dyDescent="0.25">
      <c r="H4531" t="s">
        <v>560</v>
      </c>
    </row>
    <row r="4532" spans="8:8" x14ac:dyDescent="0.25">
      <c r="H4532" t="s">
        <v>5507</v>
      </c>
    </row>
    <row r="4533" spans="8:8" x14ac:dyDescent="0.25">
      <c r="H4533" t="s">
        <v>2909</v>
      </c>
    </row>
    <row r="4534" spans="8:8" x14ac:dyDescent="0.25">
      <c r="H4534" t="s">
        <v>3061</v>
      </c>
    </row>
    <row r="4535" spans="8:8" x14ac:dyDescent="0.25">
      <c r="H4535" t="s">
        <v>3061</v>
      </c>
    </row>
    <row r="4536" spans="8:8" x14ac:dyDescent="0.25">
      <c r="H4536" t="s">
        <v>561</v>
      </c>
    </row>
    <row r="4537" spans="8:8" x14ac:dyDescent="0.25">
      <c r="H4537" t="s">
        <v>3674</v>
      </c>
    </row>
    <row r="4538" spans="8:8" x14ac:dyDescent="0.25">
      <c r="H4538" t="s">
        <v>4238</v>
      </c>
    </row>
    <row r="4539" spans="8:8" x14ac:dyDescent="0.25">
      <c r="H4539" t="s">
        <v>3850</v>
      </c>
    </row>
    <row r="4540" spans="8:8" x14ac:dyDescent="0.25">
      <c r="H4540" t="s">
        <v>1427</v>
      </c>
    </row>
    <row r="4541" spans="8:8" x14ac:dyDescent="0.25">
      <c r="H4541" t="s">
        <v>2145</v>
      </c>
    </row>
    <row r="4542" spans="8:8" x14ac:dyDescent="0.25">
      <c r="H4542" t="s">
        <v>4687</v>
      </c>
    </row>
    <row r="4543" spans="8:8" x14ac:dyDescent="0.25">
      <c r="H4543" t="s">
        <v>4709</v>
      </c>
    </row>
    <row r="4544" spans="8:8" x14ac:dyDescent="0.25">
      <c r="H4544" t="s">
        <v>3997</v>
      </c>
    </row>
    <row r="4545" spans="8:8" x14ac:dyDescent="0.25">
      <c r="H4545" t="s">
        <v>4747</v>
      </c>
    </row>
    <row r="4546" spans="8:8" x14ac:dyDescent="0.25">
      <c r="H4546" t="s">
        <v>1381</v>
      </c>
    </row>
    <row r="4547" spans="8:8" x14ac:dyDescent="0.25">
      <c r="H4547" t="s">
        <v>1202</v>
      </c>
    </row>
    <row r="4548" spans="8:8" x14ac:dyDescent="0.25">
      <c r="H4548" t="s">
        <v>5445</v>
      </c>
    </row>
    <row r="4549" spans="8:8" x14ac:dyDescent="0.25">
      <c r="H4549" t="s">
        <v>3063</v>
      </c>
    </row>
    <row r="4550" spans="8:8" x14ac:dyDescent="0.25">
      <c r="H4550" t="s">
        <v>707</v>
      </c>
    </row>
    <row r="4551" spans="8:8" x14ac:dyDescent="0.25">
      <c r="H4551" t="s">
        <v>4753</v>
      </c>
    </row>
    <row r="4552" spans="8:8" x14ac:dyDescent="0.25">
      <c r="H4552" t="s">
        <v>2862</v>
      </c>
    </row>
    <row r="4553" spans="8:8" x14ac:dyDescent="0.25">
      <c r="H4553" t="s">
        <v>265</v>
      </c>
    </row>
    <row r="4554" spans="8:8" x14ac:dyDescent="0.25">
      <c r="H4554" t="s">
        <v>2540</v>
      </c>
    </row>
    <row r="4555" spans="8:8" x14ac:dyDescent="0.25">
      <c r="H4555" t="s">
        <v>1791</v>
      </c>
    </row>
    <row r="4556" spans="8:8" x14ac:dyDescent="0.25">
      <c r="H4556" t="s">
        <v>5408</v>
      </c>
    </row>
    <row r="4557" spans="8:8" x14ac:dyDescent="0.25">
      <c r="H4557" t="s">
        <v>4816</v>
      </c>
    </row>
    <row r="4558" spans="8:8" x14ac:dyDescent="0.25">
      <c r="H4558" t="s">
        <v>4817</v>
      </c>
    </row>
    <row r="4559" spans="8:8" x14ac:dyDescent="0.25">
      <c r="H4559" t="s">
        <v>3869</v>
      </c>
    </row>
    <row r="4560" spans="8:8" x14ac:dyDescent="0.25">
      <c r="H4560" t="s">
        <v>4695</v>
      </c>
    </row>
    <row r="4561" spans="8:8" x14ac:dyDescent="0.25">
      <c r="H4561" t="s">
        <v>4823</v>
      </c>
    </row>
    <row r="4562" spans="8:8" x14ac:dyDescent="0.25">
      <c r="H4562" t="s">
        <v>767</v>
      </c>
    </row>
    <row r="4563" spans="8:8" x14ac:dyDescent="0.25">
      <c r="H4563" t="s">
        <v>767</v>
      </c>
    </row>
    <row r="4564" spans="8:8" x14ac:dyDescent="0.25">
      <c r="H4564" t="s">
        <v>3374</v>
      </c>
    </row>
    <row r="4565" spans="8:8" x14ac:dyDescent="0.25">
      <c r="H4565" t="s">
        <v>4822</v>
      </c>
    </row>
    <row r="4566" spans="8:8" x14ac:dyDescent="0.25">
      <c r="H4566" t="s">
        <v>5457</v>
      </c>
    </row>
    <row r="4567" spans="8:8" x14ac:dyDescent="0.25">
      <c r="H4567" t="s">
        <v>4945</v>
      </c>
    </row>
    <row r="4568" spans="8:8" x14ac:dyDescent="0.25">
      <c r="H4568" t="s">
        <v>3314</v>
      </c>
    </row>
    <row r="4569" spans="8:8" x14ac:dyDescent="0.25">
      <c r="H4569" t="s">
        <v>4867</v>
      </c>
    </row>
    <row r="4570" spans="8:8" x14ac:dyDescent="0.25">
      <c r="H4570" t="s">
        <v>4071</v>
      </c>
    </row>
    <row r="4571" spans="8:8" x14ac:dyDescent="0.25">
      <c r="H4571" t="s">
        <v>2456</v>
      </c>
    </row>
    <row r="4572" spans="8:8" x14ac:dyDescent="0.25">
      <c r="H4572" t="s">
        <v>4141</v>
      </c>
    </row>
    <row r="4573" spans="8:8" x14ac:dyDescent="0.25">
      <c r="H4573" t="s">
        <v>1988</v>
      </c>
    </row>
    <row r="4574" spans="8:8" x14ac:dyDescent="0.25">
      <c r="H4574" t="s">
        <v>2244</v>
      </c>
    </row>
    <row r="4575" spans="8:8" x14ac:dyDescent="0.25">
      <c r="H4575" t="s">
        <v>2280</v>
      </c>
    </row>
    <row r="4576" spans="8:8" x14ac:dyDescent="0.25">
      <c r="H4576" t="s">
        <v>3750</v>
      </c>
    </row>
    <row r="4577" spans="8:8" x14ac:dyDescent="0.25">
      <c r="H4577" t="s">
        <v>3753</v>
      </c>
    </row>
    <row r="4578" spans="8:8" x14ac:dyDescent="0.25">
      <c r="H4578" t="s">
        <v>4419</v>
      </c>
    </row>
    <row r="4579" spans="8:8" x14ac:dyDescent="0.25">
      <c r="H4579" t="s">
        <v>3083</v>
      </c>
    </row>
    <row r="4580" spans="8:8" x14ac:dyDescent="0.25">
      <c r="H4580" t="s">
        <v>3332</v>
      </c>
    </row>
    <row r="4581" spans="8:8" x14ac:dyDescent="0.25">
      <c r="H4581" t="s">
        <v>3330</v>
      </c>
    </row>
    <row r="4582" spans="8:8" x14ac:dyDescent="0.25">
      <c r="H4582" t="s">
        <v>4035</v>
      </c>
    </row>
    <row r="4583" spans="8:8" x14ac:dyDescent="0.25">
      <c r="H4583" t="s">
        <v>3002</v>
      </c>
    </row>
    <row r="4584" spans="8:8" x14ac:dyDescent="0.25">
      <c r="H4584" t="s">
        <v>780</v>
      </c>
    </row>
    <row r="4585" spans="8:8" x14ac:dyDescent="0.25">
      <c r="H4585" t="s">
        <v>4926</v>
      </c>
    </row>
    <row r="4586" spans="8:8" x14ac:dyDescent="0.25">
      <c r="H4586" t="s">
        <v>698</v>
      </c>
    </row>
    <row r="4587" spans="8:8" x14ac:dyDescent="0.25">
      <c r="H4587" t="s">
        <v>4931</v>
      </c>
    </row>
    <row r="4588" spans="8:8" x14ac:dyDescent="0.25">
      <c r="H4588" t="s">
        <v>1331</v>
      </c>
    </row>
    <row r="4589" spans="8:8" x14ac:dyDescent="0.25">
      <c r="H4589" t="s">
        <v>4844</v>
      </c>
    </row>
    <row r="4590" spans="8:8" x14ac:dyDescent="0.25">
      <c r="H4590" t="s">
        <v>4667</v>
      </c>
    </row>
    <row r="4591" spans="8:8" x14ac:dyDescent="0.25">
      <c r="H4591" t="s">
        <v>981</v>
      </c>
    </row>
    <row r="4592" spans="8:8" x14ac:dyDescent="0.25">
      <c r="H4592" t="s">
        <v>4853</v>
      </c>
    </row>
    <row r="4593" spans="8:8" x14ac:dyDescent="0.25">
      <c r="H4593" t="s">
        <v>4862</v>
      </c>
    </row>
    <row r="4594" spans="8:8" x14ac:dyDescent="0.25">
      <c r="H4594" t="s">
        <v>1120</v>
      </c>
    </row>
    <row r="4595" spans="8:8" x14ac:dyDescent="0.25">
      <c r="H4595" t="s">
        <v>4795</v>
      </c>
    </row>
    <row r="4596" spans="8:8" x14ac:dyDescent="0.25">
      <c r="H4596" t="s">
        <v>1166</v>
      </c>
    </row>
    <row r="4597" spans="8:8" x14ac:dyDescent="0.25">
      <c r="H4597" t="s">
        <v>4663</v>
      </c>
    </row>
    <row r="4598" spans="8:8" x14ac:dyDescent="0.25">
      <c r="H4598" t="s">
        <v>676</v>
      </c>
    </row>
    <row r="4599" spans="8:8" x14ac:dyDescent="0.25">
      <c r="H4599" t="s">
        <v>678</v>
      </c>
    </row>
    <row r="4600" spans="8:8" x14ac:dyDescent="0.25">
      <c r="H4600" t="s">
        <v>4496</v>
      </c>
    </row>
    <row r="4601" spans="8:8" x14ac:dyDescent="0.25">
      <c r="H4601" t="s">
        <v>679</v>
      </c>
    </row>
    <row r="4602" spans="8:8" x14ac:dyDescent="0.25">
      <c r="H4602" t="s">
        <v>3587</v>
      </c>
    </row>
    <row r="4603" spans="8:8" x14ac:dyDescent="0.25">
      <c r="H4603" t="s">
        <v>4289</v>
      </c>
    </row>
    <row r="4604" spans="8:8" x14ac:dyDescent="0.25">
      <c r="H4604" t="s">
        <v>5383</v>
      </c>
    </row>
    <row r="4605" spans="8:8" x14ac:dyDescent="0.25">
      <c r="H4605" t="s">
        <v>2536</v>
      </c>
    </row>
    <row r="4606" spans="8:8" x14ac:dyDescent="0.25">
      <c r="H4606" t="s">
        <v>4888</v>
      </c>
    </row>
    <row r="4607" spans="8:8" x14ac:dyDescent="0.25">
      <c r="H4607" t="s">
        <v>3058</v>
      </c>
    </row>
    <row r="4608" spans="8:8" x14ac:dyDescent="0.25">
      <c r="H4608" t="s">
        <v>2414</v>
      </c>
    </row>
    <row r="4609" spans="8:8" x14ac:dyDescent="0.25">
      <c r="H4609" t="s">
        <v>5437</v>
      </c>
    </row>
    <row r="4610" spans="8:8" x14ac:dyDescent="0.25">
      <c r="H4610" t="s">
        <v>4889</v>
      </c>
    </row>
    <row r="4611" spans="8:8" x14ac:dyDescent="0.25">
      <c r="H4611" t="s">
        <v>4398</v>
      </c>
    </row>
    <row r="4612" spans="8:8" x14ac:dyDescent="0.25">
      <c r="H4612" t="s">
        <v>5381</v>
      </c>
    </row>
    <row r="4613" spans="8:8" x14ac:dyDescent="0.25">
      <c r="H4613" t="s">
        <v>5475</v>
      </c>
    </row>
    <row r="4614" spans="8:8" x14ac:dyDescent="0.25">
      <c r="H4614" t="s">
        <v>5490</v>
      </c>
    </row>
    <row r="4615" spans="8:8" x14ac:dyDescent="0.25">
      <c r="H4615" t="s">
        <v>1430</v>
      </c>
    </row>
    <row r="4616" spans="8:8" x14ac:dyDescent="0.25">
      <c r="H4616" t="s">
        <v>1281</v>
      </c>
    </row>
    <row r="4617" spans="8:8" x14ac:dyDescent="0.25">
      <c r="H4617" t="s">
        <v>4897</v>
      </c>
    </row>
    <row r="4618" spans="8:8" x14ac:dyDescent="0.25">
      <c r="H4618" t="s">
        <v>4898</v>
      </c>
    </row>
    <row r="4619" spans="8:8" x14ac:dyDescent="0.25">
      <c r="H4619" t="s">
        <v>1280</v>
      </c>
    </row>
    <row r="4620" spans="8:8" x14ac:dyDescent="0.25">
      <c r="H4620" t="s">
        <v>2577</v>
      </c>
    </row>
    <row r="4621" spans="8:8" x14ac:dyDescent="0.25">
      <c r="H4621" t="s">
        <v>1664</v>
      </c>
    </row>
    <row r="4622" spans="8:8" x14ac:dyDescent="0.25">
      <c r="H4622" t="s">
        <v>2884</v>
      </c>
    </row>
    <row r="4623" spans="8:8" x14ac:dyDescent="0.25">
      <c r="H4623" t="s">
        <v>2282</v>
      </c>
    </row>
    <row r="4624" spans="8:8" x14ac:dyDescent="0.25">
      <c r="H4624" t="s">
        <v>2633</v>
      </c>
    </row>
    <row r="4625" spans="8:8" x14ac:dyDescent="0.25">
      <c r="H4625" t="s">
        <v>5362</v>
      </c>
    </row>
    <row r="4626" spans="8:8" x14ac:dyDescent="0.25">
      <c r="H4626" t="s">
        <v>2015</v>
      </c>
    </row>
    <row r="4627" spans="8:8" x14ac:dyDescent="0.25">
      <c r="H4627" t="s">
        <v>2542</v>
      </c>
    </row>
    <row r="4628" spans="8:8" x14ac:dyDescent="0.25">
      <c r="H4628" t="s">
        <v>5190</v>
      </c>
    </row>
    <row r="4629" spans="8:8" x14ac:dyDescent="0.25">
      <c r="H4629" t="s">
        <v>5027</v>
      </c>
    </row>
    <row r="4630" spans="8:8" x14ac:dyDescent="0.25">
      <c r="H4630" t="s">
        <v>3553</v>
      </c>
    </row>
    <row r="4631" spans="8:8" x14ac:dyDescent="0.25">
      <c r="H4631" t="s">
        <v>4358</v>
      </c>
    </row>
    <row r="4632" spans="8:8" x14ac:dyDescent="0.25">
      <c r="H4632" t="s">
        <v>4910</v>
      </c>
    </row>
    <row r="4633" spans="8:8" x14ac:dyDescent="0.25">
      <c r="H4633" t="s">
        <v>4030</v>
      </c>
    </row>
    <row r="4634" spans="8:8" x14ac:dyDescent="0.25">
      <c r="H4634" t="s">
        <v>4911</v>
      </c>
    </row>
    <row r="4635" spans="8:8" x14ac:dyDescent="0.25">
      <c r="H4635" t="s">
        <v>4917</v>
      </c>
    </row>
    <row r="4636" spans="8:8" x14ac:dyDescent="0.25">
      <c r="H4636" t="s">
        <v>4250</v>
      </c>
    </row>
    <row r="4637" spans="8:8" x14ac:dyDescent="0.25">
      <c r="H4637" t="s">
        <v>5229</v>
      </c>
    </row>
    <row r="4638" spans="8:8" x14ac:dyDescent="0.25">
      <c r="H4638" t="s">
        <v>4919</v>
      </c>
    </row>
    <row r="4639" spans="8:8" x14ac:dyDescent="0.25">
      <c r="H4639" t="s">
        <v>1250</v>
      </c>
    </row>
    <row r="4640" spans="8:8" x14ac:dyDescent="0.25">
      <c r="H4640" t="s">
        <v>4108</v>
      </c>
    </row>
    <row r="4641" spans="8:8" x14ac:dyDescent="0.25">
      <c r="H4641" t="s">
        <v>611</v>
      </c>
    </row>
    <row r="4642" spans="8:8" x14ac:dyDescent="0.25">
      <c r="H4642" t="s">
        <v>1423</v>
      </c>
    </row>
    <row r="4643" spans="8:8" x14ac:dyDescent="0.25">
      <c r="H4643" t="s">
        <v>4162</v>
      </c>
    </row>
    <row r="4644" spans="8:8" x14ac:dyDescent="0.25">
      <c r="H4644" t="s">
        <v>1429</v>
      </c>
    </row>
    <row r="4645" spans="8:8" x14ac:dyDescent="0.25">
      <c r="H4645" t="s">
        <v>1352</v>
      </c>
    </row>
    <row r="4646" spans="8:8" x14ac:dyDescent="0.25">
      <c r="H4646" t="s">
        <v>4796</v>
      </c>
    </row>
    <row r="4647" spans="8:8" x14ac:dyDescent="0.25">
      <c r="H4647" t="s">
        <v>1258</v>
      </c>
    </row>
    <row r="4648" spans="8:8" x14ac:dyDescent="0.25">
      <c r="H4648" t="s">
        <v>1278</v>
      </c>
    </row>
    <row r="4649" spans="8:8" x14ac:dyDescent="0.25">
      <c r="H4649" t="s">
        <v>1387</v>
      </c>
    </row>
    <row r="4650" spans="8:8" x14ac:dyDescent="0.25">
      <c r="H4650" t="s">
        <v>4399</v>
      </c>
    </row>
    <row r="4651" spans="8:8" x14ac:dyDescent="0.25">
      <c r="H4651" t="s">
        <v>4741</v>
      </c>
    </row>
    <row r="4652" spans="8:8" x14ac:dyDescent="0.25">
      <c r="H4652" t="s">
        <v>5230</v>
      </c>
    </row>
    <row r="4653" spans="8:8" x14ac:dyDescent="0.25">
      <c r="H4653" t="s">
        <v>3726</v>
      </c>
    </row>
    <row r="4654" spans="8:8" x14ac:dyDescent="0.25">
      <c r="H4654" t="s">
        <v>4913</v>
      </c>
    </row>
    <row r="4655" spans="8:8" x14ac:dyDescent="0.25">
      <c r="H4655" t="s">
        <v>1363</v>
      </c>
    </row>
    <row r="4656" spans="8:8" x14ac:dyDescent="0.25">
      <c r="H4656" t="s">
        <v>2443</v>
      </c>
    </row>
    <row r="4657" spans="8:8" x14ac:dyDescent="0.25">
      <c r="H4657" t="s">
        <v>2859</v>
      </c>
    </row>
    <row r="4658" spans="8:8" x14ac:dyDescent="0.25">
      <c r="H4658" t="s">
        <v>2370</v>
      </c>
    </row>
    <row r="4659" spans="8:8" x14ac:dyDescent="0.25">
      <c r="H4659" t="s">
        <v>2702</v>
      </c>
    </row>
    <row r="4660" spans="8:8" x14ac:dyDescent="0.25">
      <c r="H4660" t="s">
        <v>3077</v>
      </c>
    </row>
    <row r="4661" spans="8:8" x14ac:dyDescent="0.25">
      <c r="H4661" t="s">
        <v>3103</v>
      </c>
    </row>
    <row r="4662" spans="8:8" x14ac:dyDescent="0.25">
      <c r="H4662" t="s">
        <v>954</v>
      </c>
    </row>
    <row r="4663" spans="8:8" x14ac:dyDescent="0.25">
      <c r="H4663" t="s">
        <v>3334</v>
      </c>
    </row>
    <row r="4664" spans="8:8" x14ac:dyDescent="0.25">
      <c r="H4664" t="s">
        <v>1498</v>
      </c>
    </row>
    <row r="4665" spans="8:8" x14ac:dyDescent="0.25">
      <c r="H4665" t="s">
        <v>955</v>
      </c>
    </row>
    <row r="4666" spans="8:8" x14ac:dyDescent="0.25">
      <c r="H4666" t="s">
        <v>3870</v>
      </c>
    </row>
    <row r="4667" spans="8:8" x14ac:dyDescent="0.25">
      <c r="H4667" t="s">
        <v>956</v>
      </c>
    </row>
    <row r="4668" spans="8:8" x14ac:dyDescent="0.25">
      <c r="H4668" t="s">
        <v>4318</v>
      </c>
    </row>
    <row r="4669" spans="8:8" x14ac:dyDescent="0.25">
      <c r="H4669" t="s">
        <v>1502</v>
      </c>
    </row>
    <row r="4670" spans="8:8" x14ac:dyDescent="0.25">
      <c r="H4670" t="s">
        <v>5093</v>
      </c>
    </row>
    <row r="4671" spans="8:8" x14ac:dyDescent="0.25">
      <c r="H4671" t="s">
        <v>957</v>
      </c>
    </row>
    <row r="4672" spans="8:8" x14ac:dyDescent="0.25">
      <c r="H4672" t="s">
        <v>5512</v>
      </c>
    </row>
    <row r="4673" spans="8:8" x14ac:dyDescent="0.25">
      <c r="H4673" t="s">
        <v>3638</v>
      </c>
    </row>
    <row r="4674" spans="8:8" x14ac:dyDescent="0.25">
      <c r="H4674" t="s">
        <v>5097</v>
      </c>
    </row>
    <row r="4675" spans="8:8" x14ac:dyDescent="0.25">
      <c r="H4675" t="s">
        <v>4933</v>
      </c>
    </row>
    <row r="4676" spans="8:8" x14ac:dyDescent="0.25">
      <c r="H4676" t="s">
        <v>3990</v>
      </c>
    </row>
    <row r="4677" spans="8:8" x14ac:dyDescent="0.25">
      <c r="H4677" t="s">
        <v>4423</v>
      </c>
    </row>
    <row r="4678" spans="8:8" x14ac:dyDescent="0.25">
      <c r="H4678" t="s">
        <v>4934</v>
      </c>
    </row>
    <row r="4679" spans="8:8" x14ac:dyDescent="0.25">
      <c r="H4679" t="s">
        <v>4935</v>
      </c>
    </row>
    <row r="4680" spans="8:8" x14ac:dyDescent="0.25">
      <c r="H4680" t="s">
        <v>4930</v>
      </c>
    </row>
    <row r="4681" spans="8:8" x14ac:dyDescent="0.25">
      <c r="H4681" t="s">
        <v>4940</v>
      </c>
    </row>
    <row r="4682" spans="8:8" x14ac:dyDescent="0.25">
      <c r="H4682" t="s">
        <v>4821</v>
      </c>
    </row>
    <row r="4683" spans="8:8" x14ac:dyDescent="0.25">
      <c r="H4683" t="s">
        <v>1549</v>
      </c>
    </row>
    <row r="4684" spans="8:8" x14ac:dyDescent="0.25">
      <c r="H4684" t="s">
        <v>4944</v>
      </c>
    </row>
    <row r="4685" spans="8:8" x14ac:dyDescent="0.25">
      <c r="H4685" t="s">
        <v>2961</v>
      </c>
    </row>
    <row r="4686" spans="8:8" x14ac:dyDescent="0.25">
      <c r="H4686" t="s">
        <v>4943</v>
      </c>
    </row>
    <row r="4687" spans="8:8" x14ac:dyDescent="0.25">
      <c r="H4687" t="s">
        <v>4952</v>
      </c>
    </row>
    <row r="4688" spans="8:8" x14ac:dyDescent="0.25">
      <c r="H4688" t="s">
        <v>1894</v>
      </c>
    </row>
    <row r="4689" spans="8:8" x14ac:dyDescent="0.25">
      <c r="H4689" t="s">
        <v>3889</v>
      </c>
    </row>
    <row r="4690" spans="8:8" x14ac:dyDescent="0.25">
      <c r="H4690" t="s">
        <v>4337</v>
      </c>
    </row>
    <row r="4691" spans="8:8" x14ac:dyDescent="0.25">
      <c r="H4691" t="s">
        <v>4347</v>
      </c>
    </row>
    <row r="4692" spans="8:8" x14ac:dyDescent="0.25">
      <c r="H4692" t="s">
        <v>3891</v>
      </c>
    </row>
    <row r="4693" spans="8:8" x14ac:dyDescent="0.25">
      <c r="H4693" t="s">
        <v>3892</v>
      </c>
    </row>
    <row r="4694" spans="8:8" x14ac:dyDescent="0.25">
      <c r="H4694" t="s">
        <v>1000</v>
      </c>
    </row>
    <row r="4695" spans="8:8" x14ac:dyDescent="0.25">
      <c r="H4695" t="s">
        <v>3895</v>
      </c>
    </row>
    <row r="4696" spans="8:8" x14ac:dyDescent="0.25">
      <c r="H4696" t="s">
        <v>3894</v>
      </c>
    </row>
    <row r="4697" spans="8:8" x14ac:dyDescent="0.25">
      <c r="H4697" t="s">
        <v>4962</v>
      </c>
    </row>
    <row r="4698" spans="8:8" x14ac:dyDescent="0.25">
      <c r="H4698" t="s">
        <v>3897</v>
      </c>
    </row>
    <row r="4699" spans="8:8" x14ac:dyDescent="0.25">
      <c r="H4699" t="s">
        <v>3582</v>
      </c>
    </row>
    <row r="4700" spans="8:8" x14ac:dyDescent="0.25">
      <c r="H4700" t="s">
        <v>3582</v>
      </c>
    </row>
    <row r="4701" spans="8:8" x14ac:dyDescent="0.25">
      <c r="H4701" t="s">
        <v>5131</v>
      </c>
    </row>
    <row r="4702" spans="8:8" x14ac:dyDescent="0.25">
      <c r="H4702" t="s">
        <v>4137</v>
      </c>
    </row>
    <row r="4703" spans="8:8" x14ac:dyDescent="0.25">
      <c r="H4703" t="s">
        <v>4051</v>
      </c>
    </row>
    <row r="4704" spans="8:8" x14ac:dyDescent="0.25">
      <c r="H4704" t="s">
        <v>5410</v>
      </c>
    </row>
    <row r="4705" spans="8:8" x14ac:dyDescent="0.25">
      <c r="H4705" t="s">
        <v>2379</v>
      </c>
    </row>
    <row r="4706" spans="8:8" x14ac:dyDescent="0.25">
      <c r="H4706" t="s">
        <v>4616</v>
      </c>
    </row>
    <row r="4707" spans="8:8" x14ac:dyDescent="0.25">
      <c r="H4707" t="s">
        <v>4118</v>
      </c>
    </row>
    <row r="4708" spans="8:8" x14ac:dyDescent="0.25">
      <c r="H4708" t="s">
        <v>4306</v>
      </c>
    </row>
    <row r="4709" spans="8:8" x14ac:dyDescent="0.25">
      <c r="H4709" t="s">
        <v>4953</v>
      </c>
    </row>
    <row r="4710" spans="8:8" x14ac:dyDescent="0.25">
      <c r="H4710" t="s">
        <v>3436</v>
      </c>
    </row>
    <row r="4711" spans="8:8" x14ac:dyDescent="0.25">
      <c r="H4711" t="s">
        <v>5122</v>
      </c>
    </row>
    <row r="4712" spans="8:8" x14ac:dyDescent="0.25">
      <c r="H4712" t="s">
        <v>5453</v>
      </c>
    </row>
    <row r="4713" spans="8:8" x14ac:dyDescent="0.25">
      <c r="H4713" t="s">
        <v>596</v>
      </c>
    </row>
    <row r="4714" spans="8:8" x14ac:dyDescent="0.25">
      <c r="H4714" t="s">
        <v>3731</v>
      </c>
    </row>
    <row r="4715" spans="8:8" x14ac:dyDescent="0.25">
      <c r="H4715" t="s">
        <v>267</v>
      </c>
    </row>
    <row r="4716" spans="8:8" x14ac:dyDescent="0.25">
      <c r="H4716" t="s">
        <v>4968</v>
      </c>
    </row>
    <row r="4717" spans="8:8" x14ac:dyDescent="0.25">
      <c r="H4717" t="s">
        <v>1540</v>
      </c>
    </row>
    <row r="4718" spans="8:8" x14ac:dyDescent="0.25">
      <c r="H4718" t="s">
        <v>5111</v>
      </c>
    </row>
    <row r="4719" spans="8:8" x14ac:dyDescent="0.25">
      <c r="H4719" t="s">
        <v>5425</v>
      </c>
    </row>
    <row r="4720" spans="8:8" x14ac:dyDescent="0.25">
      <c r="H4720" t="s">
        <v>1548</v>
      </c>
    </row>
    <row r="4721" spans="8:8" x14ac:dyDescent="0.25">
      <c r="H4721" t="s">
        <v>4673</v>
      </c>
    </row>
    <row r="4722" spans="8:8" x14ac:dyDescent="0.25">
      <c r="H4722" t="s">
        <v>4970</v>
      </c>
    </row>
    <row r="4723" spans="8:8" x14ac:dyDescent="0.25">
      <c r="H4723" t="s">
        <v>4971</v>
      </c>
    </row>
    <row r="4724" spans="8:8" x14ac:dyDescent="0.25">
      <c r="H4724" t="s">
        <v>3263</v>
      </c>
    </row>
    <row r="4725" spans="8:8" x14ac:dyDescent="0.25">
      <c r="H4725" t="s">
        <v>969</v>
      </c>
    </row>
    <row r="4726" spans="8:8" x14ac:dyDescent="0.25">
      <c r="H4726" t="s">
        <v>970</v>
      </c>
    </row>
    <row r="4727" spans="8:8" x14ac:dyDescent="0.25">
      <c r="H4727" t="s">
        <v>1595</v>
      </c>
    </row>
    <row r="4728" spans="8:8" x14ac:dyDescent="0.25">
      <c r="H4728" t="s">
        <v>5311</v>
      </c>
    </row>
    <row r="4729" spans="8:8" x14ac:dyDescent="0.25">
      <c r="H4729" t="s">
        <v>2094</v>
      </c>
    </row>
    <row r="4730" spans="8:8" x14ac:dyDescent="0.25">
      <c r="H4730" t="s">
        <v>1076</v>
      </c>
    </row>
    <row r="4731" spans="8:8" x14ac:dyDescent="0.25">
      <c r="H4731" t="s">
        <v>1410</v>
      </c>
    </row>
    <row r="4732" spans="8:8" x14ac:dyDescent="0.25">
      <c r="H4732" t="s">
        <v>1332</v>
      </c>
    </row>
    <row r="4733" spans="8:8" x14ac:dyDescent="0.25">
      <c r="H4733" t="s">
        <v>1637</v>
      </c>
    </row>
    <row r="4734" spans="8:8" x14ac:dyDescent="0.25">
      <c r="H4734" t="s">
        <v>1303</v>
      </c>
    </row>
    <row r="4735" spans="8:8" x14ac:dyDescent="0.25">
      <c r="H4735" t="s">
        <v>2268</v>
      </c>
    </row>
    <row r="4736" spans="8:8" x14ac:dyDescent="0.25">
      <c r="H4736" t="s">
        <v>605</v>
      </c>
    </row>
    <row r="4737" spans="8:8" x14ac:dyDescent="0.25">
      <c r="H4737" t="s">
        <v>4244</v>
      </c>
    </row>
    <row r="4738" spans="8:8" x14ac:dyDescent="0.25">
      <c r="H4738" t="s">
        <v>1579</v>
      </c>
    </row>
    <row r="4739" spans="8:8" x14ac:dyDescent="0.25">
      <c r="H4739" t="s">
        <v>5305</v>
      </c>
    </row>
    <row r="4740" spans="8:8" x14ac:dyDescent="0.25">
      <c r="H4740" t="s">
        <v>501</v>
      </c>
    </row>
    <row r="4741" spans="8:8" x14ac:dyDescent="0.25">
      <c r="H4741" t="s">
        <v>476</v>
      </c>
    </row>
    <row r="4742" spans="8:8" x14ac:dyDescent="0.25">
      <c r="H4742" t="s">
        <v>3588</v>
      </c>
    </row>
    <row r="4743" spans="8:8" x14ac:dyDescent="0.25">
      <c r="H4743" t="s">
        <v>5146</v>
      </c>
    </row>
    <row r="4744" spans="8:8" x14ac:dyDescent="0.25">
      <c r="H4744" t="s">
        <v>4650</v>
      </c>
    </row>
    <row r="4745" spans="8:8" x14ac:dyDescent="0.25">
      <c r="H4745" t="s">
        <v>3084</v>
      </c>
    </row>
    <row r="4746" spans="8:8" x14ac:dyDescent="0.25">
      <c r="H4746" t="s">
        <v>2765</v>
      </c>
    </row>
    <row r="4747" spans="8:8" x14ac:dyDescent="0.25">
      <c r="H4747" t="s">
        <v>2359</v>
      </c>
    </row>
    <row r="4748" spans="8:8" x14ac:dyDescent="0.25">
      <c r="H4748" t="s">
        <v>1581</v>
      </c>
    </row>
    <row r="4749" spans="8:8" x14ac:dyDescent="0.25">
      <c r="H4749" t="s">
        <v>1583</v>
      </c>
    </row>
    <row r="4750" spans="8:8" x14ac:dyDescent="0.25">
      <c r="H4750" t="s">
        <v>1408</v>
      </c>
    </row>
    <row r="4751" spans="8:8" x14ac:dyDescent="0.25">
      <c r="H4751" t="s">
        <v>2146</v>
      </c>
    </row>
    <row r="4752" spans="8:8" x14ac:dyDescent="0.25">
      <c r="H4752" t="s">
        <v>2175</v>
      </c>
    </row>
    <row r="4753" spans="8:8" x14ac:dyDescent="0.25">
      <c r="H4753" t="s">
        <v>2259</v>
      </c>
    </row>
    <row r="4754" spans="8:8" x14ac:dyDescent="0.25">
      <c r="H4754" t="s">
        <v>2484</v>
      </c>
    </row>
    <row r="4755" spans="8:8" x14ac:dyDescent="0.25">
      <c r="H4755" t="s">
        <v>2993</v>
      </c>
    </row>
    <row r="4756" spans="8:8" x14ac:dyDescent="0.25">
      <c r="H4756" t="s">
        <v>1411</v>
      </c>
    </row>
    <row r="4757" spans="8:8" x14ac:dyDescent="0.25">
      <c r="H4757" t="s">
        <v>1383</v>
      </c>
    </row>
    <row r="4758" spans="8:8" x14ac:dyDescent="0.25">
      <c r="H4758" t="s">
        <v>3387</v>
      </c>
    </row>
    <row r="4759" spans="8:8" x14ac:dyDescent="0.25">
      <c r="H4759" t="s">
        <v>1338</v>
      </c>
    </row>
    <row r="4760" spans="8:8" x14ac:dyDescent="0.25">
      <c r="H4760" t="s">
        <v>3627</v>
      </c>
    </row>
    <row r="4761" spans="8:8" x14ac:dyDescent="0.25">
      <c r="H4761" t="s">
        <v>3630</v>
      </c>
    </row>
    <row r="4762" spans="8:8" x14ac:dyDescent="0.25">
      <c r="H4762" t="s">
        <v>3655</v>
      </c>
    </row>
    <row r="4763" spans="8:8" x14ac:dyDescent="0.25">
      <c r="H4763" t="s">
        <v>3691</v>
      </c>
    </row>
    <row r="4764" spans="8:8" x14ac:dyDescent="0.25">
      <c r="H4764" t="s">
        <v>1605</v>
      </c>
    </row>
    <row r="4765" spans="8:8" x14ac:dyDescent="0.25">
      <c r="H4765" t="s">
        <v>1619</v>
      </c>
    </row>
    <row r="4766" spans="8:8" x14ac:dyDescent="0.25">
      <c r="H4766" t="s">
        <v>4459</v>
      </c>
    </row>
    <row r="4767" spans="8:8" x14ac:dyDescent="0.25">
      <c r="H4767" t="s">
        <v>4743</v>
      </c>
    </row>
    <row r="4768" spans="8:8" x14ac:dyDescent="0.25">
      <c r="H4768" t="s">
        <v>5077</v>
      </c>
    </row>
    <row r="4769" spans="8:8" x14ac:dyDescent="0.25">
      <c r="H4769" t="s">
        <v>4713</v>
      </c>
    </row>
    <row r="4770" spans="8:8" x14ac:dyDescent="0.25">
      <c r="H4770" t="s">
        <v>1567</v>
      </c>
    </row>
    <row r="4771" spans="8:8" x14ac:dyDescent="0.25">
      <c r="H4771" t="s">
        <v>1322</v>
      </c>
    </row>
    <row r="4772" spans="8:8" x14ac:dyDescent="0.25">
      <c r="H4772" t="s">
        <v>1813</v>
      </c>
    </row>
    <row r="4773" spans="8:8" x14ac:dyDescent="0.25">
      <c r="H4773" t="s">
        <v>642</v>
      </c>
    </row>
    <row r="4774" spans="8:8" x14ac:dyDescent="0.25">
      <c r="H4774" t="s">
        <v>4698</v>
      </c>
    </row>
    <row r="4775" spans="8:8" x14ac:dyDescent="0.25">
      <c r="H4775" t="s">
        <v>4676</v>
      </c>
    </row>
    <row r="4776" spans="8:8" x14ac:dyDescent="0.25">
      <c r="H4776" t="s">
        <v>4986</v>
      </c>
    </row>
    <row r="4777" spans="8:8" x14ac:dyDescent="0.25">
      <c r="H4777" t="s">
        <v>4991</v>
      </c>
    </row>
    <row r="4778" spans="8:8" x14ac:dyDescent="0.25">
      <c r="H4778" t="s">
        <v>1335</v>
      </c>
    </row>
    <row r="4779" spans="8:8" x14ac:dyDescent="0.25">
      <c r="H4779" t="s">
        <v>749</v>
      </c>
    </row>
    <row r="4780" spans="8:8" x14ac:dyDescent="0.25">
      <c r="H4780" t="s">
        <v>2473</v>
      </c>
    </row>
    <row r="4781" spans="8:8" x14ac:dyDescent="0.25">
      <c r="H4781" t="s">
        <v>4794</v>
      </c>
    </row>
    <row r="4782" spans="8:8" x14ac:dyDescent="0.25">
      <c r="H4782" t="s">
        <v>769</v>
      </c>
    </row>
    <row r="4783" spans="8:8" x14ac:dyDescent="0.25">
      <c r="H4783" t="s">
        <v>3281</v>
      </c>
    </row>
    <row r="4784" spans="8:8" x14ac:dyDescent="0.25">
      <c r="H4784" t="s">
        <v>4996</v>
      </c>
    </row>
    <row r="4785" spans="8:8" x14ac:dyDescent="0.25">
      <c r="H4785" t="s">
        <v>4995</v>
      </c>
    </row>
    <row r="4786" spans="8:8" x14ac:dyDescent="0.25">
      <c r="H4786" t="s">
        <v>1740</v>
      </c>
    </row>
    <row r="4787" spans="8:8" x14ac:dyDescent="0.25">
      <c r="H4787" t="s">
        <v>1239</v>
      </c>
    </row>
    <row r="4788" spans="8:8" x14ac:dyDescent="0.25">
      <c r="H4788" t="s">
        <v>739</v>
      </c>
    </row>
    <row r="4789" spans="8:8" x14ac:dyDescent="0.25">
      <c r="H4789" t="s">
        <v>3724</v>
      </c>
    </row>
    <row r="4790" spans="8:8" x14ac:dyDescent="0.25">
      <c r="H4790" t="s">
        <v>931</v>
      </c>
    </row>
    <row r="4791" spans="8:8" x14ac:dyDescent="0.25">
      <c r="H4791" t="s">
        <v>4999</v>
      </c>
    </row>
    <row r="4792" spans="8:8" x14ac:dyDescent="0.25">
      <c r="H4792" t="s">
        <v>783</v>
      </c>
    </row>
    <row r="4793" spans="8:8" x14ac:dyDescent="0.25">
      <c r="H4793" t="s">
        <v>5325</v>
      </c>
    </row>
    <row r="4794" spans="8:8" x14ac:dyDescent="0.25">
      <c r="H4794" t="s">
        <v>1386</v>
      </c>
    </row>
    <row r="4795" spans="8:8" x14ac:dyDescent="0.25">
      <c r="H4795" t="s">
        <v>3207</v>
      </c>
    </row>
    <row r="4796" spans="8:8" x14ac:dyDescent="0.25">
      <c r="H4796" t="s">
        <v>4234</v>
      </c>
    </row>
    <row r="4797" spans="8:8" x14ac:dyDescent="0.25">
      <c r="H4797" t="s">
        <v>3589</v>
      </c>
    </row>
    <row r="4798" spans="8:8" x14ac:dyDescent="0.25">
      <c r="H4798" t="s">
        <v>1606</v>
      </c>
    </row>
    <row r="4799" spans="8:8" x14ac:dyDescent="0.25">
      <c r="H4799" t="s">
        <v>4550</v>
      </c>
    </row>
    <row r="4800" spans="8:8" x14ac:dyDescent="0.25">
      <c r="H4800" t="s">
        <v>790</v>
      </c>
    </row>
    <row r="4801" spans="8:8" x14ac:dyDescent="0.25">
      <c r="H4801" t="s">
        <v>1898</v>
      </c>
    </row>
    <row r="4802" spans="8:8" x14ac:dyDescent="0.25">
      <c r="H4802" t="s">
        <v>1627</v>
      </c>
    </row>
    <row r="4803" spans="8:8" x14ac:dyDescent="0.25">
      <c r="H4803" t="s">
        <v>4320</v>
      </c>
    </row>
    <row r="4804" spans="8:8" x14ac:dyDescent="0.25">
      <c r="H4804" t="s">
        <v>5009</v>
      </c>
    </row>
    <row r="4805" spans="8:8" x14ac:dyDescent="0.25">
      <c r="H4805" t="s">
        <v>2261</v>
      </c>
    </row>
    <row r="4806" spans="8:8" x14ac:dyDescent="0.25">
      <c r="H4806" t="s">
        <v>2694</v>
      </c>
    </row>
    <row r="4807" spans="8:8" x14ac:dyDescent="0.25">
      <c r="H4807" t="s">
        <v>2635</v>
      </c>
    </row>
    <row r="4808" spans="8:8" x14ac:dyDescent="0.25">
      <c r="H4808" t="s">
        <v>3401</v>
      </c>
    </row>
    <row r="4809" spans="8:8" x14ac:dyDescent="0.25">
      <c r="H4809" t="s">
        <v>4130</v>
      </c>
    </row>
    <row r="4810" spans="8:8" x14ac:dyDescent="0.25">
      <c r="H4810" t="s">
        <v>3382</v>
      </c>
    </row>
    <row r="4811" spans="8:8" x14ac:dyDescent="0.25">
      <c r="H4811" t="s">
        <v>4350</v>
      </c>
    </row>
    <row r="4812" spans="8:8" x14ac:dyDescent="0.25">
      <c r="H4812" t="s">
        <v>4807</v>
      </c>
    </row>
    <row r="4813" spans="8:8" x14ac:dyDescent="0.25">
      <c r="H4813" t="s">
        <v>2420</v>
      </c>
    </row>
    <row r="4814" spans="8:8" x14ac:dyDescent="0.25">
      <c r="H4814" t="s">
        <v>3085</v>
      </c>
    </row>
    <row r="4815" spans="8:8" x14ac:dyDescent="0.25">
      <c r="H4815" t="s">
        <v>2400</v>
      </c>
    </row>
    <row r="4816" spans="8:8" x14ac:dyDescent="0.25">
      <c r="H4816" t="s">
        <v>3119</v>
      </c>
    </row>
    <row r="4817" spans="8:8" x14ac:dyDescent="0.25">
      <c r="H4817" t="s">
        <v>1313</v>
      </c>
    </row>
    <row r="4818" spans="8:8" x14ac:dyDescent="0.25">
      <c r="H4818" t="s">
        <v>4211</v>
      </c>
    </row>
    <row r="4819" spans="8:8" x14ac:dyDescent="0.25">
      <c r="H4819" t="s">
        <v>601</v>
      </c>
    </row>
    <row r="4820" spans="8:8" x14ac:dyDescent="0.25">
      <c r="H4820" t="s">
        <v>601</v>
      </c>
    </row>
    <row r="4821" spans="8:8" x14ac:dyDescent="0.25">
      <c r="H4821" t="s">
        <v>1679</v>
      </c>
    </row>
    <row r="4822" spans="8:8" x14ac:dyDescent="0.25">
      <c r="H4822" t="s">
        <v>4062</v>
      </c>
    </row>
    <row r="4823" spans="8:8" x14ac:dyDescent="0.25">
      <c r="H4823" t="s">
        <v>2284</v>
      </c>
    </row>
    <row r="4824" spans="8:8" x14ac:dyDescent="0.25">
      <c r="H4824" t="s">
        <v>3028</v>
      </c>
    </row>
    <row r="4825" spans="8:8" x14ac:dyDescent="0.25">
      <c r="H4825" t="s">
        <v>1570</v>
      </c>
    </row>
    <row r="4826" spans="8:8" x14ac:dyDescent="0.25">
      <c r="H4826" t="s">
        <v>1517</v>
      </c>
    </row>
    <row r="4827" spans="8:8" x14ac:dyDescent="0.25">
      <c r="H4827" t="s">
        <v>3725</v>
      </c>
    </row>
    <row r="4828" spans="8:8" x14ac:dyDescent="0.25">
      <c r="H4828" t="s">
        <v>5014</v>
      </c>
    </row>
    <row r="4829" spans="8:8" x14ac:dyDescent="0.25">
      <c r="H4829" t="s">
        <v>2090</v>
      </c>
    </row>
    <row r="4830" spans="8:8" x14ac:dyDescent="0.25">
      <c r="H4830" t="s">
        <v>5015</v>
      </c>
    </row>
    <row r="4831" spans="8:8" x14ac:dyDescent="0.25">
      <c r="H4831" t="s">
        <v>4416</v>
      </c>
    </row>
    <row r="4832" spans="8:8" x14ac:dyDescent="0.25">
      <c r="H4832" t="s">
        <v>5017</v>
      </c>
    </row>
    <row r="4833" spans="8:8" x14ac:dyDescent="0.25">
      <c r="H4833" t="s">
        <v>5018</v>
      </c>
    </row>
    <row r="4834" spans="8:8" x14ac:dyDescent="0.25">
      <c r="H4834" t="s">
        <v>5019</v>
      </c>
    </row>
    <row r="4835" spans="8:8" x14ac:dyDescent="0.25">
      <c r="H4835" t="s">
        <v>5024</v>
      </c>
    </row>
    <row r="4836" spans="8:8" x14ac:dyDescent="0.25">
      <c r="H4836" t="s">
        <v>2323</v>
      </c>
    </row>
    <row r="4837" spans="8:8" x14ac:dyDescent="0.25">
      <c r="H4837" t="s">
        <v>3816</v>
      </c>
    </row>
    <row r="4838" spans="8:8" x14ac:dyDescent="0.25">
      <c r="H4838" t="s">
        <v>4906</v>
      </c>
    </row>
    <row r="4839" spans="8:8" x14ac:dyDescent="0.25">
      <c r="H4839" t="s">
        <v>5070</v>
      </c>
    </row>
    <row r="4840" spans="8:8" x14ac:dyDescent="0.25">
      <c r="H4840" t="s">
        <v>5450</v>
      </c>
    </row>
    <row r="4841" spans="8:8" x14ac:dyDescent="0.25">
      <c r="H4841" t="s">
        <v>3301</v>
      </c>
    </row>
    <row r="4842" spans="8:8" x14ac:dyDescent="0.25">
      <c r="H4842" t="s">
        <v>5154</v>
      </c>
    </row>
    <row r="4843" spans="8:8" x14ac:dyDescent="0.25">
      <c r="H4843" t="s">
        <v>3370</v>
      </c>
    </row>
    <row r="4844" spans="8:8" x14ac:dyDescent="0.25">
      <c r="H4844" t="s">
        <v>1425</v>
      </c>
    </row>
    <row r="4845" spans="8:8" x14ac:dyDescent="0.25">
      <c r="H4845" t="s">
        <v>2717</v>
      </c>
    </row>
    <row r="4846" spans="8:8" x14ac:dyDescent="0.25">
      <c r="H4846" t="s">
        <v>763</v>
      </c>
    </row>
    <row r="4847" spans="8:8" x14ac:dyDescent="0.25">
      <c r="H4847" t="s">
        <v>3792</v>
      </c>
    </row>
    <row r="4848" spans="8:8" x14ac:dyDescent="0.25">
      <c r="H4848" t="s">
        <v>3908</v>
      </c>
    </row>
    <row r="4849" spans="8:8" x14ac:dyDescent="0.25">
      <c r="H4849" t="s">
        <v>4540</v>
      </c>
    </row>
    <row r="4850" spans="8:8" x14ac:dyDescent="0.25">
      <c r="H4850" t="s">
        <v>5252</v>
      </c>
    </row>
    <row r="4851" spans="8:8" x14ac:dyDescent="0.25">
      <c r="H4851" t="s">
        <v>4958</v>
      </c>
    </row>
    <row r="4852" spans="8:8" x14ac:dyDescent="0.25">
      <c r="H4852" t="s">
        <v>5028</v>
      </c>
    </row>
    <row r="4853" spans="8:8" x14ac:dyDescent="0.25">
      <c r="H4853" t="s">
        <v>5030</v>
      </c>
    </row>
    <row r="4854" spans="8:8" x14ac:dyDescent="0.25">
      <c r="H4854" t="s">
        <v>5032</v>
      </c>
    </row>
    <row r="4855" spans="8:8" x14ac:dyDescent="0.25">
      <c r="H4855" t="s">
        <v>2421</v>
      </c>
    </row>
    <row r="4856" spans="8:8" x14ac:dyDescent="0.25">
      <c r="H4856" t="s">
        <v>5033</v>
      </c>
    </row>
    <row r="4857" spans="8:8" x14ac:dyDescent="0.25">
      <c r="H4857" t="s">
        <v>2845</v>
      </c>
    </row>
    <row r="4858" spans="8:8" x14ac:dyDescent="0.25">
      <c r="H4858" t="s">
        <v>2474</v>
      </c>
    </row>
    <row r="4859" spans="8:8" x14ac:dyDescent="0.25">
      <c r="H4859" t="s">
        <v>4067</v>
      </c>
    </row>
    <row r="4860" spans="8:8" x14ac:dyDescent="0.25">
      <c r="H4860" t="s">
        <v>2030</v>
      </c>
    </row>
    <row r="4861" spans="8:8" x14ac:dyDescent="0.25">
      <c r="H4861" t="s">
        <v>1911</v>
      </c>
    </row>
    <row r="4862" spans="8:8" x14ac:dyDescent="0.25">
      <c r="H4862" t="s">
        <v>2515</v>
      </c>
    </row>
    <row r="4863" spans="8:8" x14ac:dyDescent="0.25">
      <c r="H4863" t="s">
        <v>3671</v>
      </c>
    </row>
    <row r="4864" spans="8:8" x14ac:dyDescent="0.25">
      <c r="H4864" t="s">
        <v>5483</v>
      </c>
    </row>
    <row r="4865" spans="8:8" x14ac:dyDescent="0.25">
      <c r="H4865" t="s">
        <v>3422</v>
      </c>
    </row>
    <row r="4866" spans="8:8" x14ac:dyDescent="0.25">
      <c r="H4866" t="s">
        <v>5040</v>
      </c>
    </row>
    <row r="4867" spans="8:8" x14ac:dyDescent="0.25">
      <c r="H4867" t="s">
        <v>5042</v>
      </c>
    </row>
    <row r="4868" spans="8:8" x14ac:dyDescent="0.25">
      <c r="H4868" t="s">
        <v>4338</v>
      </c>
    </row>
    <row r="4869" spans="8:8" x14ac:dyDescent="0.25">
      <c r="H4869" t="s">
        <v>946</v>
      </c>
    </row>
    <row r="4870" spans="8:8" x14ac:dyDescent="0.25">
      <c r="H4870" t="s">
        <v>1533</v>
      </c>
    </row>
    <row r="4871" spans="8:8" x14ac:dyDescent="0.25">
      <c r="H4871" t="s">
        <v>1736</v>
      </c>
    </row>
    <row r="4872" spans="8:8" x14ac:dyDescent="0.25">
      <c r="H4872" t="s">
        <v>2790</v>
      </c>
    </row>
    <row r="4873" spans="8:8" x14ac:dyDescent="0.25">
      <c r="H4873" t="s">
        <v>963</v>
      </c>
    </row>
    <row r="4874" spans="8:8" x14ac:dyDescent="0.25">
      <c r="H4874" t="s">
        <v>949</v>
      </c>
    </row>
    <row r="4875" spans="8:8" x14ac:dyDescent="0.25">
      <c r="H4875" t="s">
        <v>3637</v>
      </c>
    </row>
    <row r="4876" spans="8:8" x14ac:dyDescent="0.25">
      <c r="H4876" t="s">
        <v>2995</v>
      </c>
    </row>
    <row r="4877" spans="8:8" x14ac:dyDescent="0.25">
      <c r="H4877" t="s">
        <v>3167</v>
      </c>
    </row>
    <row r="4878" spans="8:8" x14ac:dyDescent="0.25">
      <c r="H4878" t="s">
        <v>3168</v>
      </c>
    </row>
    <row r="4879" spans="8:8" x14ac:dyDescent="0.25">
      <c r="H4879" t="s">
        <v>2583</v>
      </c>
    </row>
    <row r="4880" spans="8:8" x14ac:dyDescent="0.25">
      <c r="H4880" t="s">
        <v>5090</v>
      </c>
    </row>
    <row r="4881" spans="8:8" x14ac:dyDescent="0.25">
      <c r="H4881" t="s">
        <v>3292</v>
      </c>
    </row>
    <row r="4882" spans="8:8" x14ac:dyDescent="0.25">
      <c r="H4882" t="s">
        <v>1217</v>
      </c>
    </row>
    <row r="4883" spans="8:8" x14ac:dyDescent="0.25">
      <c r="H4883" t="s">
        <v>5050</v>
      </c>
    </row>
    <row r="4884" spans="8:8" x14ac:dyDescent="0.25">
      <c r="H4884" t="s">
        <v>4799</v>
      </c>
    </row>
    <row r="4885" spans="8:8" x14ac:dyDescent="0.25">
      <c r="H4885" t="s">
        <v>5051</v>
      </c>
    </row>
    <row r="4886" spans="8:8" x14ac:dyDescent="0.25">
      <c r="H4886" t="s">
        <v>750</v>
      </c>
    </row>
    <row r="4887" spans="8:8" x14ac:dyDescent="0.25">
      <c r="H4887" t="s">
        <v>5053</v>
      </c>
    </row>
    <row r="4888" spans="8:8" x14ac:dyDescent="0.25">
      <c r="H4888" t="s">
        <v>4981</v>
      </c>
    </row>
    <row r="4889" spans="8:8" x14ac:dyDescent="0.25">
      <c r="H4889" t="s">
        <v>2147</v>
      </c>
    </row>
    <row r="4890" spans="8:8" x14ac:dyDescent="0.25">
      <c r="H4890" t="s">
        <v>5052</v>
      </c>
    </row>
    <row r="4891" spans="8:8" x14ac:dyDescent="0.25">
      <c r="H4891" t="s">
        <v>5054</v>
      </c>
    </row>
    <row r="4892" spans="8:8" x14ac:dyDescent="0.25">
      <c r="H4892" t="s">
        <v>5061</v>
      </c>
    </row>
    <row r="4893" spans="8:8" x14ac:dyDescent="0.25">
      <c r="H4893" t="s">
        <v>5063</v>
      </c>
    </row>
    <row r="4894" spans="8:8" x14ac:dyDescent="0.25">
      <c r="H4894" t="s">
        <v>1218</v>
      </c>
    </row>
    <row r="4895" spans="8:8" x14ac:dyDescent="0.25">
      <c r="H4895" t="s">
        <v>2501</v>
      </c>
    </row>
    <row r="4896" spans="8:8" x14ac:dyDescent="0.25">
      <c r="H4896" t="s">
        <v>5073</v>
      </c>
    </row>
    <row r="4897" spans="8:8" x14ac:dyDescent="0.25">
      <c r="H4897" t="s">
        <v>5074</v>
      </c>
    </row>
    <row r="4898" spans="8:8" x14ac:dyDescent="0.25">
      <c r="H4898" t="s">
        <v>3353</v>
      </c>
    </row>
    <row r="4899" spans="8:8" x14ac:dyDescent="0.25">
      <c r="H4899" t="s">
        <v>5080</v>
      </c>
    </row>
    <row r="4900" spans="8:8" x14ac:dyDescent="0.25">
      <c r="H4900" t="s">
        <v>5081</v>
      </c>
    </row>
    <row r="4901" spans="8:8" x14ac:dyDescent="0.25">
      <c r="H4901" t="s">
        <v>5171</v>
      </c>
    </row>
    <row r="4902" spans="8:8" x14ac:dyDescent="0.25">
      <c r="H4902" t="s">
        <v>1807</v>
      </c>
    </row>
    <row r="4903" spans="8:8" x14ac:dyDescent="0.25">
      <c r="H4903" t="s">
        <v>3942</v>
      </c>
    </row>
    <row r="4904" spans="8:8" x14ac:dyDescent="0.25">
      <c r="H4904" t="s">
        <v>1044</v>
      </c>
    </row>
    <row r="4905" spans="8:8" x14ac:dyDescent="0.25">
      <c r="H4905" t="s">
        <v>1044</v>
      </c>
    </row>
    <row r="4906" spans="8:8" x14ac:dyDescent="0.25">
      <c r="H4906" t="s">
        <v>269</v>
      </c>
    </row>
    <row r="4907" spans="8:8" x14ac:dyDescent="0.25">
      <c r="H4907" t="s">
        <v>4527</v>
      </c>
    </row>
    <row r="4908" spans="8:8" x14ac:dyDescent="0.25">
      <c r="H4908" t="s">
        <v>5086</v>
      </c>
    </row>
    <row r="4909" spans="8:8" x14ac:dyDescent="0.25">
      <c r="H4909" t="s">
        <v>5087</v>
      </c>
    </row>
    <row r="4910" spans="8:8" x14ac:dyDescent="0.25">
      <c r="H4910" t="s">
        <v>2578</v>
      </c>
    </row>
    <row r="4911" spans="8:8" x14ac:dyDescent="0.25">
      <c r="H4911" t="s">
        <v>5091</v>
      </c>
    </row>
    <row r="4912" spans="8:8" x14ac:dyDescent="0.25">
      <c r="H4912" t="s">
        <v>2071</v>
      </c>
    </row>
    <row r="4913" spans="8:8" x14ac:dyDescent="0.25">
      <c r="H4913" t="s">
        <v>5095</v>
      </c>
    </row>
    <row r="4914" spans="8:8" x14ac:dyDescent="0.25">
      <c r="H4914" t="s">
        <v>3447</v>
      </c>
    </row>
    <row r="4915" spans="8:8" x14ac:dyDescent="0.25">
      <c r="H4915" t="s">
        <v>4319</v>
      </c>
    </row>
    <row r="4916" spans="8:8" x14ac:dyDescent="0.25">
      <c r="H4916" t="s">
        <v>5098</v>
      </c>
    </row>
    <row r="4917" spans="8:8" x14ac:dyDescent="0.25">
      <c r="H4917" t="s">
        <v>489</v>
      </c>
    </row>
    <row r="4918" spans="8:8" x14ac:dyDescent="0.25">
      <c r="H4918" t="s">
        <v>5114</v>
      </c>
    </row>
    <row r="4919" spans="8:8" x14ac:dyDescent="0.25">
      <c r="H4919" t="s">
        <v>3364</v>
      </c>
    </row>
    <row r="4920" spans="8:8" x14ac:dyDescent="0.25">
      <c r="H4920" t="s">
        <v>2517</v>
      </c>
    </row>
    <row r="4921" spans="8:8" x14ac:dyDescent="0.25">
      <c r="H4921" t="s">
        <v>2329</v>
      </c>
    </row>
    <row r="4922" spans="8:8" x14ac:dyDescent="0.25">
      <c r="H4922" t="s">
        <v>3537</v>
      </c>
    </row>
    <row r="4923" spans="8:8" x14ac:dyDescent="0.25">
      <c r="H4923" t="s">
        <v>1720</v>
      </c>
    </row>
    <row r="4924" spans="8:8" x14ac:dyDescent="0.25">
      <c r="H4924" t="s">
        <v>4329</v>
      </c>
    </row>
    <row r="4925" spans="8:8" x14ac:dyDescent="0.25">
      <c r="H4925" t="s">
        <v>5125</v>
      </c>
    </row>
    <row r="4926" spans="8:8" x14ac:dyDescent="0.25">
      <c r="H4926" t="s">
        <v>3361</v>
      </c>
    </row>
    <row r="4927" spans="8:8" x14ac:dyDescent="0.25">
      <c r="H4927" t="s">
        <v>4504</v>
      </c>
    </row>
    <row r="4928" spans="8:8" x14ac:dyDescent="0.25">
      <c r="H4928" t="s">
        <v>5232</v>
      </c>
    </row>
    <row r="4929" spans="8:8" x14ac:dyDescent="0.25">
      <c r="H4929" t="s">
        <v>3360</v>
      </c>
    </row>
    <row r="4930" spans="8:8" x14ac:dyDescent="0.25">
      <c r="H4930" t="s">
        <v>5128</v>
      </c>
    </row>
    <row r="4931" spans="8:8" x14ac:dyDescent="0.25">
      <c r="H4931" t="s">
        <v>2901</v>
      </c>
    </row>
    <row r="4932" spans="8:8" x14ac:dyDescent="0.25">
      <c r="H4932" t="s">
        <v>4340</v>
      </c>
    </row>
    <row r="4933" spans="8:8" x14ac:dyDescent="0.25">
      <c r="H4933" t="s">
        <v>5151</v>
      </c>
    </row>
    <row r="4934" spans="8:8" x14ac:dyDescent="0.25">
      <c r="H4934" t="s">
        <v>1373</v>
      </c>
    </row>
    <row r="4935" spans="8:8" x14ac:dyDescent="0.25">
      <c r="H4935" t="s">
        <v>4210</v>
      </c>
    </row>
    <row r="4936" spans="8:8" x14ac:dyDescent="0.25">
      <c r="H4936" t="s">
        <v>1144</v>
      </c>
    </row>
    <row r="4937" spans="8:8" x14ac:dyDescent="0.25">
      <c r="H4937" t="s">
        <v>1146</v>
      </c>
    </row>
    <row r="4938" spans="8:8" x14ac:dyDescent="0.25">
      <c r="H4938" t="s">
        <v>1147</v>
      </c>
    </row>
    <row r="4939" spans="8:8" x14ac:dyDescent="0.25">
      <c r="H4939" t="s">
        <v>5203</v>
      </c>
    </row>
    <row r="4940" spans="8:8" x14ac:dyDescent="0.25">
      <c r="H4940" t="s">
        <v>1435</v>
      </c>
    </row>
    <row r="4941" spans="8:8" x14ac:dyDescent="0.25">
      <c r="H4941" t="s">
        <v>1436</v>
      </c>
    </row>
    <row r="4942" spans="8:8" x14ac:dyDescent="0.25">
      <c r="H4942" t="s">
        <v>5441</v>
      </c>
    </row>
    <row r="4943" spans="8:8" x14ac:dyDescent="0.25">
      <c r="H4943" t="s">
        <v>2067</v>
      </c>
    </row>
    <row r="4944" spans="8:8" x14ac:dyDescent="0.25">
      <c r="H4944" t="s">
        <v>2981</v>
      </c>
    </row>
    <row r="4945" spans="8:8" x14ac:dyDescent="0.25">
      <c r="H4945" t="s">
        <v>3081</v>
      </c>
    </row>
    <row r="4946" spans="8:8" x14ac:dyDescent="0.25">
      <c r="H4946" t="s">
        <v>3494</v>
      </c>
    </row>
    <row r="4947" spans="8:8" x14ac:dyDescent="0.25">
      <c r="H4947" t="s">
        <v>3494</v>
      </c>
    </row>
    <row r="4948" spans="8:8" x14ac:dyDescent="0.25">
      <c r="H4948" t="s">
        <v>4703</v>
      </c>
    </row>
    <row r="4949" spans="8:8" x14ac:dyDescent="0.25">
      <c r="H4949" t="s">
        <v>787</v>
      </c>
    </row>
    <row r="4950" spans="8:8" x14ac:dyDescent="0.25">
      <c r="H4950" t="s">
        <v>5365</v>
      </c>
    </row>
    <row r="4951" spans="8:8" x14ac:dyDescent="0.25">
      <c r="H4951" t="s">
        <v>1896</v>
      </c>
    </row>
    <row r="4952" spans="8:8" x14ac:dyDescent="0.25">
      <c r="H4952" t="s">
        <v>5382</v>
      </c>
    </row>
    <row r="4953" spans="8:8" x14ac:dyDescent="0.25">
      <c r="H4953" t="s">
        <v>1073</v>
      </c>
    </row>
    <row r="4954" spans="8:8" x14ac:dyDescent="0.25">
      <c r="H4954" t="s">
        <v>5314</v>
      </c>
    </row>
    <row r="4955" spans="8:8" x14ac:dyDescent="0.25">
      <c r="H4955" t="s">
        <v>2731</v>
      </c>
    </row>
    <row r="4956" spans="8:8" x14ac:dyDescent="0.25">
      <c r="H4956" t="s">
        <v>4518</v>
      </c>
    </row>
    <row r="4957" spans="8:8" x14ac:dyDescent="0.25">
      <c r="H4957" t="s">
        <v>4470</v>
      </c>
    </row>
    <row r="4958" spans="8:8" x14ac:dyDescent="0.25">
      <c r="H4958" t="s">
        <v>1148</v>
      </c>
    </row>
    <row r="4959" spans="8:8" x14ac:dyDescent="0.25">
      <c r="H4959" t="s">
        <v>1149</v>
      </c>
    </row>
    <row r="4960" spans="8:8" x14ac:dyDescent="0.25">
      <c r="H4960" t="s">
        <v>788</v>
      </c>
    </row>
    <row r="4961" spans="8:8" x14ac:dyDescent="0.25">
      <c r="H4961" t="s">
        <v>1150</v>
      </c>
    </row>
    <row r="4962" spans="8:8" x14ac:dyDescent="0.25">
      <c r="H4962" t="s">
        <v>1151</v>
      </c>
    </row>
    <row r="4963" spans="8:8" x14ac:dyDescent="0.25">
      <c r="H4963" t="s">
        <v>1152</v>
      </c>
    </row>
    <row r="4964" spans="8:8" x14ac:dyDescent="0.25">
      <c r="H4964" t="s">
        <v>5059</v>
      </c>
    </row>
    <row r="4965" spans="8:8" x14ac:dyDescent="0.25">
      <c r="H4965" t="s">
        <v>5132</v>
      </c>
    </row>
    <row r="4966" spans="8:8" x14ac:dyDescent="0.25">
      <c r="H4966" t="s">
        <v>1625</v>
      </c>
    </row>
    <row r="4967" spans="8:8" x14ac:dyDescent="0.25">
      <c r="H4967" t="s">
        <v>1630</v>
      </c>
    </row>
    <row r="4968" spans="8:8" x14ac:dyDescent="0.25">
      <c r="H4968" t="s">
        <v>464</v>
      </c>
    </row>
    <row r="4969" spans="8:8" x14ac:dyDescent="0.25">
      <c r="H4969" t="s">
        <v>5013</v>
      </c>
    </row>
    <row r="4970" spans="8:8" x14ac:dyDescent="0.25">
      <c r="H4970" t="s">
        <v>5532</v>
      </c>
    </row>
    <row r="4971" spans="8:8" x14ac:dyDescent="0.25">
      <c r="H4971" t="s">
        <v>791</v>
      </c>
    </row>
    <row r="4972" spans="8:8" x14ac:dyDescent="0.25">
      <c r="H4972" t="s">
        <v>4829</v>
      </c>
    </row>
    <row r="4973" spans="8:8" x14ac:dyDescent="0.25">
      <c r="H4973" t="s">
        <v>5138</v>
      </c>
    </row>
    <row r="4974" spans="8:8" x14ac:dyDescent="0.25">
      <c r="H4974" t="s">
        <v>271</v>
      </c>
    </row>
    <row r="4975" spans="8:8" x14ac:dyDescent="0.25">
      <c r="H4975" t="s">
        <v>5145</v>
      </c>
    </row>
    <row r="4976" spans="8:8" x14ac:dyDescent="0.25">
      <c r="H4976" t="s">
        <v>2384</v>
      </c>
    </row>
    <row r="4977" spans="8:8" x14ac:dyDescent="0.25">
      <c r="H4977" t="s">
        <v>2636</v>
      </c>
    </row>
    <row r="4978" spans="8:8" x14ac:dyDescent="0.25">
      <c r="H4978" t="s">
        <v>824</v>
      </c>
    </row>
    <row r="4979" spans="8:8" x14ac:dyDescent="0.25">
      <c r="H4979" t="s">
        <v>5363</v>
      </c>
    </row>
    <row r="4980" spans="8:8" x14ac:dyDescent="0.25">
      <c r="H4980" t="s">
        <v>2674</v>
      </c>
    </row>
    <row r="4981" spans="8:8" x14ac:dyDescent="0.25">
      <c r="H4981" t="s">
        <v>2887</v>
      </c>
    </row>
    <row r="4982" spans="8:8" x14ac:dyDescent="0.25">
      <c r="H4982" t="s">
        <v>3457</v>
      </c>
    </row>
    <row r="4983" spans="8:8" x14ac:dyDescent="0.25">
      <c r="H4983" t="s">
        <v>1182</v>
      </c>
    </row>
    <row r="4984" spans="8:8" x14ac:dyDescent="0.25">
      <c r="H4984" t="s">
        <v>4610</v>
      </c>
    </row>
    <row r="4985" spans="8:8" x14ac:dyDescent="0.25">
      <c r="H4985" t="s">
        <v>3934</v>
      </c>
    </row>
    <row r="4986" spans="8:8" x14ac:dyDescent="0.25">
      <c r="H4986" t="s">
        <v>4278</v>
      </c>
    </row>
    <row r="4987" spans="8:8" x14ac:dyDescent="0.25">
      <c r="H4987" t="s">
        <v>4330</v>
      </c>
    </row>
    <row r="4988" spans="8:8" x14ac:dyDescent="0.25">
      <c r="H4988" t="s">
        <v>2609</v>
      </c>
    </row>
    <row r="4989" spans="8:8" x14ac:dyDescent="0.25">
      <c r="H4989" t="s">
        <v>2609</v>
      </c>
    </row>
    <row r="4990" spans="8:8" x14ac:dyDescent="0.25">
      <c r="H4990" t="s">
        <v>3365</v>
      </c>
    </row>
    <row r="4991" spans="8:8" x14ac:dyDescent="0.25">
      <c r="H4991" t="s">
        <v>3445</v>
      </c>
    </row>
    <row r="4992" spans="8:8" x14ac:dyDescent="0.25">
      <c r="H4992" t="s">
        <v>5140</v>
      </c>
    </row>
    <row r="4993" spans="8:8" x14ac:dyDescent="0.25">
      <c r="H4993" t="s">
        <v>5440</v>
      </c>
    </row>
    <row r="4994" spans="8:8" x14ac:dyDescent="0.25">
      <c r="H4994" t="s">
        <v>4204</v>
      </c>
    </row>
    <row r="4995" spans="8:8" x14ac:dyDescent="0.25">
      <c r="H4995" t="s">
        <v>3824</v>
      </c>
    </row>
    <row r="4996" spans="8:8" x14ac:dyDescent="0.25">
      <c r="H4996" t="s">
        <v>4506</v>
      </c>
    </row>
    <row r="4997" spans="8:8" x14ac:dyDescent="0.25">
      <c r="H4997" t="s">
        <v>4838</v>
      </c>
    </row>
    <row r="4998" spans="8:8" x14ac:dyDescent="0.25">
      <c r="H4998" t="s">
        <v>3259</v>
      </c>
    </row>
    <row r="4999" spans="8:8" x14ac:dyDescent="0.25">
      <c r="H4999" t="s">
        <v>1653</v>
      </c>
    </row>
    <row r="5000" spans="8:8" x14ac:dyDescent="0.25">
      <c r="H5000" t="s">
        <v>868</v>
      </c>
    </row>
    <row r="5001" spans="8:8" x14ac:dyDescent="0.25">
      <c r="H5001" t="s">
        <v>3209</v>
      </c>
    </row>
    <row r="5002" spans="8:8" x14ac:dyDescent="0.25">
      <c r="H5002" t="s">
        <v>5518</v>
      </c>
    </row>
    <row r="5003" spans="8:8" x14ac:dyDescent="0.25">
      <c r="H5003" t="s">
        <v>3505</v>
      </c>
    </row>
    <row r="5004" spans="8:8" x14ac:dyDescent="0.25">
      <c r="H5004" t="s">
        <v>5504</v>
      </c>
    </row>
    <row r="5005" spans="8:8" x14ac:dyDescent="0.25">
      <c r="H5005" t="s">
        <v>3826</v>
      </c>
    </row>
    <row r="5006" spans="8:8" x14ac:dyDescent="0.25">
      <c r="H5006" t="s">
        <v>1405</v>
      </c>
    </row>
    <row r="5007" spans="8:8" x14ac:dyDescent="0.25">
      <c r="H5007" t="s">
        <v>1779</v>
      </c>
    </row>
    <row r="5008" spans="8:8" x14ac:dyDescent="0.25">
      <c r="H5008" t="s">
        <v>4281</v>
      </c>
    </row>
    <row r="5009" spans="8:8" x14ac:dyDescent="0.25">
      <c r="H5009" t="s">
        <v>4717</v>
      </c>
    </row>
    <row r="5010" spans="8:8" x14ac:dyDescent="0.25">
      <c r="H5010" t="s">
        <v>5003</v>
      </c>
    </row>
    <row r="5011" spans="8:8" x14ac:dyDescent="0.25">
      <c r="H5011" t="s">
        <v>4636</v>
      </c>
    </row>
    <row r="5012" spans="8:8" x14ac:dyDescent="0.25">
      <c r="H5012" t="s">
        <v>5361</v>
      </c>
    </row>
    <row r="5013" spans="8:8" x14ac:dyDescent="0.25">
      <c r="H5013" t="s">
        <v>1487</v>
      </c>
    </row>
    <row r="5014" spans="8:8" x14ac:dyDescent="0.25">
      <c r="H5014" t="s">
        <v>5155</v>
      </c>
    </row>
    <row r="5015" spans="8:8" x14ac:dyDescent="0.25">
      <c r="H5015" t="s">
        <v>892</v>
      </c>
    </row>
    <row r="5016" spans="8:8" x14ac:dyDescent="0.25">
      <c r="H5016" t="s">
        <v>5157</v>
      </c>
    </row>
    <row r="5017" spans="8:8" x14ac:dyDescent="0.25">
      <c r="H5017" t="s">
        <v>5159</v>
      </c>
    </row>
    <row r="5018" spans="8:8" x14ac:dyDescent="0.25">
      <c r="H5018" t="s">
        <v>5165</v>
      </c>
    </row>
    <row r="5019" spans="8:8" x14ac:dyDescent="0.25">
      <c r="H5019" t="s">
        <v>5166</v>
      </c>
    </row>
    <row r="5020" spans="8:8" x14ac:dyDescent="0.25">
      <c r="H5020" t="s">
        <v>2873</v>
      </c>
    </row>
    <row r="5021" spans="8:8" x14ac:dyDescent="0.25">
      <c r="H5021" t="s">
        <v>4697</v>
      </c>
    </row>
    <row r="5022" spans="8:8" x14ac:dyDescent="0.25">
      <c r="H5022" t="s">
        <v>5170</v>
      </c>
    </row>
    <row r="5023" spans="8:8" x14ac:dyDescent="0.25">
      <c r="H5023" t="s">
        <v>5172</v>
      </c>
    </row>
    <row r="5024" spans="8:8" x14ac:dyDescent="0.25">
      <c r="H5024" t="s">
        <v>5173</v>
      </c>
    </row>
    <row r="5025" spans="8:8" x14ac:dyDescent="0.25">
      <c r="H5025" t="s">
        <v>5174</v>
      </c>
    </row>
    <row r="5026" spans="8:8" x14ac:dyDescent="0.25">
      <c r="H5026" t="s">
        <v>4032</v>
      </c>
    </row>
    <row r="5027" spans="8:8" x14ac:dyDescent="0.25">
      <c r="H5027" t="s">
        <v>5178</v>
      </c>
    </row>
    <row r="5028" spans="8:8" x14ac:dyDescent="0.25">
      <c r="H5028" t="s">
        <v>3736</v>
      </c>
    </row>
    <row r="5029" spans="8:8" x14ac:dyDescent="0.25">
      <c r="H5029" t="s">
        <v>1529</v>
      </c>
    </row>
    <row r="5030" spans="8:8" x14ac:dyDescent="0.25">
      <c r="H5030" t="s">
        <v>5179</v>
      </c>
    </row>
    <row r="5031" spans="8:8" x14ac:dyDescent="0.25">
      <c r="H5031" t="s">
        <v>2036</v>
      </c>
    </row>
    <row r="5032" spans="8:8" x14ac:dyDescent="0.25">
      <c r="H5032" t="s">
        <v>5180</v>
      </c>
    </row>
    <row r="5033" spans="8:8" x14ac:dyDescent="0.25">
      <c r="H5033" t="s">
        <v>473</v>
      </c>
    </row>
    <row r="5034" spans="8:8" x14ac:dyDescent="0.25">
      <c r="H5034" t="s">
        <v>4800</v>
      </c>
    </row>
    <row r="5035" spans="8:8" x14ac:dyDescent="0.25">
      <c r="H5035" t="s">
        <v>5267</v>
      </c>
    </row>
    <row r="5036" spans="8:8" x14ac:dyDescent="0.25">
      <c r="H5036" t="s">
        <v>2157</v>
      </c>
    </row>
    <row r="5037" spans="8:8" x14ac:dyDescent="0.25">
      <c r="H5037" t="s">
        <v>2285</v>
      </c>
    </row>
    <row r="5038" spans="8:8" x14ac:dyDescent="0.25">
      <c r="H5038" t="s">
        <v>1268</v>
      </c>
    </row>
    <row r="5039" spans="8:8" x14ac:dyDescent="0.25">
      <c r="H5039" t="s">
        <v>5181</v>
      </c>
    </row>
    <row r="5040" spans="8:8" x14ac:dyDescent="0.25">
      <c r="H5040" t="s">
        <v>5184</v>
      </c>
    </row>
    <row r="5041" spans="8:8" x14ac:dyDescent="0.25">
      <c r="H5041" t="s">
        <v>5185</v>
      </c>
    </row>
    <row r="5042" spans="8:8" x14ac:dyDescent="0.25">
      <c r="H5042" t="s">
        <v>2459</v>
      </c>
    </row>
    <row r="5043" spans="8:8" x14ac:dyDescent="0.25">
      <c r="H5043" t="s">
        <v>680</v>
      </c>
    </row>
    <row r="5044" spans="8:8" x14ac:dyDescent="0.25">
      <c r="H5044" t="s">
        <v>5204</v>
      </c>
    </row>
    <row r="5045" spans="8:8" x14ac:dyDescent="0.25">
      <c r="H5045" t="s">
        <v>2292</v>
      </c>
    </row>
    <row r="5046" spans="8:8" x14ac:dyDescent="0.25">
      <c r="H5046" t="s">
        <v>5218</v>
      </c>
    </row>
    <row r="5047" spans="8:8" x14ac:dyDescent="0.25">
      <c r="H5047" t="s">
        <v>5210</v>
      </c>
    </row>
    <row r="5048" spans="8:8" x14ac:dyDescent="0.25">
      <c r="H5048" t="s">
        <v>5236</v>
      </c>
    </row>
    <row r="5049" spans="8:8" x14ac:dyDescent="0.25">
      <c r="H5049" t="s">
        <v>1868</v>
      </c>
    </row>
    <row r="5050" spans="8:8" x14ac:dyDescent="0.25">
      <c r="H5050" t="s">
        <v>3770</v>
      </c>
    </row>
    <row r="5051" spans="8:8" x14ac:dyDescent="0.25">
      <c r="H5051" t="s">
        <v>1762</v>
      </c>
    </row>
    <row r="5052" spans="8:8" x14ac:dyDescent="0.25">
      <c r="H5052" t="s">
        <v>1753</v>
      </c>
    </row>
    <row r="5053" spans="8:8" x14ac:dyDescent="0.25">
      <c r="H5053" t="s">
        <v>2747</v>
      </c>
    </row>
    <row r="5054" spans="8:8" x14ac:dyDescent="0.25">
      <c r="H5054" t="s">
        <v>1267</v>
      </c>
    </row>
    <row r="5055" spans="8:8" x14ac:dyDescent="0.25">
      <c r="H5055" t="s">
        <v>1950</v>
      </c>
    </row>
    <row r="5056" spans="8:8" x14ac:dyDescent="0.25">
      <c r="H5056" t="s">
        <v>5420</v>
      </c>
    </row>
    <row r="5057" spans="8:8" x14ac:dyDescent="0.25">
      <c r="H5057" t="s">
        <v>5366</v>
      </c>
    </row>
    <row r="5058" spans="8:8" x14ac:dyDescent="0.25">
      <c r="H5058" t="s">
        <v>5345</v>
      </c>
    </row>
    <row r="5059" spans="8:8" x14ac:dyDescent="0.25">
      <c r="H5059" t="s">
        <v>2286</v>
      </c>
    </row>
    <row r="5060" spans="8:8" x14ac:dyDescent="0.25">
      <c r="H5060" t="s">
        <v>5442</v>
      </c>
    </row>
    <row r="5061" spans="8:8" x14ac:dyDescent="0.25">
      <c r="H5061" t="s">
        <v>5367</v>
      </c>
    </row>
    <row r="5062" spans="8:8" x14ac:dyDescent="0.25">
      <c r="H5062" t="s">
        <v>5242</v>
      </c>
    </row>
    <row r="5063" spans="8:8" x14ac:dyDescent="0.25">
      <c r="H5063" t="s">
        <v>5243</v>
      </c>
    </row>
    <row r="5064" spans="8:8" x14ac:dyDescent="0.25">
      <c r="H5064" t="s">
        <v>5241</v>
      </c>
    </row>
    <row r="5065" spans="8:8" x14ac:dyDescent="0.25">
      <c r="H5065" t="s">
        <v>3019</v>
      </c>
    </row>
    <row r="5066" spans="8:8" x14ac:dyDescent="0.25">
      <c r="H5066" t="s">
        <v>3257</v>
      </c>
    </row>
    <row r="5067" spans="8:8" x14ac:dyDescent="0.25">
      <c r="H5067" t="s">
        <v>4802</v>
      </c>
    </row>
    <row r="5068" spans="8:8" x14ac:dyDescent="0.25">
      <c r="H5068" t="s">
        <v>5238</v>
      </c>
    </row>
    <row r="5069" spans="8:8" x14ac:dyDescent="0.25">
      <c r="H5069" t="s">
        <v>4966</v>
      </c>
    </row>
    <row r="5070" spans="8:8" x14ac:dyDescent="0.25">
      <c r="H5070" t="s">
        <v>5240</v>
      </c>
    </row>
    <row r="5071" spans="8:8" x14ac:dyDescent="0.25">
      <c r="H5071" t="s">
        <v>2913</v>
      </c>
    </row>
    <row r="5072" spans="8:8" x14ac:dyDescent="0.25">
      <c r="H5072" t="s">
        <v>5448</v>
      </c>
    </row>
    <row r="5073" spans="8:8" x14ac:dyDescent="0.25">
      <c r="H5073" t="s">
        <v>808</v>
      </c>
    </row>
    <row r="5074" spans="8:8" x14ac:dyDescent="0.25">
      <c r="H5074" t="s">
        <v>3264</v>
      </c>
    </row>
    <row r="5075" spans="8:8" x14ac:dyDescent="0.25">
      <c r="H5075" t="s">
        <v>3346</v>
      </c>
    </row>
    <row r="5076" spans="8:8" x14ac:dyDescent="0.25">
      <c r="H5076" t="s">
        <v>3327</v>
      </c>
    </row>
    <row r="5077" spans="8:8" x14ac:dyDescent="0.25">
      <c r="H5077" t="s">
        <v>3797</v>
      </c>
    </row>
    <row r="5078" spans="8:8" x14ac:dyDescent="0.25">
      <c r="H5078" t="s">
        <v>1521</v>
      </c>
    </row>
    <row r="5079" spans="8:8" x14ac:dyDescent="0.25">
      <c r="H5079" t="s">
        <v>4745</v>
      </c>
    </row>
    <row r="5080" spans="8:8" x14ac:dyDescent="0.25">
      <c r="H5080" t="s">
        <v>5246</v>
      </c>
    </row>
    <row r="5081" spans="8:8" x14ac:dyDescent="0.25">
      <c r="H5081" t="s">
        <v>4548</v>
      </c>
    </row>
    <row r="5082" spans="8:8" x14ac:dyDescent="0.25">
      <c r="H5082" t="s">
        <v>5356</v>
      </c>
    </row>
    <row r="5083" spans="8:8" x14ac:dyDescent="0.25">
      <c r="H5083" t="s">
        <v>1096</v>
      </c>
    </row>
    <row r="5084" spans="8:8" x14ac:dyDescent="0.25">
      <c r="H5084" t="s">
        <v>2277</v>
      </c>
    </row>
    <row r="5085" spans="8:8" x14ac:dyDescent="0.25">
      <c r="H5085" t="s">
        <v>1095</v>
      </c>
    </row>
    <row r="5086" spans="8:8" x14ac:dyDescent="0.25">
      <c r="H5086" t="s">
        <v>5249</v>
      </c>
    </row>
    <row r="5087" spans="8:8" x14ac:dyDescent="0.25">
      <c r="H5087" t="s">
        <v>5250</v>
      </c>
    </row>
    <row r="5088" spans="8:8" x14ac:dyDescent="0.25">
      <c r="H5088" t="s">
        <v>2424</v>
      </c>
    </row>
    <row r="5089" spans="8:8" x14ac:dyDescent="0.25">
      <c r="H5089" t="s">
        <v>2762</v>
      </c>
    </row>
    <row r="5090" spans="8:8" x14ac:dyDescent="0.25">
      <c r="H5090" t="s">
        <v>770</v>
      </c>
    </row>
    <row r="5091" spans="8:8" x14ac:dyDescent="0.25">
      <c r="H5091" t="s">
        <v>3613</v>
      </c>
    </row>
    <row r="5092" spans="8:8" x14ac:dyDescent="0.25">
      <c r="H5092" t="s">
        <v>3612</v>
      </c>
    </row>
    <row r="5093" spans="8:8" x14ac:dyDescent="0.25">
      <c r="H5093" t="s">
        <v>1621</v>
      </c>
    </row>
    <row r="5094" spans="8:8" x14ac:dyDescent="0.25">
      <c r="H5094" t="s">
        <v>1631</v>
      </c>
    </row>
    <row r="5095" spans="8:8" x14ac:dyDescent="0.25">
      <c r="H5095" t="s">
        <v>5255</v>
      </c>
    </row>
    <row r="5096" spans="8:8" x14ac:dyDescent="0.25">
      <c r="H5096" t="s">
        <v>4475</v>
      </c>
    </row>
    <row r="5097" spans="8:8" x14ac:dyDescent="0.25">
      <c r="H5097" t="s">
        <v>5266</v>
      </c>
    </row>
    <row r="5098" spans="8:8" x14ac:dyDescent="0.25">
      <c r="H5098" t="s">
        <v>5268</v>
      </c>
    </row>
    <row r="5099" spans="8:8" x14ac:dyDescent="0.25">
      <c r="H5099" t="s">
        <v>3599</v>
      </c>
    </row>
    <row r="5100" spans="8:8" x14ac:dyDescent="0.25">
      <c r="H5100" t="s">
        <v>4857</v>
      </c>
    </row>
    <row r="5101" spans="8:8" x14ac:dyDescent="0.25">
      <c r="H5101" t="s">
        <v>1721</v>
      </c>
    </row>
    <row r="5102" spans="8:8" x14ac:dyDescent="0.25">
      <c r="H5102" t="s">
        <v>4386</v>
      </c>
    </row>
    <row r="5103" spans="8:8" x14ac:dyDescent="0.25">
      <c r="H5103" t="s">
        <v>4279</v>
      </c>
    </row>
    <row r="5104" spans="8:8" x14ac:dyDescent="0.25">
      <c r="H5104" t="s">
        <v>2204</v>
      </c>
    </row>
    <row r="5105" spans="8:8" x14ac:dyDescent="0.25">
      <c r="H5105" t="s">
        <v>4328</v>
      </c>
    </row>
    <row r="5106" spans="8:8" x14ac:dyDescent="0.25">
      <c r="H5106" t="s">
        <v>4199</v>
      </c>
    </row>
    <row r="5107" spans="8:8" x14ac:dyDescent="0.25">
      <c r="H5107" t="s">
        <v>681</v>
      </c>
    </row>
    <row r="5108" spans="8:8" x14ac:dyDescent="0.25">
      <c r="H5108" t="s">
        <v>3597</v>
      </c>
    </row>
    <row r="5109" spans="8:8" x14ac:dyDescent="0.25">
      <c r="H5109" t="s">
        <v>5482</v>
      </c>
    </row>
    <row r="5110" spans="8:8" x14ac:dyDescent="0.25">
      <c r="H5110" t="s">
        <v>5272</v>
      </c>
    </row>
    <row r="5111" spans="8:8" x14ac:dyDescent="0.25">
      <c r="H5111" t="s">
        <v>1023</v>
      </c>
    </row>
    <row r="5112" spans="8:8" x14ac:dyDescent="0.25">
      <c r="H5112" t="s">
        <v>5273</v>
      </c>
    </row>
    <row r="5113" spans="8:8" x14ac:dyDescent="0.25">
      <c r="H5113" t="s">
        <v>5253</v>
      </c>
    </row>
    <row r="5114" spans="8:8" x14ac:dyDescent="0.25">
      <c r="H5114" t="s">
        <v>2780</v>
      </c>
    </row>
    <row r="5115" spans="8:8" x14ac:dyDescent="0.25">
      <c r="H5115" t="s">
        <v>5341</v>
      </c>
    </row>
    <row r="5116" spans="8:8" x14ac:dyDescent="0.25">
      <c r="H5116" t="s">
        <v>5274</v>
      </c>
    </row>
    <row r="5117" spans="8:8" x14ac:dyDescent="0.25">
      <c r="H5117" t="s">
        <v>594</v>
      </c>
    </row>
    <row r="5118" spans="8:8" x14ac:dyDescent="0.25">
      <c r="H5118" t="s">
        <v>2149</v>
      </c>
    </row>
    <row r="5119" spans="8:8" x14ac:dyDescent="0.25">
      <c r="H5119" t="s">
        <v>5277</v>
      </c>
    </row>
    <row r="5120" spans="8:8" x14ac:dyDescent="0.25">
      <c r="H5120" t="s">
        <v>3475</v>
      </c>
    </row>
    <row r="5121" spans="8:8" x14ac:dyDescent="0.25">
      <c r="H5121" t="s">
        <v>5278</v>
      </c>
    </row>
    <row r="5122" spans="8:8" x14ac:dyDescent="0.25">
      <c r="H5122" t="s">
        <v>983</v>
      </c>
    </row>
    <row r="5123" spans="8:8" x14ac:dyDescent="0.25">
      <c r="H5123" t="s">
        <v>1418</v>
      </c>
    </row>
    <row r="5124" spans="8:8" x14ac:dyDescent="0.25">
      <c r="H5124" t="s">
        <v>1060</v>
      </c>
    </row>
    <row r="5125" spans="8:8" x14ac:dyDescent="0.25">
      <c r="H5125" t="s">
        <v>5279</v>
      </c>
    </row>
    <row r="5126" spans="8:8" x14ac:dyDescent="0.25">
      <c r="H5126" t="s">
        <v>457</v>
      </c>
    </row>
    <row r="5127" spans="8:8" x14ac:dyDescent="0.25">
      <c r="H5127" t="s">
        <v>1388</v>
      </c>
    </row>
    <row r="5128" spans="8:8" x14ac:dyDescent="0.25">
      <c r="H5128" t="s">
        <v>1406</v>
      </c>
    </row>
    <row r="5129" spans="8:8" x14ac:dyDescent="0.25">
      <c r="H5129" t="s">
        <v>471</v>
      </c>
    </row>
    <row r="5130" spans="8:8" x14ac:dyDescent="0.25">
      <c r="H5130" t="s">
        <v>5280</v>
      </c>
    </row>
    <row r="5131" spans="8:8" x14ac:dyDescent="0.25">
      <c r="H5131" t="s">
        <v>1494</v>
      </c>
    </row>
    <row r="5132" spans="8:8" x14ac:dyDescent="0.25">
      <c r="H5132" t="s">
        <v>834</v>
      </c>
    </row>
    <row r="5133" spans="8:8" x14ac:dyDescent="0.25">
      <c r="H5133" t="s">
        <v>5281</v>
      </c>
    </row>
    <row r="5134" spans="8:8" x14ac:dyDescent="0.25">
      <c r="H5134" t="s">
        <v>5282</v>
      </c>
    </row>
    <row r="5135" spans="8:8" x14ac:dyDescent="0.25">
      <c r="H5135" t="s">
        <v>5283</v>
      </c>
    </row>
    <row r="5136" spans="8:8" x14ac:dyDescent="0.25">
      <c r="H5136" t="s">
        <v>5284</v>
      </c>
    </row>
    <row r="5137" spans="8:8" x14ac:dyDescent="0.25">
      <c r="H5137" t="s">
        <v>5286</v>
      </c>
    </row>
    <row r="5138" spans="8:8" x14ac:dyDescent="0.25">
      <c r="H5138" t="s">
        <v>4854</v>
      </c>
    </row>
    <row r="5139" spans="8:8" x14ac:dyDescent="0.25">
      <c r="H5139" t="s">
        <v>5287</v>
      </c>
    </row>
    <row r="5140" spans="8:8" x14ac:dyDescent="0.25">
      <c r="H5140" t="s">
        <v>1154</v>
      </c>
    </row>
    <row r="5141" spans="8:8" x14ac:dyDescent="0.25">
      <c r="H5141" t="s">
        <v>5289</v>
      </c>
    </row>
    <row r="5142" spans="8:8" x14ac:dyDescent="0.25">
      <c r="H5142" t="s">
        <v>4331</v>
      </c>
    </row>
    <row r="5143" spans="8:8" x14ac:dyDescent="0.25">
      <c r="H5143" t="s">
        <v>2900</v>
      </c>
    </row>
    <row r="5144" spans="8:8" x14ac:dyDescent="0.25">
      <c r="H5144" t="s">
        <v>5443</v>
      </c>
    </row>
    <row r="5145" spans="8:8" x14ac:dyDescent="0.25">
      <c r="H5145" t="s">
        <v>4460</v>
      </c>
    </row>
    <row r="5146" spans="8:8" x14ac:dyDescent="0.25">
      <c r="H5146" t="s">
        <v>1009</v>
      </c>
    </row>
    <row r="5147" spans="8:8" x14ac:dyDescent="0.25">
      <c r="H5147" t="s">
        <v>3380</v>
      </c>
    </row>
    <row r="5148" spans="8:8" x14ac:dyDescent="0.25">
      <c r="H5148" t="s">
        <v>4167</v>
      </c>
    </row>
    <row r="5149" spans="8:8" x14ac:dyDescent="0.25">
      <c r="H5149" t="s">
        <v>5292</v>
      </c>
    </row>
    <row r="5150" spans="8:8" x14ac:dyDescent="0.25">
      <c r="H5150" t="s">
        <v>5297</v>
      </c>
    </row>
    <row r="5151" spans="8:8" x14ac:dyDescent="0.25">
      <c r="H5151" t="s">
        <v>5296</v>
      </c>
    </row>
    <row r="5152" spans="8:8" x14ac:dyDescent="0.25">
      <c r="H5152" t="s">
        <v>1167</v>
      </c>
    </row>
    <row r="5153" spans="8:8" x14ac:dyDescent="0.25">
      <c r="H5153" t="s">
        <v>5368</v>
      </c>
    </row>
    <row r="5154" spans="8:8" x14ac:dyDescent="0.25">
      <c r="H5154" t="s">
        <v>1249</v>
      </c>
    </row>
    <row r="5155" spans="8:8" x14ac:dyDescent="0.25">
      <c r="H5155" t="s">
        <v>5148</v>
      </c>
    </row>
    <row r="5156" spans="8:8" x14ac:dyDescent="0.25">
      <c r="H5156" t="s">
        <v>3825</v>
      </c>
    </row>
    <row r="5157" spans="8:8" x14ac:dyDescent="0.25">
      <c r="H5157" t="s">
        <v>5301</v>
      </c>
    </row>
    <row r="5158" spans="8:8" x14ac:dyDescent="0.25">
      <c r="H5158" t="s">
        <v>1564</v>
      </c>
    </row>
    <row r="5159" spans="8:8" x14ac:dyDescent="0.25">
      <c r="H5159" t="s">
        <v>5519</v>
      </c>
    </row>
    <row r="5160" spans="8:8" x14ac:dyDescent="0.25">
      <c r="H5160" t="s">
        <v>5520</v>
      </c>
    </row>
    <row r="5161" spans="8:8" x14ac:dyDescent="0.25">
      <c r="H5161" t="s">
        <v>2150</v>
      </c>
    </row>
    <row r="5162" spans="8:8" x14ac:dyDescent="0.25">
      <c r="H5162" t="s">
        <v>3067</v>
      </c>
    </row>
    <row r="5163" spans="8:8" x14ac:dyDescent="0.25">
      <c r="H5163" t="s">
        <v>3628</v>
      </c>
    </row>
    <row r="5164" spans="8:8" x14ac:dyDescent="0.25">
      <c r="H5164" t="s">
        <v>1173</v>
      </c>
    </row>
    <row r="5165" spans="8:8" x14ac:dyDescent="0.25">
      <c r="H5165" t="s">
        <v>545</v>
      </c>
    </row>
    <row r="5166" spans="8:8" x14ac:dyDescent="0.25">
      <c r="H5166" t="s">
        <v>1535</v>
      </c>
    </row>
    <row r="5167" spans="8:8" x14ac:dyDescent="0.25">
      <c r="H5167" t="s">
        <v>576</v>
      </c>
    </row>
    <row r="5168" spans="8:8" x14ac:dyDescent="0.25">
      <c r="H5168" t="s">
        <v>572</v>
      </c>
    </row>
    <row r="5169" spans="8:8" x14ac:dyDescent="0.25">
      <c r="H5169" t="s">
        <v>1001</v>
      </c>
    </row>
    <row r="5170" spans="8:8" x14ac:dyDescent="0.25">
      <c r="H5170" t="s">
        <v>1681</v>
      </c>
    </row>
    <row r="5171" spans="8:8" x14ac:dyDescent="0.25">
      <c r="H5171" t="s">
        <v>5199</v>
      </c>
    </row>
    <row r="5172" spans="8:8" x14ac:dyDescent="0.25">
      <c r="H5172" t="s">
        <v>3618</v>
      </c>
    </row>
    <row r="5173" spans="8:8" x14ac:dyDescent="0.25">
      <c r="H5173" t="s">
        <v>3573</v>
      </c>
    </row>
    <row r="5174" spans="8:8" x14ac:dyDescent="0.25">
      <c r="H5174" t="s">
        <v>2065</v>
      </c>
    </row>
    <row r="5175" spans="8:8" x14ac:dyDescent="0.25">
      <c r="H5175" t="s">
        <v>1799</v>
      </c>
    </row>
    <row r="5176" spans="8:8" x14ac:dyDescent="0.25">
      <c r="H5176" t="s">
        <v>1975</v>
      </c>
    </row>
    <row r="5177" spans="8:8" x14ac:dyDescent="0.25">
      <c r="H5177" t="s">
        <v>3608</v>
      </c>
    </row>
    <row r="5178" spans="8:8" x14ac:dyDescent="0.25">
      <c r="H5178" t="s">
        <v>1305</v>
      </c>
    </row>
    <row r="5179" spans="8:8" x14ac:dyDescent="0.25">
      <c r="H5179" t="s">
        <v>3644</v>
      </c>
    </row>
    <row r="5180" spans="8:8" x14ac:dyDescent="0.25">
      <c r="H5180" t="s">
        <v>835</v>
      </c>
    </row>
    <row r="5181" spans="8:8" x14ac:dyDescent="0.25">
      <c r="H5181" t="s">
        <v>3255</v>
      </c>
    </row>
    <row r="5182" spans="8:8" x14ac:dyDescent="0.25">
      <c r="H5182" t="s">
        <v>3426</v>
      </c>
    </row>
    <row r="5183" spans="8:8" x14ac:dyDescent="0.25">
      <c r="H5183" t="s">
        <v>4384</v>
      </c>
    </row>
    <row r="5184" spans="8:8" x14ac:dyDescent="0.25">
      <c r="H5184" t="s">
        <v>4641</v>
      </c>
    </row>
    <row r="5185" spans="8:8" x14ac:dyDescent="0.25">
      <c r="H5185" t="s">
        <v>836</v>
      </c>
    </row>
    <row r="5186" spans="8:8" x14ac:dyDescent="0.25">
      <c r="H5186" t="s">
        <v>2507</v>
      </c>
    </row>
    <row r="5187" spans="8:8" x14ac:dyDescent="0.25">
      <c r="H5187" t="s">
        <v>5462</v>
      </c>
    </row>
    <row r="5188" spans="8:8" x14ac:dyDescent="0.25">
      <c r="H5188" t="s">
        <v>3033</v>
      </c>
    </row>
    <row r="5189" spans="8:8" x14ac:dyDescent="0.25">
      <c r="H5189" t="s">
        <v>3158</v>
      </c>
    </row>
    <row r="5190" spans="8:8" x14ac:dyDescent="0.25">
      <c r="H5190" t="s">
        <v>546</v>
      </c>
    </row>
    <row r="5191" spans="8:8" x14ac:dyDescent="0.25">
      <c r="H5191" t="s">
        <v>3482</v>
      </c>
    </row>
    <row r="5192" spans="8:8" x14ac:dyDescent="0.25">
      <c r="H5192" t="s">
        <v>3538</v>
      </c>
    </row>
    <row r="5193" spans="8:8" x14ac:dyDescent="0.25">
      <c r="H5193" t="s">
        <v>547</v>
      </c>
    </row>
    <row r="5194" spans="8:8" x14ac:dyDescent="0.25">
      <c r="H5194" t="s">
        <v>3741</v>
      </c>
    </row>
    <row r="5195" spans="8:8" x14ac:dyDescent="0.25">
      <c r="H5195" t="s">
        <v>3944</v>
      </c>
    </row>
    <row r="5196" spans="8:8" x14ac:dyDescent="0.25">
      <c r="H5196" t="s">
        <v>2438</v>
      </c>
    </row>
    <row r="5197" spans="8:8" x14ac:dyDescent="0.25">
      <c r="H5197" t="s">
        <v>4240</v>
      </c>
    </row>
    <row r="5198" spans="8:8" x14ac:dyDescent="0.25">
      <c r="H5198" t="s">
        <v>4436</v>
      </c>
    </row>
    <row r="5199" spans="8:8" x14ac:dyDescent="0.25">
      <c r="H5199" t="s">
        <v>4483</v>
      </c>
    </row>
    <row r="5200" spans="8:8" x14ac:dyDescent="0.25">
      <c r="H5200" t="s">
        <v>4632</v>
      </c>
    </row>
    <row r="5201" spans="8:8" x14ac:dyDescent="0.25">
      <c r="H5201" t="s">
        <v>2128</v>
      </c>
    </row>
    <row r="5202" spans="8:8" x14ac:dyDescent="0.25">
      <c r="H5202" t="s">
        <v>1183</v>
      </c>
    </row>
    <row r="5203" spans="8:8" x14ac:dyDescent="0.25">
      <c r="H5203" t="s">
        <v>1663</v>
      </c>
    </row>
    <row r="5204" spans="8:8" x14ac:dyDescent="0.25">
      <c r="H5204" t="s">
        <v>5034</v>
      </c>
    </row>
    <row r="5205" spans="8:8" x14ac:dyDescent="0.25">
      <c r="H5205" t="s">
        <v>5084</v>
      </c>
    </row>
    <row r="5206" spans="8:8" x14ac:dyDescent="0.25">
      <c r="H5206" t="s">
        <v>5206</v>
      </c>
    </row>
    <row r="5207" spans="8:8" x14ac:dyDescent="0.25">
      <c r="H5207" t="s">
        <v>5522</v>
      </c>
    </row>
    <row r="5208" spans="8:8" x14ac:dyDescent="0.25">
      <c r="H5208" t="s">
        <v>5523</v>
      </c>
    </row>
  </sheetData>
  <sortState ref="H1:H15623">
    <sortCondition ref="H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rgb="FF92D050"/>
  </sheetPr>
  <dimension ref="A1:I8"/>
  <sheetViews>
    <sheetView showGridLines="0" topLeftCell="B1" workbookViewId="0">
      <selection activeCell="F3" sqref="F3"/>
    </sheetView>
  </sheetViews>
  <sheetFormatPr defaultColWidth="9.140625" defaultRowHeight="15" x14ac:dyDescent="0.25"/>
  <cols>
    <col min="1" max="1" width="16.42578125" hidden="1" customWidth="1"/>
    <col min="2" max="2" width="4.5703125" style="141" customWidth="1"/>
    <col min="3" max="3" width="28.42578125" bestFit="1" customWidth="1"/>
    <col min="4" max="4" width="21.28515625" customWidth="1"/>
    <col min="5" max="5" width="55.7109375" customWidth="1"/>
    <col min="6" max="6" width="35.42578125" style="81" customWidth="1"/>
    <col min="7" max="7" width="34.85546875" customWidth="1"/>
    <col min="8" max="8" width="67.28515625" customWidth="1"/>
  </cols>
  <sheetData>
    <row r="1" spans="1:9" s="81" customFormat="1" ht="21.75" thickBot="1" x14ac:dyDescent="0.4">
      <c r="B1" s="356" t="s">
        <v>10930</v>
      </c>
    </row>
    <row r="2" spans="1:9" x14ac:dyDescent="0.25">
      <c r="A2" s="1" t="s">
        <v>10916</v>
      </c>
      <c r="B2" s="1"/>
      <c r="C2" s="361" t="s">
        <v>10860</v>
      </c>
      <c r="D2" s="362" t="s">
        <v>2</v>
      </c>
      <c r="E2" s="363" t="s">
        <v>10861</v>
      </c>
      <c r="F2" s="364" t="s">
        <v>1</v>
      </c>
      <c r="G2" s="365" t="s">
        <v>3</v>
      </c>
      <c r="H2" s="366" t="s">
        <v>10865</v>
      </c>
    </row>
    <row r="3" spans="1:9" s="2" customFormat="1" ht="86.25" customHeight="1" x14ac:dyDescent="0.25">
      <c r="A3" s="86" t="s">
        <v>66</v>
      </c>
      <c r="B3" s="86"/>
      <c r="C3" s="386" t="s">
        <v>0</v>
      </c>
      <c r="D3" s="97" t="s">
        <v>62</v>
      </c>
      <c r="E3" s="158" t="s">
        <v>11301</v>
      </c>
      <c r="F3" s="204"/>
      <c r="G3" s="269" t="s">
        <v>11302</v>
      </c>
      <c r="H3" s="230" t="s">
        <v>65</v>
      </c>
      <c r="I3" s="121"/>
    </row>
    <row r="4" spans="1:9" s="2" customFormat="1" ht="80.25" customHeight="1" x14ac:dyDescent="0.25">
      <c r="A4" s="15" t="s">
        <v>67</v>
      </c>
      <c r="B4" s="86"/>
      <c r="C4" s="409" t="s">
        <v>11303</v>
      </c>
      <c r="D4" s="97" t="s">
        <v>15</v>
      </c>
      <c r="E4" s="158" t="s">
        <v>11304</v>
      </c>
      <c r="F4" s="204"/>
      <c r="G4" s="300" t="s">
        <v>11305</v>
      </c>
      <c r="H4" s="230" t="s">
        <v>69</v>
      </c>
      <c r="I4" s="121"/>
    </row>
    <row r="5" spans="1:9" ht="21.75" customHeight="1" x14ac:dyDescent="0.25">
      <c r="A5" s="122" t="s">
        <v>10866</v>
      </c>
      <c r="B5" s="122"/>
      <c r="C5" s="386" t="s">
        <v>10862</v>
      </c>
      <c r="D5" s="97" t="s">
        <v>15</v>
      </c>
      <c r="E5" s="158" t="s">
        <v>11306</v>
      </c>
      <c r="F5" s="204"/>
      <c r="G5" s="300" t="s">
        <v>11154</v>
      </c>
      <c r="H5" s="230" t="s">
        <v>69</v>
      </c>
      <c r="I5" s="121"/>
    </row>
    <row r="6" spans="1:9" s="81" customFormat="1" ht="30" x14ac:dyDescent="0.25">
      <c r="A6" s="122" t="s">
        <v>10868</v>
      </c>
      <c r="B6" s="122"/>
      <c r="C6" s="386" t="s">
        <v>10863</v>
      </c>
      <c r="D6" s="97" t="s">
        <v>15</v>
      </c>
      <c r="E6" s="158" t="s">
        <v>11156</v>
      </c>
      <c r="F6" s="470"/>
      <c r="G6" s="300" t="s">
        <v>11155</v>
      </c>
      <c r="H6" s="230" t="s">
        <v>69</v>
      </c>
    </row>
    <row r="7" spans="1:9" s="81" customFormat="1" ht="41.25" customHeight="1" x14ac:dyDescent="0.25">
      <c r="A7" s="123" t="s">
        <v>10867</v>
      </c>
      <c r="B7" s="123"/>
      <c r="C7" s="386" t="s">
        <v>10864</v>
      </c>
      <c r="D7" s="97" t="s">
        <v>10988</v>
      </c>
      <c r="E7" s="158" t="s">
        <v>11307</v>
      </c>
      <c r="F7" s="204"/>
      <c r="G7" s="300" t="s">
        <v>11308</v>
      </c>
      <c r="H7" s="230" t="s">
        <v>69</v>
      </c>
    </row>
    <row r="8" spans="1:9" s="29" customFormat="1" ht="187.5" customHeight="1" thickBot="1" x14ac:dyDescent="0.3">
      <c r="A8" s="28" t="s">
        <v>335</v>
      </c>
      <c r="B8" s="123"/>
      <c r="C8" s="387" t="s">
        <v>356</v>
      </c>
      <c r="D8" s="193" t="s">
        <v>12</v>
      </c>
      <c r="E8" s="298" t="s">
        <v>11309</v>
      </c>
      <c r="F8" s="236"/>
      <c r="G8" s="301" t="s">
        <v>5749</v>
      </c>
      <c r="H8" s="299" t="s">
        <v>337</v>
      </c>
      <c r="I8" s="120"/>
    </row>
  </sheetData>
  <sheetProtection password="D10F" sheet="1" objects="1" scenarios="1" selectLockedCells="1"/>
  <dataValidations count="1">
    <dataValidation type="list" allowBlank="1" showInputMessage="1" showErrorMessage="1" sqref="F8">
      <formula1>hierarchylevel</formula1>
    </dataValidation>
  </dataValidations>
  <hyperlinks>
    <hyperlink ref="H3" r:id="rId1"/>
    <hyperlink ref="H4" r:id="rId2"/>
    <hyperlink ref="H8" r:id="rId3"/>
    <hyperlink ref="H5" r:id="rId4"/>
    <hyperlink ref="H6" r:id="rId5"/>
    <hyperlink ref="H7" r:id="rId6"/>
  </hyperlinks>
  <pageMargins left="0.7" right="0.7" top="0.75" bottom="0.75" header="0.3" footer="0.3"/>
  <pageSetup paperSize="9" orientation="portrait"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rgb="FF92D050"/>
  </sheetPr>
  <dimension ref="A1:J84"/>
  <sheetViews>
    <sheetView showGridLines="0" zoomScaleNormal="100" workbookViewId="0">
      <pane xSplit="1" ySplit="2" topLeftCell="B3" activePane="bottomRight" state="frozen"/>
      <selection activeCell="B4" sqref="B4:I4"/>
      <selection pane="topRight" activeCell="B4" sqref="B4:I4"/>
      <selection pane="bottomLeft" activeCell="B4" sqref="B4:I4"/>
      <selection pane="bottomRight" activeCell="G4" sqref="G4"/>
    </sheetView>
  </sheetViews>
  <sheetFormatPr defaultColWidth="9.140625" defaultRowHeight="15" x14ac:dyDescent="0.25"/>
  <cols>
    <col min="1" max="1" width="24.28515625" style="81" hidden="1" customWidth="1"/>
    <col min="2" max="2" width="5" style="141" customWidth="1"/>
    <col min="3" max="3" width="40.42578125" style="81" customWidth="1"/>
    <col min="4" max="4" width="17.42578125" style="81" customWidth="1"/>
    <col min="5" max="5" width="20.5703125" style="81" customWidth="1"/>
    <col min="6" max="6" width="48.42578125" style="81" customWidth="1"/>
    <col min="7" max="7" width="47.7109375" style="81" customWidth="1"/>
    <col min="8" max="8" width="45.42578125" style="81" customWidth="1"/>
    <col min="9" max="9" width="67.140625" style="81" customWidth="1"/>
    <col min="10" max="10" width="27.42578125" style="81" bestFit="1" customWidth="1"/>
    <col min="11" max="16384" width="9.140625" style="81"/>
  </cols>
  <sheetData>
    <row r="1" spans="1:10" ht="21.75" thickBot="1" x14ac:dyDescent="0.4">
      <c r="B1" s="356" t="s">
        <v>11023</v>
      </c>
    </row>
    <row r="2" spans="1:10" x14ac:dyDescent="0.25">
      <c r="A2" s="1" t="s">
        <v>10916</v>
      </c>
      <c r="B2" s="1"/>
      <c r="C2" s="518" t="s">
        <v>10860</v>
      </c>
      <c r="D2" s="519"/>
      <c r="E2" s="367" t="s">
        <v>2</v>
      </c>
      <c r="F2" s="363" t="s">
        <v>10861</v>
      </c>
      <c r="G2" s="368" t="s">
        <v>1</v>
      </c>
      <c r="H2" s="363" t="s">
        <v>3</v>
      </c>
      <c r="I2" s="366" t="s">
        <v>10865</v>
      </c>
    </row>
    <row r="3" spans="1:10" x14ac:dyDescent="0.25">
      <c r="B3" s="357" t="s">
        <v>76</v>
      </c>
      <c r="C3" s="163"/>
      <c r="D3" s="84"/>
      <c r="E3" s="84"/>
      <c r="F3" s="84"/>
      <c r="G3" s="437"/>
      <c r="H3" s="84"/>
      <c r="I3" s="162"/>
    </row>
    <row r="4" spans="1:10" s="2" customFormat="1" ht="120" x14ac:dyDescent="0.25">
      <c r="A4" s="15" t="s">
        <v>78</v>
      </c>
      <c r="B4" s="86"/>
      <c r="C4" s="512" t="s">
        <v>76</v>
      </c>
      <c r="D4" s="160" t="s">
        <v>10869</v>
      </c>
      <c r="E4" s="110" t="s">
        <v>12</v>
      </c>
      <c r="F4" s="111" t="s">
        <v>11157</v>
      </c>
      <c r="G4" s="211"/>
      <c r="H4" s="305" t="s">
        <v>11310</v>
      </c>
      <c r="I4" s="164" t="s">
        <v>77</v>
      </c>
    </row>
    <row r="5" spans="1:10" ht="390" x14ac:dyDescent="0.25">
      <c r="A5" s="59" t="s">
        <v>10883</v>
      </c>
      <c r="B5" s="59"/>
      <c r="C5" s="506"/>
      <c r="D5" s="165" t="s">
        <v>10870</v>
      </c>
      <c r="E5" s="94" t="s">
        <v>12</v>
      </c>
      <c r="F5" s="159" t="s">
        <v>11353</v>
      </c>
      <c r="G5" s="449"/>
      <c r="H5" s="306" t="s">
        <v>11311</v>
      </c>
      <c r="I5" s="210" t="s">
        <v>77</v>
      </c>
    </row>
    <row r="6" spans="1:10" x14ac:dyDescent="0.25">
      <c r="B6" s="357" t="s">
        <v>10884</v>
      </c>
      <c r="C6" s="163"/>
      <c r="D6" s="232"/>
      <c r="F6" s="108"/>
      <c r="G6" s="439"/>
      <c r="H6" s="84"/>
      <c r="I6" s="162"/>
    </row>
    <row r="7" spans="1:10" s="2" customFormat="1" ht="90" customHeight="1" x14ac:dyDescent="0.25">
      <c r="A7" s="59" t="s">
        <v>275</v>
      </c>
      <c r="B7" s="59"/>
      <c r="C7" s="522" t="s">
        <v>10990</v>
      </c>
      <c r="D7" s="523"/>
      <c r="E7" s="110" t="s">
        <v>12</v>
      </c>
      <c r="F7" s="111" t="s">
        <v>11312</v>
      </c>
      <c r="G7" s="247"/>
      <c r="H7" s="305" t="s">
        <v>11313</v>
      </c>
      <c r="I7" s="213" t="s">
        <v>92</v>
      </c>
      <c r="J7" s="121"/>
    </row>
    <row r="8" spans="1:10" s="2" customFormat="1" ht="78.75" customHeight="1" x14ac:dyDescent="0.25">
      <c r="A8" s="60" t="s">
        <v>298</v>
      </c>
      <c r="B8" s="60"/>
      <c r="C8" s="506" t="s">
        <v>122</v>
      </c>
      <c r="D8" s="516"/>
      <c r="E8" s="102" t="s">
        <v>12</v>
      </c>
      <c r="F8" s="103" t="s">
        <v>11314</v>
      </c>
      <c r="G8" s="450"/>
      <c r="H8" s="234" t="s">
        <v>5801</v>
      </c>
      <c r="I8" s="212" t="s">
        <v>123</v>
      </c>
      <c r="J8" s="121"/>
    </row>
    <row r="9" spans="1:10" x14ac:dyDescent="0.25">
      <c r="B9" s="357" t="s">
        <v>10885</v>
      </c>
      <c r="C9" s="163"/>
      <c r="D9" s="84"/>
      <c r="E9" s="84"/>
      <c r="F9" s="108"/>
      <c r="G9" s="451"/>
      <c r="H9" s="84"/>
      <c r="I9" s="162"/>
    </row>
    <row r="10" spans="1:10" s="2" customFormat="1" ht="97.5" customHeight="1" x14ac:dyDescent="0.25">
      <c r="A10" s="59" t="s">
        <v>277</v>
      </c>
      <c r="B10" s="59"/>
      <c r="C10" s="524" t="s">
        <v>11315</v>
      </c>
      <c r="D10" s="525"/>
      <c r="E10" s="214" t="s">
        <v>10988</v>
      </c>
      <c r="F10" s="155" t="s">
        <v>11317</v>
      </c>
      <c r="G10" s="433"/>
      <c r="H10" s="307" t="s">
        <v>11158</v>
      </c>
      <c r="I10" s="215" t="s">
        <v>92</v>
      </c>
    </row>
    <row r="11" spans="1:10" s="2" customFormat="1" ht="165" x14ac:dyDescent="0.25">
      <c r="A11" s="59" t="s">
        <v>276</v>
      </c>
      <c r="B11" s="59"/>
      <c r="C11" s="494" t="s">
        <v>11316</v>
      </c>
      <c r="D11" s="495"/>
      <c r="E11" s="492" t="s">
        <v>10988</v>
      </c>
      <c r="F11" s="109" t="s">
        <v>11318</v>
      </c>
      <c r="G11" s="490"/>
      <c r="H11" s="498" t="s">
        <v>11322</v>
      </c>
      <c r="I11" s="488" t="s">
        <v>92</v>
      </c>
    </row>
    <row r="12" spans="1:10" s="2" customFormat="1" x14ac:dyDescent="0.25">
      <c r="A12" s="59"/>
      <c r="B12" s="59"/>
      <c r="C12" s="496"/>
      <c r="D12" s="497"/>
      <c r="E12" s="493"/>
      <c r="F12" s="434" t="s">
        <v>11319</v>
      </c>
      <c r="G12" s="491"/>
      <c r="H12" s="499"/>
      <c r="I12" s="489"/>
    </row>
    <row r="13" spans="1:10" s="2" customFormat="1" ht="90" x14ac:dyDescent="0.25">
      <c r="A13" s="59"/>
      <c r="B13" s="59"/>
      <c r="C13" s="526" t="s">
        <v>11355</v>
      </c>
      <c r="D13" s="503"/>
      <c r="E13" s="97" t="s">
        <v>10988</v>
      </c>
      <c r="F13" s="354" t="s">
        <v>11323</v>
      </c>
      <c r="G13" s="204"/>
      <c r="H13" s="101" t="s">
        <v>11326</v>
      </c>
      <c r="I13" s="161" t="s">
        <v>92</v>
      </c>
      <c r="J13" s="121"/>
    </row>
    <row r="14" spans="1:10" s="2" customFormat="1" ht="75" x14ac:dyDescent="0.25">
      <c r="A14" s="59"/>
      <c r="B14" s="59"/>
      <c r="C14" s="502" t="s">
        <v>11328</v>
      </c>
      <c r="D14" s="503"/>
      <c r="E14" s="97" t="s">
        <v>10988</v>
      </c>
      <c r="F14" s="354" t="s">
        <v>11329</v>
      </c>
      <c r="G14" s="204"/>
      <c r="H14" s="101" t="s">
        <v>11327</v>
      </c>
      <c r="I14" s="161" t="s">
        <v>92</v>
      </c>
      <c r="J14" s="121"/>
    </row>
    <row r="15" spans="1:10" s="2" customFormat="1" ht="59.25" customHeight="1" x14ac:dyDescent="0.25">
      <c r="A15" s="59"/>
      <c r="B15" s="59"/>
      <c r="C15" s="502" t="s">
        <v>11324</v>
      </c>
      <c r="D15" s="503"/>
      <c r="E15" s="97" t="s">
        <v>10988</v>
      </c>
      <c r="F15" s="354" t="s">
        <v>11325</v>
      </c>
      <c r="G15" s="204"/>
      <c r="H15" s="101" t="s">
        <v>4888</v>
      </c>
      <c r="I15" s="161" t="s">
        <v>92</v>
      </c>
      <c r="J15" s="121"/>
    </row>
    <row r="16" spans="1:10" s="2" customFormat="1" ht="180" x14ac:dyDescent="0.25">
      <c r="A16" s="59"/>
      <c r="B16" s="59"/>
      <c r="C16" s="506" t="s">
        <v>11330</v>
      </c>
      <c r="D16" s="516"/>
      <c r="E16" s="102" t="s">
        <v>10988</v>
      </c>
      <c r="F16" s="103" t="s">
        <v>11367</v>
      </c>
      <c r="G16" s="450"/>
      <c r="H16" s="234" t="s">
        <v>11148</v>
      </c>
      <c r="I16" s="212"/>
      <c r="J16" s="121"/>
    </row>
    <row r="17" spans="1:10" x14ac:dyDescent="0.25">
      <c r="B17" s="357" t="s">
        <v>10871</v>
      </c>
      <c r="C17" s="163"/>
      <c r="D17" s="84"/>
      <c r="E17" s="84"/>
      <c r="F17" s="108"/>
      <c r="G17" s="594"/>
      <c r="H17" s="84"/>
      <c r="I17" s="162"/>
    </row>
    <row r="18" spans="1:10" s="2" customFormat="1" ht="105" x14ac:dyDescent="0.25">
      <c r="A18" s="58" t="s">
        <v>71</v>
      </c>
      <c r="B18" s="60"/>
      <c r="C18" s="514" t="s">
        <v>10872</v>
      </c>
      <c r="D18" s="515"/>
      <c r="E18" s="110" t="s">
        <v>10988</v>
      </c>
      <c r="F18" s="111" t="s">
        <v>10991</v>
      </c>
      <c r="G18" s="593"/>
      <c r="H18" s="218" t="s">
        <v>10996</v>
      </c>
      <c r="I18" s="213" t="s">
        <v>70</v>
      </c>
    </row>
    <row r="19" spans="1:10" s="2" customFormat="1" ht="120" x14ac:dyDescent="0.25">
      <c r="A19" s="58" t="s">
        <v>73</v>
      </c>
      <c r="B19" s="60"/>
      <c r="C19" s="506" t="s">
        <v>10993</v>
      </c>
      <c r="D19" s="516"/>
      <c r="E19" s="102" t="s">
        <v>62</v>
      </c>
      <c r="F19" s="103" t="s">
        <v>10992</v>
      </c>
      <c r="G19" s="592"/>
      <c r="H19" s="234" t="s">
        <v>5754</v>
      </c>
      <c r="I19" s="212" t="s">
        <v>70</v>
      </c>
    </row>
    <row r="20" spans="1:10" x14ac:dyDescent="0.25">
      <c r="B20" s="357" t="s">
        <v>10873</v>
      </c>
      <c r="C20" s="163"/>
      <c r="D20" s="84"/>
      <c r="E20" s="84"/>
      <c r="F20" s="108"/>
      <c r="G20" s="439"/>
      <c r="H20" s="84"/>
      <c r="I20" s="162"/>
    </row>
    <row r="21" spans="1:10" s="2" customFormat="1" ht="45" x14ac:dyDescent="0.25">
      <c r="A21" s="41" t="s">
        <v>117</v>
      </c>
      <c r="B21" s="86"/>
      <c r="C21" s="520" t="s">
        <v>114</v>
      </c>
      <c r="D21" s="521"/>
      <c r="E21" s="195" t="s">
        <v>62</v>
      </c>
      <c r="F21" s="166" t="s">
        <v>11159</v>
      </c>
      <c r="G21" s="453"/>
      <c r="H21" s="233" t="s">
        <v>10</v>
      </c>
      <c r="I21" s="308" t="s">
        <v>115</v>
      </c>
      <c r="J21" s="121"/>
    </row>
    <row r="22" spans="1:10" x14ac:dyDescent="0.25">
      <c r="B22" s="357" t="s">
        <v>11354</v>
      </c>
      <c r="C22" s="163"/>
      <c r="D22" s="84"/>
      <c r="E22" s="84"/>
      <c r="F22" s="108"/>
      <c r="G22" s="439"/>
      <c r="H22" s="84"/>
      <c r="I22" s="162"/>
    </row>
    <row r="23" spans="1:10" s="2" customFormat="1" ht="45" x14ac:dyDescent="0.25">
      <c r="A23" s="60" t="s">
        <v>355</v>
      </c>
      <c r="B23" s="162"/>
      <c r="C23" s="514" t="s">
        <v>10995</v>
      </c>
      <c r="D23" s="515"/>
      <c r="E23" s="110" t="s">
        <v>12</v>
      </c>
      <c r="F23" s="111" t="s">
        <v>11160</v>
      </c>
      <c r="G23" s="211"/>
      <c r="H23" s="479" t="s">
        <v>11009</v>
      </c>
      <c r="I23" s="213" t="s">
        <v>53</v>
      </c>
      <c r="J23" s="121"/>
    </row>
    <row r="24" spans="1:10" s="2" customFormat="1" ht="34.5" customHeight="1" x14ac:dyDescent="0.25">
      <c r="A24" s="60"/>
      <c r="B24" s="84"/>
      <c r="C24" s="506" t="s">
        <v>11373</v>
      </c>
      <c r="D24" s="516"/>
      <c r="E24" s="102" t="s">
        <v>10988</v>
      </c>
      <c r="F24" s="476" t="s">
        <v>11385</v>
      </c>
      <c r="G24" s="456"/>
      <c r="H24" s="477" t="s">
        <v>11374</v>
      </c>
      <c r="I24" s="478"/>
      <c r="J24" s="121"/>
    </row>
    <row r="25" spans="1:10" x14ac:dyDescent="0.25">
      <c r="B25" s="357" t="s">
        <v>10874</v>
      </c>
      <c r="C25" s="163"/>
      <c r="D25" s="84"/>
      <c r="E25" s="84"/>
      <c r="F25" s="108"/>
      <c r="G25" s="439"/>
      <c r="H25" s="84"/>
      <c r="I25" s="162"/>
    </row>
    <row r="26" spans="1:10" s="2" customFormat="1" ht="30" x14ac:dyDescent="0.25">
      <c r="A26" s="58" t="s">
        <v>136</v>
      </c>
      <c r="B26" s="60"/>
      <c r="C26" s="514" t="s">
        <v>10875</v>
      </c>
      <c r="D26" s="515"/>
      <c r="E26" s="110" t="s">
        <v>10988</v>
      </c>
      <c r="F26" s="312" t="s">
        <v>11161</v>
      </c>
      <c r="G26" s="591"/>
      <c r="H26" s="218" t="s">
        <v>5543</v>
      </c>
      <c r="I26" s="219"/>
    </row>
    <row r="27" spans="1:10" s="2" customFormat="1" ht="30" x14ac:dyDescent="0.25">
      <c r="A27" s="216" t="s">
        <v>137</v>
      </c>
      <c r="B27" s="217"/>
      <c r="C27" s="506" t="s">
        <v>10876</v>
      </c>
      <c r="D27" s="516"/>
      <c r="E27" s="102" t="s">
        <v>10988</v>
      </c>
      <c r="F27" s="318" t="s">
        <v>11162</v>
      </c>
      <c r="G27" s="592"/>
      <c r="H27" s="234" t="s">
        <v>5752</v>
      </c>
      <c r="I27" s="208"/>
    </row>
    <row r="28" spans="1:10" s="2" customFormat="1" x14ac:dyDescent="0.25">
      <c r="A28" s="508" t="s">
        <v>354</v>
      </c>
      <c r="B28" s="357" t="s">
        <v>10986</v>
      </c>
      <c r="C28" s="197"/>
      <c r="D28" s="207"/>
      <c r="E28" s="317"/>
      <c r="F28" s="131"/>
      <c r="G28" s="454"/>
      <c r="H28" s="129"/>
      <c r="I28" s="209"/>
    </row>
    <row r="29" spans="1:10" ht="165" x14ac:dyDescent="0.25">
      <c r="A29" s="509"/>
      <c r="B29" s="206"/>
      <c r="C29" s="512" t="s">
        <v>10891</v>
      </c>
      <c r="D29" s="513"/>
      <c r="E29" s="214" t="s">
        <v>10988</v>
      </c>
      <c r="F29" s="111" t="s">
        <v>11163</v>
      </c>
      <c r="G29" s="452"/>
      <c r="H29" s="595" t="s">
        <v>10895</v>
      </c>
      <c r="I29" s="309" t="s">
        <v>75</v>
      </c>
      <c r="J29" s="49"/>
    </row>
    <row r="30" spans="1:10" ht="30" x14ac:dyDescent="0.25">
      <c r="C30" s="502" t="s">
        <v>10877</v>
      </c>
      <c r="D30" s="517"/>
      <c r="E30" s="97" t="s">
        <v>10988</v>
      </c>
      <c r="F30" s="223" t="s">
        <v>10892</v>
      </c>
      <c r="G30" s="420"/>
      <c r="H30" s="99" t="s">
        <v>10896</v>
      </c>
      <c r="I30" s="222"/>
      <c r="J30" s="49"/>
    </row>
    <row r="31" spans="1:10" x14ac:dyDescent="0.25">
      <c r="C31" s="502" t="s">
        <v>10878</v>
      </c>
      <c r="D31" s="517"/>
      <c r="E31" s="97" t="s">
        <v>10988</v>
      </c>
      <c r="F31" s="223" t="s">
        <v>10893</v>
      </c>
      <c r="G31" s="455"/>
      <c r="H31" s="436" t="s">
        <v>10897</v>
      </c>
      <c r="I31" s="222"/>
    </row>
    <row r="32" spans="1:10" ht="30" x14ac:dyDescent="0.25">
      <c r="C32" s="506" t="s">
        <v>10879</v>
      </c>
      <c r="D32" s="507"/>
      <c r="E32" s="94" t="s">
        <v>10988</v>
      </c>
      <c r="F32" s="220" t="s">
        <v>10894</v>
      </c>
      <c r="G32" s="456"/>
      <c r="H32" s="311" t="s">
        <v>68</v>
      </c>
      <c r="I32" s="221"/>
    </row>
    <row r="33" spans="1:9" s="2" customFormat="1" x14ac:dyDescent="0.25">
      <c r="B33" s="357" t="s">
        <v>10880</v>
      </c>
      <c r="C33" s="197"/>
      <c r="D33" s="108"/>
      <c r="E33" s="108"/>
      <c r="F33" s="108"/>
      <c r="G33" s="439"/>
      <c r="H33" s="108"/>
      <c r="I33" s="209"/>
    </row>
    <row r="34" spans="1:9" s="2" customFormat="1" ht="75.75" thickBot="1" x14ac:dyDescent="0.3">
      <c r="A34" s="15" t="s">
        <v>110</v>
      </c>
      <c r="B34" s="86"/>
      <c r="C34" s="510" t="s">
        <v>107</v>
      </c>
      <c r="D34" s="511"/>
      <c r="E34" s="304" t="s">
        <v>10988</v>
      </c>
      <c r="F34" s="194" t="s">
        <v>10898</v>
      </c>
      <c r="G34" s="440"/>
      <c r="H34" s="225" t="s">
        <v>108</v>
      </c>
      <c r="I34" s="226" t="s">
        <v>109</v>
      </c>
    </row>
    <row r="35" spans="1:9" s="2" customFormat="1" x14ac:dyDescent="0.25">
      <c r="A35" s="86"/>
      <c r="B35" s="86"/>
      <c r="C35" s="140"/>
      <c r="D35" s="140"/>
      <c r="E35" s="128"/>
      <c r="F35" s="131"/>
      <c r="G35" s="457"/>
      <c r="H35" s="229"/>
      <c r="I35" s="132"/>
    </row>
    <row r="36" spans="1:9" x14ac:dyDescent="0.25">
      <c r="F36" s="2"/>
      <c r="G36" s="458"/>
    </row>
    <row r="37" spans="1:9" ht="21" x14ac:dyDescent="0.35">
      <c r="B37" s="356" t="s">
        <v>10881</v>
      </c>
      <c r="F37" s="2"/>
      <c r="G37" s="458"/>
    </row>
    <row r="38" spans="1:9" ht="16.5" customHeight="1" thickBot="1" x14ac:dyDescent="0.4">
      <c r="A38" s="124"/>
      <c r="B38" s="357" t="s">
        <v>10987</v>
      </c>
      <c r="F38" s="2"/>
      <c r="G38" s="458"/>
    </row>
    <row r="39" spans="1:9" s="2" customFormat="1" ht="30" x14ac:dyDescent="0.25">
      <c r="A39" s="15" t="s">
        <v>86</v>
      </c>
      <c r="B39" s="86"/>
      <c r="C39" s="500" t="s">
        <v>85</v>
      </c>
      <c r="D39" s="501"/>
      <c r="E39" s="231" t="s">
        <v>10988</v>
      </c>
      <c r="F39" s="227" t="s">
        <v>11164</v>
      </c>
      <c r="G39" s="459"/>
      <c r="H39" s="228" t="s">
        <v>5570</v>
      </c>
      <c r="I39" s="310" t="s">
        <v>87</v>
      </c>
    </row>
    <row r="40" spans="1:9" s="2" customFormat="1" ht="45" x14ac:dyDescent="0.25">
      <c r="A40" s="15" t="s">
        <v>88</v>
      </c>
      <c r="B40" s="86"/>
      <c r="C40" s="502" t="s">
        <v>10882</v>
      </c>
      <c r="D40" s="503"/>
      <c r="E40" s="97" t="s">
        <v>10988</v>
      </c>
      <c r="F40" s="98" t="s">
        <v>11165</v>
      </c>
      <c r="G40" s="204"/>
      <c r="H40" s="125"/>
      <c r="I40" s="161" t="s">
        <v>87</v>
      </c>
    </row>
    <row r="41" spans="1:9" s="2" customFormat="1" ht="60" x14ac:dyDescent="0.25">
      <c r="A41" s="15" t="s">
        <v>79</v>
      </c>
      <c r="B41" s="86"/>
      <c r="C41" s="502" t="s">
        <v>83</v>
      </c>
      <c r="D41" s="503"/>
      <c r="E41" s="97" t="s">
        <v>10988</v>
      </c>
      <c r="F41" s="98" t="s">
        <v>84</v>
      </c>
      <c r="G41" s="204"/>
      <c r="H41" s="99" t="s">
        <v>82</v>
      </c>
      <c r="I41" s="192" t="s">
        <v>81</v>
      </c>
    </row>
    <row r="42" spans="1:9" s="2" customFormat="1" ht="30.75" thickBot="1" x14ac:dyDescent="0.3">
      <c r="A42" s="58" t="s">
        <v>72</v>
      </c>
      <c r="B42" s="60"/>
      <c r="C42" s="504" t="s">
        <v>10899</v>
      </c>
      <c r="D42" s="505"/>
      <c r="E42" s="193" t="s">
        <v>10988</v>
      </c>
      <c r="F42" s="171" t="s">
        <v>186</v>
      </c>
      <c r="G42" s="481"/>
      <c r="H42" s="302" t="s">
        <v>5753</v>
      </c>
      <c r="I42" s="303" t="s">
        <v>70</v>
      </c>
    </row>
    <row r="43" spans="1:9" x14ac:dyDescent="0.25">
      <c r="G43" s="252"/>
    </row>
    <row r="44" spans="1:9" x14ac:dyDescent="0.25">
      <c r="G44" s="252"/>
    </row>
    <row r="45" spans="1:9" x14ac:dyDescent="0.25">
      <c r="G45" s="252"/>
    </row>
    <row r="46" spans="1:9" x14ac:dyDescent="0.25">
      <c r="G46" s="252"/>
    </row>
    <row r="47" spans="1:9" x14ac:dyDescent="0.25">
      <c r="G47" s="252"/>
    </row>
    <row r="48" spans="1:9" x14ac:dyDescent="0.25">
      <c r="G48" s="252"/>
    </row>
    <row r="49" spans="7:7" x14ac:dyDescent="0.25">
      <c r="G49" s="252"/>
    </row>
    <row r="50" spans="7:7" x14ac:dyDescent="0.25">
      <c r="G50" s="252"/>
    </row>
    <row r="51" spans="7:7" x14ac:dyDescent="0.25">
      <c r="G51" s="252"/>
    </row>
    <row r="52" spans="7:7" x14ac:dyDescent="0.25">
      <c r="G52" s="252"/>
    </row>
    <row r="53" spans="7:7" x14ac:dyDescent="0.25">
      <c r="G53" s="252"/>
    </row>
    <row r="54" spans="7:7" x14ac:dyDescent="0.25">
      <c r="G54" s="252"/>
    </row>
    <row r="55" spans="7:7" x14ac:dyDescent="0.25">
      <c r="G55" s="252"/>
    </row>
    <row r="56" spans="7:7" x14ac:dyDescent="0.25">
      <c r="G56" s="252"/>
    </row>
    <row r="57" spans="7:7" x14ac:dyDescent="0.25">
      <c r="G57" s="252"/>
    </row>
    <row r="58" spans="7:7" x14ac:dyDescent="0.25">
      <c r="G58" s="252"/>
    </row>
    <row r="59" spans="7:7" x14ac:dyDescent="0.25">
      <c r="G59" s="252"/>
    </row>
    <row r="60" spans="7:7" x14ac:dyDescent="0.25">
      <c r="G60" s="252"/>
    </row>
    <row r="61" spans="7:7" x14ac:dyDescent="0.25">
      <c r="G61" s="252"/>
    </row>
    <row r="62" spans="7:7" x14ac:dyDescent="0.25">
      <c r="G62" s="252"/>
    </row>
    <row r="63" spans="7:7" x14ac:dyDescent="0.25">
      <c r="G63" s="252"/>
    </row>
    <row r="64" spans="7:7" x14ac:dyDescent="0.25">
      <c r="G64" s="252"/>
    </row>
    <row r="65" spans="7:7" x14ac:dyDescent="0.25">
      <c r="G65" s="252"/>
    </row>
    <row r="66" spans="7:7" x14ac:dyDescent="0.25">
      <c r="G66" s="252"/>
    </row>
    <row r="67" spans="7:7" x14ac:dyDescent="0.25">
      <c r="G67" s="252"/>
    </row>
    <row r="68" spans="7:7" x14ac:dyDescent="0.25">
      <c r="G68" s="252"/>
    </row>
    <row r="69" spans="7:7" x14ac:dyDescent="0.25">
      <c r="G69" s="252"/>
    </row>
    <row r="70" spans="7:7" x14ac:dyDescent="0.25">
      <c r="G70" s="252"/>
    </row>
    <row r="71" spans="7:7" x14ac:dyDescent="0.25">
      <c r="G71" s="252"/>
    </row>
    <row r="72" spans="7:7" x14ac:dyDescent="0.25">
      <c r="G72" s="252"/>
    </row>
    <row r="73" spans="7:7" x14ac:dyDescent="0.25">
      <c r="G73" s="252"/>
    </row>
    <row r="74" spans="7:7" x14ac:dyDescent="0.25">
      <c r="G74" s="252"/>
    </row>
    <row r="75" spans="7:7" x14ac:dyDescent="0.25">
      <c r="G75" s="252"/>
    </row>
    <row r="76" spans="7:7" x14ac:dyDescent="0.25">
      <c r="G76" s="252"/>
    </row>
    <row r="77" spans="7:7" x14ac:dyDescent="0.25">
      <c r="G77" s="252"/>
    </row>
    <row r="78" spans="7:7" x14ac:dyDescent="0.25">
      <c r="G78" s="252"/>
    </row>
    <row r="79" spans="7:7" x14ac:dyDescent="0.25">
      <c r="G79" s="252"/>
    </row>
    <row r="80" spans="7:7" x14ac:dyDescent="0.25">
      <c r="G80" s="252"/>
    </row>
    <row r="81" spans="7:7" x14ac:dyDescent="0.25">
      <c r="G81" s="252"/>
    </row>
    <row r="82" spans="7:7" x14ac:dyDescent="0.25">
      <c r="G82" s="252"/>
    </row>
    <row r="83" spans="7:7" x14ac:dyDescent="0.25">
      <c r="G83" s="252"/>
    </row>
    <row r="84" spans="7:7" x14ac:dyDescent="0.25">
      <c r="G84" s="252"/>
    </row>
  </sheetData>
  <sheetProtection password="D10F" sheet="1" objects="1" scenarios="1" selectLockedCells="1"/>
  <mergeCells count="31">
    <mergeCell ref="C2:D2"/>
    <mergeCell ref="C18:D18"/>
    <mergeCell ref="C19:D19"/>
    <mergeCell ref="C21:D21"/>
    <mergeCell ref="C4:C5"/>
    <mergeCell ref="C7:D7"/>
    <mergeCell ref="C8:D8"/>
    <mergeCell ref="C10:D10"/>
    <mergeCell ref="C15:D15"/>
    <mergeCell ref="C14:D14"/>
    <mergeCell ref="C16:D16"/>
    <mergeCell ref="C13:D13"/>
    <mergeCell ref="A28:A29"/>
    <mergeCell ref="C34:D34"/>
    <mergeCell ref="C29:D29"/>
    <mergeCell ref="C23:D23"/>
    <mergeCell ref="C26:D26"/>
    <mergeCell ref="C27:D27"/>
    <mergeCell ref="C30:D30"/>
    <mergeCell ref="C31:D31"/>
    <mergeCell ref="C24:D24"/>
    <mergeCell ref="C39:D39"/>
    <mergeCell ref="C40:D40"/>
    <mergeCell ref="C41:D41"/>
    <mergeCell ref="C42:D42"/>
    <mergeCell ref="C32:D32"/>
    <mergeCell ref="I11:I12"/>
    <mergeCell ref="G11:G12"/>
    <mergeCell ref="E11:E12"/>
    <mergeCell ref="C11:D12"/>
    <mergeCell ref="H11:H12"/>
  </mergeCells>
  <dataValidations count="6">
    <dataValidation type="list" allowBlank="1" showInputMessage="1" showErrorMessage="1" sqref="G34">
      <formula1>Repre_Spatial</formula1>
    </dataValidation>
    <dataValidation type="list" allowBlank="1" showInputMessage="1" showErrorMessage="1" sqref="G39">
      <formula1>Frequence_maintenance</formula1>
    </dataValidation>
    <dataValidation type="list" allowBlank="1" showInputMessage="1" showErrorMessage="1" sqref="G41">
      <formula1>Statut</formula1>
    </dataValidation>
    <dataValidation type="list" allowBlank="1" showInputMessage="1" showErrorMessage="1" sqref="G21">
      <formula1>Langues</formula1>
    </dataValidation>
    <dataValidation type="list" allowBlank="1" showInputMessage="1" showErrorMessage="1" sqref="G23">
      <formula1>syst_coord</formula1>
    </dataValidation>
    <dataValidation type="list" allowBlank="1" showInputMessage="1" showErrorMessage="1" sqref="G16">
      <formula1>mots_cles_tech_INFRASIG</formula1>
    </dataValidation>
  </dataValidations>
  <hyperlinks>
    <hyperlink ref="I4" r:id="rId1"/>
    <hyperlink ref="I5" r:id="rId2"/>
    <hyperlink ref="I7" r:id="rId3"/>
    <hyperlink ref="I8" r:id="rId4"/>
    <hyperlink ref="I11" r:id="rId5"/>
    <hyperlink ref="I10" r:id="rId6"/>
    <hyperlink ref="I15" r:id="rId7"/>
    <hyperlink ref="I18" r:id="rId8"/>
    <hyperlink ref="I19" r:id="rId9"/>
    <hyperlink ref="I42" r:id="rId10"/>
    <hyperlink ref="I21" r:id="rId11"/>
    <hyperlink ref="I23" r:id="rId12"/>
    <hyperlink ref="I29" r:id="rId13"/>
    <hyperlink ref="I34" r:id="rId14"/>
    <hyperlink ref="I39" r:id="rId15"/>
    <hyperlink ref="I40" r:id="rId16"/>
    <hyperlink ref="I41" r:id="rId17"/>
    <hyperlink ref="I13" r:id="rId18"/>
    <hyperlink ref="I14" r:id="rId19"/>
    <hyperlink ref="F12" r:id="rId20"/>
  </hyperlinks>
  <pageMargins left="0.7" right="0.7" top="0.75" bottom="0.75" header="0.3" footer="0.3"/>
  <pageSetup paperSize="9" orientation="portrait" r:id="rId21"/>
  <drawing r:id="rId22"/>
  <legacyDrawing r:id="rId23"/>
  <controls>
    <mc:AlternateContent xmlns:mc="http://schemas.openxmlformats.org/markup-compatibility/2006">
      <mc:Choice Requires="x14">
        <control shapeId="35882" r:id="rId24" name="Keyword">
          <controlPr autoFill="0" autoLine="0" listFillRange="thesauri!$B$124:$B$5332" r:id="rId25">
            <anchor moveWithCells="1">
              <from>
                <xdr:col>7</xdr:col>
                <xdr:colOff>0</xdr:colOff>
                <xdr:row>10</xdr:row>
                <xdr:rowOff>0</xdr:rowOff>
              </from>
              <to>
                <xdr:col>7</xdr:col>
                <xdr:colOff>2124075</xdr:colOff>
                <xdr:row>10</xdr:row>
                <xdr:rowOff>1409700</xdr:rowOff>
              </to>
            </anchor>
          </controlPr>
        </control>
      </mc:Choice>
      <mc:Fallback>
        <control shapeId="35882" r:id="rId24" name="Keyword"/>
      </mc:Fallback>
    </mc:AlternateContent>
    <mc:AlternateContent xmlns:mc="http://schemas.openxmlformats.org/markup-compatibility/2006">
      <mc:Choice Requires="x14">
        <control shapeId="35891" r:id="rId26" name="Check Box 51">
          <controlPr defaultSize="0" autoFill="0" autoLine="0" autoPict="0">
            <anchor moveWithCells="1">
              <from>
                <xdr:col>6</xdr:col>
                <xdr:colOff>1438275</xdr:colOff>
                <xdr:row>23</xdr:row>
                <xdr:rowOff>47625</xdr:rowOff>
              </from>
              <to>
                <xdr:col>6</xdr:col>
                <xdr:colOff>1743075</xdr:colOff>
                <xdr:row>23</xdr:row>
                <xdr:rowOff>266700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92D050"/>
  </sheetPr>
  <dimension ref="A1:L319"/>
  <sheetViews>
    <sheetView showGridLines="0" zoomScaleNormal="100" workbookViewId="0">
      <pane xSplit="4" ySplit="2" topLeftCell="E3" activePane="bottomRight" state="frozen"/>
      <selection activeCell="B4" sqref="B4:I4"/>
      <selection pane="topRight" activeCell="B4" sqref="B4:I4"/>
      <selection pane="bottomLeft" activeCell="B4" sqref="B4:I4"/>
      <selection pane="bottomRight" activeCell="E4" sqref="E4"/>
    </sheetView>
  </sheetViews>
  <sheetFormatPr defaultColWidth="9.140625" defaultRowHeight="15" x14ac:dyDescent="0.25"/>
  <cols>
    <col min="1" max="1" width="16.7109375" style="1" hidden="1" customWidth="1"/>
    <col min="2" max="2" width="27.5703125" bestFit="1" customWidth="1"/>
    <col min="3" max="3" width="15.7109375" customWidth="1"/>
    <col min="4" max="4" width="48.7109375" customWidth="1"/>
    <col min="5" max="5" width="32.7109375" customWidth="1"/>
    <col min="6" max="6" width="32.42578125" customWidth="1"/>
    <col min="7" max="7" width="35" customWidth="1"/>
    <col min="8" max="8" width="33" customWidth="1"/>
    <col min="9" max="10" width="31.5703125" customWidth="1"/>
    <col min="11" max="11" width="31.85546875" customWidth="1"/>
    <col min="12" max="12" width="58.85546875" customWidth="1"/>
  </cols>
  <sheetData>
    <row r="1" spans="1:12" ht="20.25" customHeight="1" thickBot="1" x14ac:dyDescent="0.4">
      <c r="A1" s="1" t="s">
        <v>369</v>
      </c>
      <c r="B1" s="356" t="s">
        <v>11168</v>
      </c>
      <c r="C1" s="480" t="s">
        <v>11378</v>
      </c>
    </row>
    <row r="2" spans="1:12" s="2" customFormat="1" x14ac:dyDescent="0.25">
      <c r="A2" s="313" t="s">
        <v>20</v>
      </c>
      <c r="B2" s="369" t="s">
        <v>11173</v>
      </c>
      <c r="C2" s="370" t="s">
        <v>2</v>
      </c>
      <c r="D2" s="370" t="s">
        <v>10861</v>
      </c>
      <c r="E2" s="371" t="s">
        <v>11361</v>
      </c>
      <c r="F2" s="371" t="s">
        <v>11362</v>
      </c>
      <c r="G2" s="371" t="s">
        <v>11363</v>
      </c>
      <c r="H2" s="371" t="s">
        <v>11364</v>
      </c>
      <c r="I2" s="371" t="s">
        <v>11365</v>
      </c>
      <c r="J2" s="371" t="s">
        <v>11169</v>
      </c>
      <c r="K2" s="371" t="s">
        <v>11170</v>
      </c>
      <c r="L2" s="372" t="s">
        <v>10865</v>
      </c>
    </row>
    <row r="3" spans="1:12" s="2" customFormat="1" ht="30" x14ac:dyDescent="0.25">
      <c r="A3" s="86" t="s">
        <v>26</v>
      </c>
      <c r="B3" s="388" t="s">
        <v>25</v>
      </c>
      <c r="C3" s="104" t="s">
        <v>12</v>
      </c>
      <c r="D3" s="105" t="s">
        <v>11171</v>
      </c>
      <c r="E3" s="411" t="s">
        <v>11097</v>
      </c>
      <c r="F3" s="411" t="s">
        <v>11098</v>
      </c>
      <c r="G3" s="411" t="s">
        <v>7</v>
      </c>
      <c r="H3" s="411" t="s">
        <v>5732</v>
      </c>
      <c r="I3" s="411" t="s">
        <v>8</v>
      </c>
      <c r="J3" s="411"/>
      <c r="K3" s="411"/>
      <c r="L3" s="316" t="s">
        <v>50</v>
      </c>
    </row>
    <row r="4" spans="1:12" s="2" customFormat="1" ht="135" x14ac:dyDescent="0.25">
      <c r="A4" s="86" t="s">
        <v>5730</v>
      </c>
      <c r="B4" s="389" t="s">
        <v>21</v>
      </c>
      <c r="C4" s="106" t="s">
        <v>12</v>
      </c>
      <c r="D4" s="98" t="s">
        <v>11177</v>
      </c>
      <c r="E4" s="204"/>
      <c r="F4" s="474"/>
      <c r="G4" s="447" t="s">
        <v>11375</v>
      </c>
      <c r="H4" s="204"/>
      <c r="I4" s="204"/>
      <c r="J4" s="204"/>
      <c r="K4" s="204"/>
      <c r="L4" s="161" t="s">
        <v>49</v>
      </c>
    </row>
    <row r="5" spans="1:12" s="2" customFormat="1" ht="30" x14ac:dyDescent="0.25">
      <c r="A5" s="86" t="s">
        <v>38</v>
      </c>
      <c r="B5" s="389" t="s">
        <v>37</v>
      </c>
      <c r="C5" s="106" t="s">
        <v>12</v>
      </c>
      <c r="D5" s="98" t="s">
        <v>209</v>
      </c>
      <c r="E5" s="460"/>
      <c r="F5" s="460"/>
      <c r="G5" s="461" t="s">
        <v>11350</v>
      </c>
      <c r="H5" s="460"/>
      <c r="I5" s="460"/>
      <c r="J5" s="460"/>
      <c r="K5" s="460"/>
      <c r="L5" s="161" t="s">
        <v>52</v>
      </c>
    </row>
    <row r="6" spans="1:12" s="2" customFormat="1" ht="30" x14ac:dyDescent="0.25">
      <c r="A6" s="86" t="s">
        <v>22</v>
      </c>
      <c r="B6" s="389" t="s">
        <v>18</v>
      </c>
      <c r="C6" s="97" t="s">
        <v>10988</v>
      </c>
      <c r="D6" s="98" t="s">
        <v>11166</v>
      </c>
      <c r="E6" s="204"/>
      <c r="F6" s="204"/>
      <c r="G6" s="447"/>
      <c r="H6" s="204"/>
      <c r="I6" s="204"/>
      <c r="J6" s="204"/>
      <c r="K6" s="204"/>
      <c r="L6" s="161" t="s">
        <v>48</v>
      </c>
    </row>
    <row r="7" spans="1:12" s="2" customFormat="1" ht="30" x14ac:dyDescent="0.25">
      <c r="A7" s="86" t="s">
        <v>24</v>
      </c>
      <c r="B7" s="389" t="s">
        <v>23</v>
      </c>
      <c r="C7" s="97" t="s">
        <v>10988</v>
      </c>
      <c r="D7" s="98" t="s">
        <v>11172</v>
      </c>
      <c r="E7" s="204"/>
      <c r="F7" s="204"/>
      <c r="G7" s="447"/>
      <c r="H7" s="204"/>
      <c r="I7" s="204"/>
      <c r="J7" s="204"/>
      <c r="K7" s="204"/>
      <c r="L7" s="314"/>
    </row>
    <row r="8" spans="1:12" s="2" customFormat="1" ht="30" x14ac:dyDescent="0.25">
      <c r="A8" s="86" t="s">
        <v>28</v>
      </c>
      <c r="B8" s="389" t="s">
        <v>27</v>
      </c>
      <c r="C8" s="97" t="s">
        <v>10988</v>
      </c>
      <c r="D8" s="98" t="s">
        <v>5556</v>
      </c>
      <c r="E8" s="204"/>
      <c r="F8" s="204"/>
      <c r="G8" s="447"/>
      <c r="H8" s="204"/>
      <c r="I8" s="204"/>
      <c r="J8" s="204"/>
      <c r="K8" s="204"/>
      <c r="L8" s="161" t="s">
        <v>51</v>
      </c>
    </row>
    <row r="9" spans="1:12" s="2" customFormat="1" ht="30" x14ac:dyDescent="0.25">
      <c r="A9" s="86" t="s">
        <v>30</v>
      </c>
      <c r="B9" s="389" t="s">
        <v>29</v>
      </c>
      <c r="C9" s="97" t="s">
        <v>10988</v>
      </c>
      <c r="D9" s="98" t="s">
        <v>205</v>
      </c>
      <c r="E9" s="204"/>
      <c r="F9" s="204"/>
      <c r="G9" s="447"/>
      <c r="H9" s="204"/>
      <c r="I9" s="204"/>
      <c r="J9" s="204"/>
      <c r="K9" s="204"/>
      <c r="L9" s="314"/>
    </row>
    <row r="10" spans="1:12" s="2" customFormat="1" x14ac:dyDescent="0.25">
      <c r="A10" s="86" t="s">
        <v>34</v>
      </c>
      <c r="B10" s="389" t="s">
        <v>31</v>
      </c>
      <c r="C10" s="97" t="s">
        <v>10988</v>
      </c>
      <c r="D10" s="98" t="s">
        <v>206</v>
      </c>
      <c r="E10" s="204"/>
      <c r="F10" s="204"/>
      <c r="G10" s="447"/>
      <c r="H10" s="204"/>
      <c r="I10" s="204"/>
      <c r="J10" s="204"/>
      <c r="K10" s="204"/>
      <c r="L10" s="314"/>
    </row>
    <row r="11" spans="1:12" s="2" customFormat="1" ht="30" x14ac:dyDescent="0.25">
      <c r="A11" s="86" t="s">
        <v>35</v>
      </c>
      <c r="B11" s="389" t="s">
        <v>32</v>
      </c>
      <c r="C11" s="97" t="s">
        <v>10988</v>
      </c>
      <c r="D11" s="98" t="s">
        <v>207</v>
      </c>
      <c r="E11" s="204"/>
      <c r="F11" s="204"/>
      <c r="G11" s="447"/>
      <c r="H11" s="204"/>
      <c r="I11" s="204"/>
      <c r="J11" s="204"/>
      <c r="K11" s="204"/>
      <c r="L11" s="314"/>
    </row>
    <row r="12" spans="1:12" s="2" customFormat="1" x14ac:dyDescent="0.25">
      <c r="A12" s="86" t="s">
        <v>36</v>
      </c>
      <c r="B12" s="389" t="s">
        <v>33</v>
      </c>
      <c r="C12" s="97" t="s">
        <v>10988</v>
      </c>
      <c r="D12" s="98" t="s">
        <v>208</v>
      </c>
      <c r="E12" s="204"/>
      <c r="F12" s="204"/>
      <c r="G12" s="447"/>
      <c r="H12" s="204"/>
      <c r="I12" s="204"/>
      <c r="J12" s="204"/>
      <c r="K12" s="204"/>
      <c r="L12" s="314"/>
    </row>
    <row r="13" spans="1:12" s="2" customFormat="1" ht="30" x14ac:dyDescent="0.25">
      <c r="A13" s="86" t="s">
        <v>40</v>
      </c>
      <c r="B13" s="389" t="s">
        <v>11331</v>
      </c>
      <c r="C13" s="97" t="s">
        <v>10988</v>
      </c>
      <c r="D13" s="98" t="s">
        <v>210</v>
      </c>
      <c r="E13" s="462"/>
      <c r="F13" s="460"/>
      <c r="G13" s="461" t="s">
        <v>11376</v>
      </c>
      <c r="H13" s="460"/>
      <c r="I13" s="460"/>
      <c r="J13" s="460"/>
      <c r="K13" s="460"/>
      <c r="L13" s="314"/>
    </row>
    <row r="14" spans="1:12" s="2" customFormat="1" x14ac:dyDescent="0.25">
      <c r="A14" s="86" t="s">
        <v>44</v>
      </c>
      <c r="B14" s="389" t="s">
        <v>41</v>
      </c>
      <c r="C14" s="97" t="s">
        <v>10988</v>
      </c>
      <c r="D14" s="98" t="s">
        <v>211</v>
      </c>
      <c r="E14" s="204"/>
      <c r="F14" s="204"/>
      <c r="G14" s="447" t="s">
        <v>11396</v>
      </c>
      <c r="H14" s="204"/>
      <c r="I14" s="204"/>
      <c r="J14" s="204"/>
      <c r="K14" s="204"/>
      <c r="L14" s="314"/>
    </row>
    <row r="15" spans="1:12" s="2" customFormat="1" x14ac:dyDescent="0.25">
      <c r="A15" s="86" t="s">
        <v>45</v>
      </c>
      <c r="B15" s="389" t="s">
        <v>0</v>
      </c>
      <c r="C15" s="97" t="s">
        <v>10988</v>
      </c>
      <c r="D15" s="98" t="s">
        <v>11332</v>
      </c>
      <c r="E15" s="204"/>
      <c r="F15" s="204"/>
      <c r="G15" s="447" t="s">
        <v>11351</v>
      </c>
      <c r="H15" s="204"/>
      <c r="I15" s="204"/>
      <c r="J15" s="204"/>
      <c r="K15" s="204"/>
      <c r="L15" s="314"/>
    </row>
    <row r="16" spans="1:12" s="2" customFormat="1" x14ac:dyDescent="0.25">
      <c r="A16" s="86" t="s">
        <v>46</v>
      </c>
      <c r="B16" s="389" t="s">
        <v>42</v>
      </c>
      <c r="C16" s="97" t="s">
        <v>10988</v>
      </c>
      <c r="D16" s="98" t="s">
        <v>11333</v>
      </c>
      <c r="E16" s="204"/>
      <c r="F16" s="204"/>
      <c r="G16" s="463"/>
      <c r="H16" s="204"/>
      <c r="I16" s="204"/>
      <c r="J16" s="204"/>
      <c r="K16" s="204"/>
      <c r="L16" s="314"/>
    </row>
    <row r="17" spans="1:12" s="2" customFormat="1" ht="30.75" thickBot="1" x14ac:dyDescent="0.3">
      <c r="A17" s="86" t="s">
        <v>47</v>
      </c>
      <c r="B17" s="390" t="s">
        <v>43</v>
      </c>
      <c r="C17" s="193" t="s">
        <v>10988</v>
      </c>
      <c r="D17" s="235" t="s">
        <v>11334</v>
      </c>
      <c r="E17" s="205"/>
      <c r="F17" s="205"/>
      <c r="G17" s="448" t="s">
        <v>451</v>
      </c>
      <c r="H17" s="205"/>
      <c r="I17" s="205"/>
      <c r="J17" s="205"/>
      <c r="K17" s="205"/>
      <c r="L17" s="315"/>
    </row>
    <row r="18" spans="1:12" ht="9" customHeight="1" x14ac:dyDescent="0.25"/>
    <row r="19" spans="1:12" x14ac:dyDescent="0.25">
      <c r="B19" s="385" t="s">
        <v>11167</v>
      </c>
      <c r="D19" s="19"/>
    </row>
    <row r="20" spans="1:12" ht="30" customHeight="1" x14ac:dyDescent="0.25">
      <c r="B20" s="527" t="s">
        <v>11222</v>
      </c>
      <c r="C20" s="527"/>
      <c r="D20" s="527"/>
      <c r="E20" s="2"/>
      <c r="F20" s="2"/>
      <c r="G20" s="252"/>
    </row>
    <row r="21" spans="1:12" ht="30" customHeight="1" x14ac:dyDescent="0.25">
      <c r="B21" s="528" t="s">
        <v>11223</v>
      </c>
      <c r="C21" s="528"/>
      <c r="D21" s="528"/>
    </row>
    <row r="22" spans="1:12" ht="30" customHeight="1" x14ac:dyDescent="0.25">
      <c r="B22" s="528" t="s">
        <v>11224</v>
      </c>
      <c r="C22" s="528"/>
      <c r="D22" s="528"/>
    </row>
    <row r="23" spans="1:12" ht="30" customHeight="1" x14ac:dyDescent="0.25">
      <c r="B23" s="528" t="s">
        <v>11225</v>
      </c>
      <c r="C23" s="528"/>
      <c r="D23" s="528"/>
    </row>
    <row r="24" spans="1:12" x14ac:dyDescent="0.25">
      <c r="B24" s="528" t="s">
        <v>11226</v>
      </c>
      <c r="C24" s="528"/>
      <c r="D24" s="528"/>
      <c r="E24" s="279"/>
    </row>
    <row r="25" spans="1:12" x14ac:dyDescent="0.25">
      <c r="D25" s="19"/>
    </row>
    <row r="26" spans="1:12" x14ac:dyDescent="0.25">
      <c r="D26" s="19"/>
    </row>
    <row r="27" spans="1:12" x14ac:dyDescent="0.25">
      <c r="D27" s="19"/>
    </row>
    <row r="28" spans="1:12" x14ac:dyDescent="0.25">
      <c r="D28" s="19"/>
    </row>
    <row r="29" spans="1:12" x14ac:dyDescent="0.25">
      <c r="D29" s="19"/>
    </row>
    <row r="30" spans="1:12" x14ac:dyDescent="0.25">
      <c r="D30" s="19"/>
    </row>
    <row r="31" spans="1:12" x14ac:dyDescent="0.25">
      <c r="D31" s="19"/>
    </row>
    <row r="32" spans="1:12" x14ac:dyDescent="0.25">
      <c r="D32" s="19"/>
    </row>
    <row r="33" spans="4:4" x14ac:dyDescent="0.25">
      <c r="D33" s="19"/>
    </row>
    <row r="34" spans="4:4" x14ac:dyDescent="0.25">
      <c r="D34" s="19"/>
    </row>
    <row r="35" spans="4:4" x14ac:dyDescent="0.25">
      <c r="D35" s="19"/>
    </row>
    <row r="36" spans="4:4" x14ac:dyDescent="0.25">
      <c r="D36" s="19"/>
    </row>
    <row r="37" spans="4:4" x14ac:dyDescent="0.25">
      <c r="D37" s="19"/>
    </row>
    <row r="38" spans="4:4" x14ac:dyDescent="0.25">
      <c r="D38" s="19"/>
    </row>
    <row r="39" spans="4:4" x14ac:dyDescent="0.25">
      <c r="D39" s="19"/>
    </row>
    <row r="40" spans="4:4" x14ac:dyDescent="0.25">
      <c r="D40" s="19"/>
    </row>
    <row r="41" spans="4:4" x14ac:dyDescent="0.25">
      <c r="D41" s="19"/>
    </row>
    <row r="42" spans="4:4" x14ac:dyDescent="0.25">
      <c r="D42" s="19"/>
    </row>
    <row r="43" spans="4:4" x14ac:dyDescent="0.25">
      <c r="D43" s="19"/>
    </row>
    <row r="44" spans="4:4" x14ac:dyDescent="0.25">
      <c r="D44" s="19"/>
    </row>
    <row r="45" spans="4:4" x14ac:dyDescent="0.25">
      <c r="D45" s="19"/>
    </row>
    <row r="46" spans="4:4" x14ac:dyDescent="0.25">
      <c r="D46" s="19"/>
    </row>
    <row r="47" spans="4:4" x14ac:dyDescent="0.25">
      <c r="D47" s="19"/>
    </row>
    <row r="48" spans="4:4" x14ac:dyDescent="0.25">
      <c r="D48" s="19"/>
    </row>
    <row r="49" spans="4:4" x14ac:dyDescent="0.25">
      <c r="D49" s="19"/>
    </row>
    <row r="50" spans="4:4" x14ac:dyDescent="0.25">
      <c r="D50" s="19"/>
    </row>
    <row r="51" spans="4:4" x14ac:dyDescent="0.25">
      <c r="D51" s="19"/>
    </row>
    <row r="52" spans="4:4" x14ac:dyDescent="0.25">
      <c r="D52" s="19"/>
    </row>
    <row r="53" spans="4:4" x14ac:dyDescent="0.25">
      <c r="D53" s="19"/>
    </row>
    <row r="54" spans="4:4" x14ac:dyDescent="0.25">
      <c r="D54" s="19"/>
    </row>
    <row r="55" spans="4:4" x14ac:dyDescent="0.25">
      <c r="D55" s="19"/>
    </row>
    <row r="56" spans="4:4" x14ac:dyDescent="0.25">
      <c r="D56" s="19"/>
    </row>
    <row r="57" spans="4:4" x14ac:dyDescent="0.25">
      <c r="D57" s="19"/>
    </row>
    <row r="58" spans="4:4" x14ac:dyDescent="0.25">
      <c r="D58" s="19"/>
    </row>
    <row r="59" spans="4:4" x14ac:dyDescent="0.25">
      <c r="D59" s="19"/>
    </row>
    <row r="60" spans="4:4" x14ac:dyDescent="0.25">
      <c r="D60" s="19"/>
    </row>
    <row r="61" spans="4:4" x14ac:dyDescent="0.25">
      <c r="D61" s="19"/>
    </row>
    <row r="62" spans="4:4" x14ac:dyDescent="0.25">
      <c r="D62" s="19"/>
    </row>
    <row r="63" spans="4:4" x14ac:dyDescent="0.25">
      <c r="D63" s="19"/>
    </row>
    <row r="64" spans="4:4" x14ac:dyDescent="0.25">
      <c r="D64" s="19"/>
    </row>
    <row r="65" spans="4:4" x14ac:dyDescent="0.25">
      <c r="D65" s="19"/>
    </row>
    <row r="66" spans="4:4" x14ac:dyDescent="0.25">
      <c r="D66" s="19"/>
    </row>
    <row r="67" spans="4:4" x14ac:dyDescent="0.25">
      <c r="D67" s="19"/>
    </row>
    <row r="68" spans="4:4" x14ac:dyDescent="0.25">
      <c r="D68" s="19"/>
    </row>
    <row r="69" spans="4:4" x14ac:dyDescent="0.25">
      <c r="D69" s="19"/>
    </row>
    <row r="70" spans="4:4" x14ac:dyDescent="0.25">
      <c r="D70" s="19"/>
    </row>
    <row r="71" spans="4:4" x14ac:dyDescent="0.25">
      <c r="D71" s="19"/>
    </row>
    <row r="72" spans="4:4" x14ac:dyDescent="0.25">
      <c r="D72" s="19"/>
    </row>
    <row r="73" spans="4:4" x14ac:dyDescent="0.25">
      <c r="D73" s="19"/>
    </row>
    <row r="74" spans="4:4" x14ac:dyDescent="0.25">
      <c r="D74" s="19"/>
    </row>
    <row r="75" spans="4:4" x14ac:dyDescent="0.25">
      <c r="D75" s="19"/>
    </row>
    <row r="76" spans="4:4" x14ac:dyDescent="0.25">
      <c r="D76" s="19"/>
    </row>
    <row r="77" spans="4:4" x14ac:dyDescent="0.25">
      <c r="D77" s="19"/>
    </row>
    <row r="78" spans="4:4" x14ac:dyDescent="0.25">
      <c r="D78" s="19"/>
    </row>
    <row r="79" spans="4:4" x14ac:dyDescent="0.25">
      <c r="D79" s="19"/>
    </row>
    <row r="80" spans="4:4" x14ac:dyDescent="0.25">
      <c r="D80" s="19"/>
    </row>
    <row r="81" spans="4:4" x14ac:dyDescent="0.25">
      <c r="D81" s="19"/>
    </row>
    <row r="82" spans="4:4" x14ac:dyDescent="0.25">
      <c r="D82" s="19"/>
    </row>
    <row r="83" spans="4:4" x14ac:dyDescent="0.25">
      <c r="D83" s="19"/>
    </row>
    <row r="84" spans="4:4" x14ac:dyDescent="0.25">
      <c r="D84" s="19"/>
    </row>
    <row r="85" spans="4:4" x14ac:dyDescent="0.25">
      <c r="D85" s="19"/>
    </row>
    <row r="86" spans="4:4" x14ac:dyDescent="0.25">
      <c r="D86" s="19"/>
    </row>
    <row r="87" spans="4:4" x14ac:dyDescent="0.25">
      <c r="D87" s="19"/>
    </row>
    <row r="88" spans="4:4" x14ac:dyDescent="0.25">
      <c r="D88" s="19"/>
    </row>
    <row r="89" spans="4:4" x14ac:dyDescent="0.25">
      <c r="D89" s="19"/>
    </row>
    <row r="90" spans="4:4" x14ac:dyDescent="0.25">
      <c r="D90" s="19"/>
    </row>
    <row r="91" spans="4:4" x14ac:dyDescent="0.25">
      <c r="D91" s="19"/>
    </row>
    <row r="92" spans="4:4" x14ac:dyDescent="0.25">
      <c r="D92" s="19"/>
    </row>
    <row r="93" spans="4:4" x14ac:dyDescent="0.25">
      <c r="D93" s="19"/>
    </row>
    <row r="94" spans="4:4" x14ac:dyDescent="0.25">
      <c r="D94" s="19"/>
    </row>
    <row r="95" spans="4:4" x14ac:dyDescent="0.25">
      <c r="D95" s="19"/>
    </row>
    <row r="96" spans="4:4" x14ac:dyDescent="0.25">
      <c r="D96" s="19"/>
    </row>
    <row r="97" spans="4:4" x14ac:dyDescent="0.25">
      <c r="D97" s="19"/>
    </row>
    <row r="98" spans="4:4" x14ac:dyDescent="0.25">
      <c r="D98" s="19"/>
    </row>
    <row r="99" spans="4:4" x14ac:dyDescent="0.25">
      <c r="D99" s="19"/>
    </row>
    <row r="100" spans="4:4" x14ac:dyDescent="0.25">
      <c r="D100" s="19"/>
    </row>
    <row r="101" spans="4:4" x14ac:dyDescent="0.25">
      <c r="D101" s="19"/>
    </row>
    <row r="102" spans="4:4" x14ac:dyDescent="0.25">
      <c r="D102" s="19"/>
    </row>
    <row r="103" spans="4:4" x14ac:dyDescent="0.25">
      <c r="D103" s="19"/>
    </row>
    <row r="104" spans="4:4" x14ac:dyDescent="0.25">
      <c r="D104" s="19"/>
    </row>
    <row r="105" spans="4:4" x14ac:dyDescent="0.25">
      <c r="D105" s="19"/>
    </row>
    <row r="106" spans="4:4" x14ac:dyDescent="0.25">
      <c r="D106" s="19"/>
    </row>
    <row r="107" spans="4:4" x14ac:dyDescent="0.25">
      <c r="D107" s="19"/>
    </row>
    <row r="108" spans="4:4" x14ac:dyDescent="0.25">
      <c r="D108" s="19"/>
    </row>
    <row r="109" spans="4:4" x14ac:dyDescent="0.25">
      <c r="D109" s="19"/>
    </row>
    <row r="110" spans="4:4" x14ac:dyDescent="0.25">
      <c r="D110" s="19"/>
    </row>
    <row r="111" spans="4:4" x14ac:dyDescent="0.25">
      <c r="D111" s="19"/>
    </row>
    <row r="112" spans="4:4" x14ac:dyDescent="0.25">
      <c r="D112" s="19"/>
    </row>
    <row r="113" spans="4:4" x14ac:dyDescent="0.25">
      <c r="D113" s="19"/>
    </row>
    <row r="114" spans="4:4" x14ac:dyDescent="0.25">
      <c r="D114" s="19"/>
    </row>
    <row r="115" spans="4:4" x14ac:dyDescent="0.25">
      <c r="D115" s="19"/>
    </row>
    <row r="116" spans="4:4" x14ac:dyDescent="0.25">
      <c r="D116" s="19"/>
    </row>
    <row r="117" spans="4:4" x14ac:dyDescent="0.25">
      <c r="D117" s="19"/>
    </row>
    <row r="118" spans="4:4" x14ac:dyDescent="0.25">
      <c r="D118" s="19"/>
    </row>
    <row r="119" spans="4:4" x14ac:dyDescent="0.25">
      <c r="D119" s="19"/>
    </row>
    <row r="120" spans="4:4" x14ac:dyDescent="0.25">
      <c r="D120" s="19"/>
    </row>
    <row r="121" spans="4:4" x14ac:dyDescent="0.25">
      <c r="D121" s="19"/>
    </row>
    <row r="122" spans="4:4" x14ac:dyDescent="0.25">
      <c r="D122" s="19"/>
    </row>
    <row r="123" spans="4:4" x14ac:dyDescent="0.25">
      <c r="D123" s="19"/>
    </row>
    <row r="124" spans="4:4" x14ac:dyDescent="0.25">
      <c r="D124" s="19"/>
    </row>
    <row r="125" spans="4:4" x14ac:dyDescent="0.25">
      <c r="D125" s="19"/>
    </row>
    <row r="126" spans="4:4" x14ac:dyDescent="0.25">
      <c r="D126" s="19"/>
    </row>
    <row r="127" spans="4:4" x14ac:dyDescent="0.25">
      <c r="D127" s="19"/>
    </row>
    <row r="128" spans="4:4" x14ac:dyDescent="0.25">
      <c r="D128" s="19"/>
    </row>
    <row r="129" spans="4:4" x14ac:dyDescent="0.25">
      <c r="D129" s="19"/>
    </row>
    <row r="130" spans="4:4" x14ac:dyDescent="0.25">
      <c r="D130" s="19"/>
    </row>
    <row r="131" spans="4:4" x14ac:dyDescent="0.25">
      <c r="D131" s="19"/>
    </row>
    <row r="132" spans="4:4" x14ac:dyDescent="0.25">
      <c r="D132" s="19"/>
    </row>
    <row r="133" spans="4:4" x14ac:dyDescent="0.25">
      <c r="D133" s="19"/>
    </row>
    <row r="134" spans="4:4" x14ac:dyDescent="0.25">
      <c r="D134" s="19"/>
    </row>
    <row r="135" spans="4:4" x14ac:dyDescent="0.25">
      <c r="D135" s="19"/>
    </row>
    <row r="136" spans="4:4" x14ac:dyDescent="0.25">
      <c r="D136" s="19"/>
    </row>
    <row r="137" spans="4:4" x14ac:dyDescent="0.25">
      <c r="D137" s="19"/>
    </row>
    <row r="138" spans="4:4" x14ac:dyDescent="0.25">
      <c r="D138" s="19"/>
    </row>
    <row r="139" spans="4:4" x14ac:dyDescent="0.25">
      <c r="D139" s="19"/>
    </row>
    <row r="140" spans="4:4" x14ac:dyDescent="0.25">
      <c r="D140" s="19"/>
    </row>
    <row r="141" spans="4:4" x14ac:dyDescent="0.25">
      <c r="D141" s="19"/>
    </row>
    <row r="142" spans="4:4" x14ac:dyDescent="0.25">
      <c r="D142" s="19"/>
    </row>
    <row r="143" spans="4:4" x14ac:dyDescent="0.25">
      <c r="D143" s="19"/>
    </row>
    <row r="144" spans="4:4" x14ac:dyDescent="0.25">
      <c r="D144" s="19"/>
    </row>
    <row r="145" spans="4:4" x14ac:dyDescent="0.25">
      <c r="D145" s="19"/>
    </row>
    <row r="146" spans="4:4" x14ac:dyDescent="0.25">
      <c r="D146" s="19"/>
    </row>
    <row r="147" spans="4:4" x14ac:dyDescent="0.25">
      <c r="D147" s="19"/>
    </row>
    <row r="148" spans="4:4" x14ac:dyDescent="0.25">
      <c r="D148" s="19"/>
    </row>
    <row r="149" spans="4:4" x14ac:dyDescent="0.25">
      <c r="D149" s="19"/>
    </row>
    <row r="150" spans="4:4" x14ac:dyDescent="0.25">
      <c r="D150" s="19"/>
    </row>
    <row r="151" spans="4:4" x14ac:dyDescent="0.25">
      <c r="D151" s="19"/>
    </row>
    <row r="152" spans="4:4" x14ac:dyDescent="0.25">
      <c r="D152" s="19"/>
    </row>
    <row r="153" spans="4:4" x14ac:dyDescent="0.25">
      <c r="D153" s="19"/>
    </row>
    <row r="154" spans="4:4" x14ac:dyDescent="0.25">
      <c r="D154" s="19"/>
    </row>
    <row r="155" spans="4:4" x14ac:dyDescent="0.25">
      <c r="D155" s="19"/>
    </row>
    <row r="156" spans="4:4" x14ac:dyDescent="0.25">
      <c r="D156" s="19"/>
    </row>
    <row r="157" spans="4:4" x14ac:dyDescent="0.25">
      <c r="D157" s="19"/>
    </row>
    <row r="158" spans="4:4" x14ac:dyDescent="0.25">
      <c r="D158" s="19"/>
    </row>
    <row r="159" spans="4:4" x14ac:dyDescent="0.25">
      <c r="D159" s="19"/>
    </row>
    <row r="160" spans="4:4" x14ac:dyDescent="0.25">
      <c r="D160" s="19"/>
    </row>
    <row r="161" spans="4:4" x14ac:dyDescent="0.25">
      <c r="D161" s="19"/>
    </row>
    <row r="162" spans="4:4" x14ac:dyDescent="0.25">
      <c r="D162" s="19"/>
    </row>
    <row r="163" spans="4:4" x14ac:dyDescent="0.25">
      <c r="D163" s="19"/>
    </row>
    <row r="164" spans="4:4" x14ac:dyDescent="0.25">
      <c r="D164" s="19"/>
    </row>
    <row r="165" spans="4:4" x14ac:dyDescent="0.25">
      <c r="D165" s="19"/>
    </row>
    <row r="166" spans="4:4" x14ac:dyDescent="0.25">
      <c r="D166" s="19"/>
    </row>
    <row r="167" spans="4:4" x14ac:dyDescent="0.25">
      <c r="D167" s="19"/>
    </row>
    <row r="168" spans="4:4" x14ac:dyDescent="0.25">
      <c r="D168" s="19"/>
    </row>
    <row r="169" spans="4:4" x14ac:dyDescent="0.25">
      <c r="D169" s="19"/>
    </row>
    <row r="170" spans="4:4" x14ac:dyDescent="0.25">
      <c r="D170" s="19"/>
    </row>
    <row r="171" spans="4:4" x14ac:dyDescent="0.25">
      <c r="D171" s="19"/>
    </row>
    <row r="172" spans="4:4" x14ac:dyDescent="0.25">
      <c r="D172" s="19"/>
    </row>
    <row r="173" spans="4:4" x14ac:dyDescent="0.25">
      <c r="D173" s="19"/>
    </row>
    <row r="174" spans="4:4" x14ac:dyDescent="0.25">
      <c r="D174" s="19"/>
    </row>
    <row r="175" spans="4:4" x14ac:dyDescent="0.25">
      <c r="D175" s="19"/>
    </row>
    <row r="176" spans="4:4" x14ac:dyDescent="0.25">
      <c r="D176" s="19"/>
    </row>
    <row r="177" spans="4:4" x14ac:dyDescent="0.25">
      <c r="D177" s="19"/>
    </row>
    <row r="178" spans="4:4" x14ac:dyDescent="0.25">
      <c r="D178" s="19"/>
    </row>
    <row r="179" spans="4:4" x14ac:dyDescent="0.25">
      <c r="D179" s="19"/>
    </row>
    <row r="180" spans="4:4" x14ac:dyDescent="0.25">
      <c r="D180" s="19"/>
    </row>
    <row r="181" spans="4:4" x14ac:dyDescent="0.25">
      <c r="D181" s="19"/>
    </row>
    <row r="182" spans="4:4" x14ac:dyDescent="0.25">
      <c r="D182" s="19"/>
    </row>
    <row r="183" spans="4:4" x14ac:dyDescent="0.25">
      <c r="D183" s="19"/>
    </row>
    <row r="184" spans="4:4" x14ac:dyDescent="0.25">
      <c r="D184" s="19"/>
    </row>
    <row r="185" spans="4:4" x14ac:dyDescent="0.25">
      <c r="D185" s="19"/>
    </row>
    <row r="186" spans="4:4" x14ac:dyDescent="0.25">
      <c r="D186" s="19"/>
    </row>
    <row r="187" spans="4:4" x14ac:dyDescent="0.25">
      <c r="D187" s="19"/>
    </row>
    <row r="188" spans="4:4" x14ac:dyDescent="0.25">
      <c r="D188" s="19"/>
    </row>
    <row r="189" spans="4:4" x14ac:dyDescent="0.25">
      <c r="D189" s="19"/>
    </row>
    <row r="190" spans="4:4" x14ac:dyDescent="0.25">
      <c r="D190" s="19"/>
    </row>
    <row r="191" spans="4:4" x14ac:dyDescent="0.25">
      <c r="D191" s="19"/>
    </row>
    <row r="192" spans="4:4" x14ac:dyDescent="0.25">
      <c r="D192" s="19"/>
    </row>
    <row r="193" spans="4:4" x14ac:dyDescent="0.25">
      <c r="D193" s="19"/>
    </row>
    <row r="194" spans="4:4" x14ac:dyDescent="0.25">
      <c r="D194" s="19"/>
    </row>
    <row r="195" spans="4:4" x14ac:dyDescent="0.25">
      <c r="D195" s="19"/>
    </row>
    <row r="196" spans="4:4" x14ac:dyDescent="0.25">
      <c r="D196" s="19"/>
    </row>
    <row r="197" spans="4:4" x14ac:dyDescent="0.25">
      <c r="D197" s="19"/>
    </row>
    <row r="198" spans="4:4" x14ac:dyDescent="0.25">
      <c r="D198" s="19"/>
    </row>
    <row r="199" spans="4:4" x14ac:dyDescent="0.25">
      <c r="D199" s="19"/>
    </row>
    <row r="200" spans="4:4" x14ac:dyDescent="0.25">
      <c r="D200" s="19"/>
    </row>
    <row r="201" spans="4:4" x14ac:dyDescent="0.25">
      <c r="D201" s="19"/>
    </row>
    <row r="202" spans="4:4" x14ac:dyDescent="0.25">
      <c r="D202" s="19"/>
    </row>
    <row r="203" spans="4:4" x14ac:dyDescent="0.25">
      <c r="D203" s="19"/>
    </row>
    <row r="204" spans="4:4" x14ac:dyDescent="0.25">
      <c r="D204" s="19"/>
    </row>
    <row r="205" spans="4:4" x14ac:dyDescent="0.25">
      <c r="D205" s="19"/>
    </row>
    <row r="206" spans="4:4" x14ac:dyDescent="0.25">
      <c r="D206" s="19"/>
    </row>
    <row r="207" spans="4:4" x14ac:dyDescent="0.25">
      <c r="D207" s="19"/>
    </row>
    <row r="208" spans="4:4" x14ac:dyDescent="0.25">
      <c r="D208" s="19"/>
    </row>
    <row r="209" spans="4:4" x14ac:dyDescent="0.25">
      <c r="D209" s="19"/>
    </row>
    <row r="210" spans="4:4" x14ac:dyDescent="0.25">
      <c r="D210" s="19"/>
    </row>
    <row r="211" spans="4:4" x14ac:dyDescent="0.25">
      <c r="D211" s="19"/>
    </row>
    <row r="212" spans="4:4" x14ac:dyDescent="0.25">
      <c r="D212" s="19"/>
    </row>
    <row r="213" spans="4:4" x14ac:dyDescent="0.25">
      <c r="D213" s="19"/>
    </row>
    <row r="214" spans="4:4" x14ac:dyDescent="0.25">
      <c r="D214" s="19"/>
    </row>
    <row r="215" spans="4:4" x14ac:dyDescent="0.25">
      <c r="D215" s="19"/>
    </row>
    <row r="216" spans="4:4" x14ac:dyDescent="0.25">
      <c r="D216" s="19"/>
    </row>
    <row r="217" spans="4:4" x14ac:dyDescent="0.25">
      <c r="D217" s="19"/>
    </row>
    <row r="218" spans="4:4" x14ac:dyDescent="0.25">
      <c r="D218" s="19"/>
    </row>
    <row r="219" spans="4:4" x14ac:dyDescent="0.25">
      <c r="D219" s="19"/>
    </row>
    <row r="220" spans="4:4" x14ac:dyDescent="0.25">
      <c r="D220" s="19"/>
    </row>
    <row r="221" spans="4:4" x14ac:dyDescent="0.25">
      <c r="D221" s="19"/>
    </row>
    <row r="222" spans="4:4" x14ac:dyDescent="0.25">
      <c r="D222" s="19"/>
    </row>
    <row r="223" spans="4:4" x14ac:dyDescent="0.25">
      <c r="D223" s="19"/>
    </row>
    <row r="224" spans="4:4" x14ac:dyDescent="0.25">
      <c r="D224" s="19"/>
    </row>
    <row r="225" spans="4:4" x14ac:dyDescent="0.25">
      <c r="D225" s="19"/>
    </row>
    <row r="226" spans="4:4" x14ac:dyDescent="0.25">
      <c r="D226" s="19"/>
    </row>
    <row r="227" spans="4:4" x14ac:dyDescent="0.25">
      <c r="D227" s="19"/>
    </row>
    <row r="228" spans="4:4" x14ac:dyDescent="0.25">
      <c r="D228" s="19"/>
    </row>
    <row r="229" spans="4:4" x14ac:dyDescent="0.25">
      <c r="D229" s="19"/>
    </row>
    <row r="230" spans="4:4" x14ac:dyDescent="0.25">
      <c r="D230" s="19"/>
    </row>
    <row r="231" spans="4:4" x14ac:dyDescent="0.25">
      <c r="D231" s="19"/>
    </row>
    <row r="232" spans="4:4" x14ac:dyDescent="0.25">
      <c r="D232" s="19"/>
    </row>
    <row r="233" spans="4:4" x14ac:dyDescent="0.25">
      <c r="D233" s="19"/>
    </row>
    <row r="234" spans="4:4" x14ac:dyDescent="0.25">
      <c r="D234" s="19"/>
    </row>
    <row r="235" spans="4:4" x14ac:dyDescent="0.25">
      <c r="D235" s="19"/>
    </row>
    <row r="236" spans="4:4" x14ac:dyDescent="0.25">
      <c r="D236" s="19"/>
    </row>
    <row r="237" spans="4:4" x14ac:dyDescent="0.25">
      <c r="D237" s="19"/>
    </row>
    <row r="238" spans="4:4" x14ac:dyDescent="0.25">
      <c r="D238" s="19"/>
    </row>
    <row r="239" spans="4:4" x14ac:dyDescent="0.25">
      <c r="D239" s="19"/>
    </row>
    <row r="240" spans="4:4" x14ac:dyDescent="0.25">
      <c r="D240" s="19"/>
    </row>
    <row r="241" spans="4:4" x14ac:dyDescent="0.25">
      <c r="D241" s="19"/>
    </row>
    <row r="242" spans="4:4" x14ac:dyDescent="0.25">
      <c r="D242" s="19"/>
    </row>
    <row r="243" spans="4:4" x14ac:dyDescent="0.25">
      <c r="D243" s="19"/>
    </row>
    <row r="244" spans="4:4" x14ac:dyDescent="0.25">
      <c r="D244" s="19"/>
    </row>
    <row r="245" spans="4:4" x14ac:dyDescent="0.25">
      <c r="D245" s="19"/>
    </row>
    <row r="246" spans="4:4" x14ac:dyDescent="0.25">
      <c r="D246" s="19"/>
    </row>
    <row r="247" spans="4:4" x14ac:dyDescent="0.25">
      <c r="D247" s="19"/>
    </row>
    <row r="248" spans="4:4" x14ac:dyDescent="0.25">
      <c r="D248" s="19"/>
    </row>
    <row r="249" spans="4:4" x14ac:dyDescent="0.25">
      <c r="D249" s="19"/>
    </row>
    <row r="250" spans="4:4" x14ac:dyDescent="0.25">
      <c r="D250" s="19"/>
    </row>
    <row r="251" spans="4:4" x14ac:dyDescent="0.25">
      <c r="D251" s="19"/>
    </row>
    <row r="252" spans="4:4" x14ac:dyDescent="0.25">
      <c r="D252" s="19"/>
    </row>
    <row r="253" spans="4:4" x14ac:dyDescent="0.25">
      <c r="D253" s="19"/>
    </row>
    <row r="254" spans="4:4" x14ac:dyDescent="0.25">
      <c r="D254" s="19"/>
    </row>
    <row r="255" spans="4:4" x14ac:dyDescent="0.25">
      <c r="D255" s="19"/>
    </row>
    <row r="256" spans="4:4" x14ac:dyDescent="0.25">
      <c r="D256" s="19"/>
    </row>
    <row r="257" spans="4:4" x14ac:dyDescent="0.25">
      <c r="D257" s="19"/>
    </row>
    <row r="258" spans="4:4" x14ac:dyDescent="0.25">
      <c r="D258" s="19"/>
    </row>
    <row r="259" spans="4:4" x14ac:dyDescent="0.25">
      <c r="D259" s="19"/>
    </row>
    <row r="260" spans="4:4" x14ac:dyDescent="0.25">
      <c r="D260" s="19"/>
    </row>
    <row r="261" spans="4:4" x14ac:dyDescent="0.25">
      <c r="D261" s="19"/>
    </row>
    <row r="262" spans="4:4" x14ac:dyDescent="0.25">
      <c r="D262" s="19"/>
    </row>
    <row r="263" spans="4:4" x14ac:dyDescent="0.25">
      <c r="D263" s="19"/>
    </row>
    <row r="264" spans="4:4" x14ac:dyDescent="0.25">
      <c r="D264" s="19"/>
    </row>
    <row r="265" spans="4:4" x14ac:dyDescent="0.25">
      <c r="D265" s="19"/>
    </row>
    <row r="266" spans="4:4" x14ac:dyDescent="0.25">
      <c r="D266" s="19"/>
    </row>
    <row r="267" spans="4:4" x14ac:dyDescent="0.25">
      <c r="D267" s="19"/>
    </row>
    <row r="268" spans="4:4" x14ac:dyDescent="0.25">
      <c r="D268" s="19"/>
    </row>
    <row r="269" spans="4:4" x14ac:dyDescent="0.25">
      <c r="D269" s="19"/>
    </row>
    <row r="270" spans="4:4" x14ac:dyDescent="0.25">
      <c r="D270" s="19"/>
    </row>
    <row r="271" spans="4:4" x14ac:dyDescent="0.25">
      <c r="D271" s="19"/>
    </row>
    <row r="272" spans="4:4" x14ac:dyDescent="0.25">
      <c r="D272" s="19"/>
    </row>
    <row r="273" spans="4:4" x14ac:dyDescent="0.25">
      <c r="D273" s="19"/>
    </row>
    <row r="274" spans="4:4" x14ac:dyDescent="0.25">
      <c r="D274" s="19"/>
    </row>
    <row r="275" spans="4:4" x14ac:dyDescent="0.25">
      <c r="D275" s="19"/>
    </row>
    <row r="276" spans="4:4" x14ac:dyDescent="0.25">
      <c r="D276" s="19"/>
    </row>
    <row r="277" spans="4:4" x14ac:dyDescent="0.25">
      <c r="D277" s="19"/>
    </row>
    <row r="278" spans="4:4" x14ac:dyDescent="0.25">
      <c r="D278" s="19"/>
    </row>
    <row r="279" spans="4:4" x14ac:dyDescent="0.25">
      <c r="D279" s="19"/>
    </row>
    <row r="280" spans="4:4" x14ac:dyDescent="0.25">
      <c r="D280" s="19"/>
    </row>
    <row r="281" spans="4:4" x14ac:dyDescent="0.25">
      <c r="D281" s="19"/>
    </row>
    <row r="282" spans="4:4" x14ac:dyDescent="0.25">
      <c r="D282" s="19"/>
    </row>
    <row r="283" spans="4:4" x14ac:dyDescent="0.25">
      <c r="D283" s="19"/>
    </row>
    <row r="284" spans="4:4" x14ac:dyDescent="0.25">
      <c r="D284" s="19"/>
    </row>
    <row r="285" spans="4:4" x14ac:dyDescent="0.25">
      <c r="D285" s="19"/>
    </row>
    <row r="286" spans="4:4" x14ac:dyDescent="0.25">
      <c r="D286" s="19"/>
    </row>
    <row r="287" spans="4:4" x14ac:dyDescent="0.25">
      <c r="D287" s="19"/>
    </row>
    <row r="288" spans="4:4" x14ac:dyDescent="0.25">
      <c r="D288" s="19"/>
    </row>
    <row r="289" spans="4:4" x14ac:dyDescent="0.25">
      <c r="D289" s="19"/>
    </row>
    <row r="290" spans="4:4" x14ac:dyDescent="0.25">
      <c r="D290" s="19"/>
    </row>
    <row r="291" spans="4:4" x14ac:dyDescent="0.25">
      <c r="D291" s="19"/>
    </row>
    <row r="292" spans="4:4" x14ac:dyDescent="0.25">
      <c r="D292" s="19"/>
    </row>
    <row r="293" spans="4:4" x14ac:dyDescent="0.25">
      <c r="D293" s="19"/>
    </row>
    <row r="294" spans="4:4" x14ac:dyDescent="0.25">
      <c r="D294" s="19"/>
    </row>
    <row r="295" spans="4:4" x14ac:dyDescent="0.25">
      <c r="D295" s="19"/>
    </row>
    <row r="296" spans="4:4" x14ac:dyDescent="0.25">
      <c r="D296" s="19"/>
    </row>
    <row r="297" spans="4:4" x14ac:dyDescent="0.25">
      <c r="D297" s="19"/>
    </row>
    <row r="298" spans="4:4" x14ac:dyDescent="0.25">
      <c r="D298" s="19"/>
    </row>
    <row r="299" spans="4:4" x14ac:dyDescent="0.25">
      <c r="D299" s="19"/>
    </row>
    <row r="300" spans="4:4" x14ac:dyDescent="0.25">
      <c r="D300" s="19"/>
    </row>
    <row r="301" spans="4:4" x14ac:dyDescent="0.25">
      <c r="D301" s="19"/>
    </row>
    <row r="302" spans="4:4" x14ac:dyDescent="0.25">
      <c r="D302" s="19"/>
    </row>
    <row r="303" spans="4:4" x14ac:dyDescent="0.25">
      <c r="D303" s="19"/>
    </row>
    <row r="304" spans="4:4" x14ac:dyDescent="0.25">
      <c r="D304" s="19"/>
    </row>
    <row r="305" spans="4:4" x14ac:dyDescent="0.25">
      <c r="D305" s="19"/>
    </row>
    <row r="306" spans="4:4" x14ac:dyDescent="0.25">
      <c r="D306" s="19"/>
    </row>
    <row r="307" spans="4:4" x14ac:dyDescent="0.25">
      <c r="D307" s="19"/>
    </row>
    <row r="308" spans="4:4" x14ac:dyDescent="0.25">
      <c r="D308" s="19"/>
    </row>
    <row r="309" spans="4:4" x14ac:dyDescent="0.25">
      <c r="D309" s="19"/>
    </row>
    <row r="310" spans="4:4" x14ac:dyDescent="0.25">
      <c r="D310" s="19"/>
    </row>
    <row r="311" spans="4:4" x14ac:dyDescent="0.25">
      <c r="D311" s="19"/>
    </row>
    <row r="312" spans="4:4" x14ac:dyDescent="0.25">
      <c r="D312" s="19"/>
    </row>
    <row r="313" spans="4:4" x14ac:dyDescent="0.25">
      <c r="D313" s="19"/>
    </row>
    <row r="314" spans="4:4" x14ac:dyDescent="0.25">
      <c r="D314" s="19"/>
    </row>
    <row r="315" spans="4:4" x14ac:dyDescent="0.25">
      <c r="D315" s="19"/>
    </row>
    <row r="316" spans="4:4" x14ac:dyDescent="0.25">
      <c r="D316" s="19"/>
    </row>
    <row r="317" spans="4:4" x14ac:dyDescent="0.25">
      <c r="D317" s="19"/>
    </row>
    <row r="318" spans="4:4" x14ac:dyDescent="0.25">
      <c r="D318" s="19"/>
    </row>
    <row r="319" spans="4:4" x14ac:dyDescent="0.25">
      <c r="D319" s="19"/>
    </row>
  </sheetData>
  <sheetProtection password="D10F" sheet="1" objects="1" scenarios="1" selectLockedCells="1"/>
  <mergeCells count="5">
    <mergeCell ref="B20:D20"/>
    <mergeCell ref="B21:D21"/>
    <mergeCell ref="B22:D22"/>
    <mergeCell ref="B23:D23"/>
    <mergeCell ref="B24:D24"/>
  </mergeCells>
  <dataValidations count="3">
    <dataValidation type="list" allowBlank="1" showInputMessage="1" showErrorMessage="1" sqref="E17:K17">
      <formula1>Fonction_ressource_en_ligne</formula1>
    </dataValidation>
    <dataValidation type="list" allowBlank="1" showInputMessage="1" showErrorMessage="1" sqref="K14">
      <formula1>Protocol_distri</formula1>
    </dataValidation>
    <dataValidation type="list" allowBlank="1" showInputMessage="1" showErrorMessage="1" sqref="E14:J14 K16">
      <formula1>protocoles_contacts</formula1>
    </dataValidation>
  </dataValidations>
  <hyperlinks>
    <hyperlink ref="L8" r:id="rId1"/>
    <hyperlink ref="L3" r:id="rId2"/>
    <hyperlink ref="L4" r:id="rId3"/>
    <hyperlink ref="L6" r:id="rId4"/>
    <hyperlink ref="G13" r:id="rId5"/>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5147" r:id="rId9" name="Role">
          <controlPr autoFill="0" autoLine="0" listFillRange="Listes!$A$2:$A$13" r:id="rId10">
            <anchor moveWithCells="1">
              <from>
                <xdr:col>6</xdr:col>
                <xdr:colOff>0</xdr:colOff>
                <xdr:row>3</xdr:row>
                <xdr:rowOff>0</xdr:rowOff>
              </from>
              <to>
                <xdr:col>6</xdr:col>
                <xdr:colOff>2124075</xdr:colOff>
                <xdr:row>3</xdr:row>
                <xdr:rowOff>1409700</xdr:rowOff>
              </to>
            </anchor>
          </controlPr>
        </control>
      </mc:Choice>
      <mc:Fallback>
        <control shapeId="5147" r:id="rId9" name="Ro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tabColor rgb="FF92D050"/>
  </sheetPr>
  <dimension ref="A1:I45"/>
  <sheetViews>
    <sheetView showGridLines="0" topLeftCell="B1" zoomScaleNormal="100" workbookViewId="0">
      <selection activeCell="E3" sqref="E3"/>
    </sheetView>
  </sheetViews>
  <sheetFormatPr defaultColWidth="9.140625" defaultRowHeight="15" x14ac:dyDescent="0.25"/>
  <cols>
    <col min="1" max="1" width="15.7109375" hidden="1" customWidth="1"/>
    <col min="2" max="2" width="6.85546875" customWidth="1"/>
    <col min="3" max="3" width="32.5703125" customWidth="1"/>
    <col min="4" max="4" width="20.42578125" customWidth="1"/>
    <col min="5" max="6" width="49.7109375" customWidth="1"/>
    <col min="7" max="7" width="32.42578125" customWidth="1"/>
    <col min="8" max="8" width="45.85546875" customWidth="1"/>
    <col min="9" max="9" width="30.140625" customWidth="1"/>
  </cols>
  <sheetData>
    <row r="1" spans="1:8" ht="21.75" thickBot="1" x14ac:dyDescent="0.4">
      <c r="B1" s="356" t="s">
        <v>11335</v>
      </c>
      <c r="D1" s="126" t="s">
        <v>11242</v>
      </c>
    </row>
    <row r="2" spans="1:8" x14ac:dyDescent="0.25">
      <c r="C2" s="533" t="s">
        <v>11220</v>
      </c>
      <c r="D2" s="534"/>
      <c r="E2" s="365" t="s">
        <v>11221</v>
      </c>
      <c r="F2" s="363" t="s">
        <v>10861</v>
      </c>
      <c r="G2" s="365" t="s">
        <v>1</v>
      </c>
      <c r="H2" s="375" t="s">
        <v>10865</v>
      </c>
    </row>
    <row r="3" spans="1:8" ht="30" x14ac:dyDescent="0.25">
      <c r="C3" s="537" t="s">
        <v>11230</v>
      </c>
      <c r="D3" s="538"/>
      <c r="E3" s="412"/>
      <c r="F3" s="353" t="s">
        <v>11239</v>
      </c>
      <c r="G3" s="466" t="s">
        <v>11236</v>
      </c>
      <c r="H3" s="345" t="s">
        <v>98</v>
      </c>
    </row>
    <row r="4" spans="1:8" ht="30" x14ac:dyDescent="0.25">
      <c r="C4" s="539" t="s">
        <v>11229</v>
      </c>
      <c r="D4" s="540"/>
      <c r="E4" s="413"/>
      <c r="F4" s="354" t="s">
        <v>11239</v>
      </c>
      <c r="G4" s="446" t="s">
        <v>11237</v>
      </c>
      <c r="H4" s="334" t="s">
        <v>98</v>
      </c>
    </row>
    <row r="5" spans="1:8" ht="60" x14ac:dyDescent="0.25">
      <c r="C5" s="541" t="s">
        <v>11228</v>
      </c>
      <c r="D5" s="542"/>
      <c r="E5" s="413"/>
      <c r="F5" s="354" t="s">
        <v>11239</v>
      </c>
      <c r="G5" s="446" t="s">
        <v>11238</v>
      </c>
      <c r="H5" s="334" t="s">
        <v>98</v>
      </c>
    </row>
    <row r="6" spans="1:8" ht="51" customHeight="1" x14ac:dyDescent="0.25">
      <c r="C6" s="541" t="s">
        <v>11227</v>
      </c>
      <c r="D6" s="542"/>
      <c r="E6" s="413"/>
      <c r="F6" s="354" t="s">
        <v>11239</v>
      </c>
      <c r="G6" s="446" t="s">
        <v>11240</v>
      </c>
      <c r="H6" s="334" t="s">
        <v>98</v>
      </c>
    </row>
    <row r="7" spans="1:8" ht="60" x14ac:dyDescent="0.25">
      <c r="C7" s="541" t="s">
        <v>11232</v>
      </c>
      <c r="D7" s="542"/>
      <c r="E7" s="413"/>
      <c r="F7" s="354" t="s">
        <v>11274</v>
      </c>
      <c r="G7" s="464"/>
      <c r="H7" s="334" t="s">
        <v>98</v>
      </c>
    </row>
    <row r="8" spans="1:8" ht="63" customHeight="1" x14ac:dyDescent="0.25">
      <c r="C8" s="529" t="s">
        <v>11231</v>
      </c>
      <c r="D8" s="530"/>
      <c r="E8" s="414"/>
      <c r="F8" s="352" t="s">
        <v>11233</v>
      </c>
      <c r="G8" s="464"/>
      <c r="H8" s="334" t="s">
        <v>98</v>
      </c>
    </row>
    <row r="9" spans="1:8" ht="30.75" thickBot="1" x14ac:dyDescent="0.3">
      <c r="C9" s="531" t="s">
        <v>11234</v>
      </c>
      <c r="D9" s="532"/>
      <c r="E9" s="415"/>
      <c r="F9" s="355" t="s">
        <v>11235</v>
      </c>
      <c r="G9" s="465"/>
      <c r="H9" s="347" t="s">
        <v>98</v>
      </c>
    </row>
    <row r="11" spans="1:8" ht="21.75" thickBot="1" x14ac:dyDescent="0.4">
      <c r="B11" s="356" t="s">
        <v>11336</v>
      </c>
      <c r="E11" s="126" t="s">
        <v>11398</v>
      </c>
    </row>
    <row r="12" spans="1:8" x14ac:dyDescent="0.25">
      <c r="B12" s="141"/>
      <c r="C12" s="373" t="s">
        <v>10860</v>
      </c>
      <c r="D12" s="362" t="s">
        <v>2</v>
      </c>
      <c r="E12" s="367" t="s">
        <v>10861</v>
      </c>
      <c r="F12" s="374" t="s">
        <v>1</v>
      </c>
      <c r="G12" s="362" t="s">
        <v>3</v>
      </c>
      <c r="H12" s="375" t="s">
        <v>10865</v>
      </c>
    </row>
    <row r="13" spans="1:8" ht="53.25" customHeight="1" x14ac:dyDescent="0.25">
      <c r="A13" s="86" t="s">
        <v>105</v>
      </c>
      <c r="B13" s="141"/>
      <c r="C13" s="391" t="s">
        <v>104</v>
      </c>
      <c r="D13" s="340" t="s">
        <v>15</v>
      </c>
      <c r="E13" s="342" t="s">
        <v>11399</v>
      </c>
      <c r="F13" s="211"/>
      <c r="G13" s="341" t="s">
        <v>106</v>
      </c>
      <c r="H13" s="201" t="s">
        <v>98</v>
      </c>
    </row>
    <row r="14" spans="1:8" ht="60.75" thickBot="1" x14ac:dyDescent="0.3">
      <c r="A14" s="346" t="s">
        <v>11241</v>
      </c>
      <c r="C14" s="392" t="s">
        <v>11218</v>
      </c>
      <c r="D14" s="263" t="s">
        <v>10989</v>
      </c>
      <c r="E14" s="183" t="s">
        <v>11219</v>
      </c>
      <c r="F14" s="172"/>
      <c r="G14" s="343"/>
      <c r="H14" s="272" t="s">
        <v>98</v>
      </c>
    </row>
    <row r="16" spans="1:8" ht="21.75" thickBot="1" x14ac:dyDescent="0.4">
      <c r="B16" s="356" t="s">
        <v>11337</v>
      </c>
      <c r="E16" s="126" t="s">
        <v>11339</v>
      </c>
    </row>
    <row r="17" spans="2:9" x14ac:dyDescent="0.25">
      <c r="C17" s="533" t="s">
        <v>11220</v>
      </c>
      <c r="D17" s="534"/>
      <c r="E17" s="365" t="s">
        <v>11221</v>
      </c>
      <c r="F17" s="363" t="s">
        <v>10861</v>
      </c>
      <c r="G17" s="365" t="s">
        <v>1</v>
      </c>
      <c r="H17" s="375" t="s">
        <v>10865</v>
      </c>
    </row>
    <row r="18" spans="2:9" ht="53.25" customHeight="1" x14ac:dyDescent="0.25">
      <c r="C18" s="535" t="s">
        <v>11338</v>
      </c>
      <c r="D18" s="536"/>
      <c r="E18" s="416"/>
      <c r="F18" s="348" t="s">
        <v>11239</v>
      </c>
      <c r="G18" s="467" t="s">
        <v>11243</v>
      </c>
      <c r="H18" s="334" t="s">
        <v>98</v>
      </c>
    </row>
    <row r="19" spans="2:9" ht="45.75" customHeight="1" thickBot="1" x14ac:dyDescent="0.3">
      <c r="C19" s="543" t="s">
        <v>11244</v>
      </c>
      <c r="D19" s="544"/>
      <c r="E19" s="417"/>
      <c r="F19" s="183" t="s">
        <v>11239</v>
      </c>
      <c r="G19" s="468" t="s">
        <v>11245</v>
      </c>
      <c r="H19" s="347" t="s">
        <v>98</v>
      </c>
    </row>
    <row r="21" spans="2:9" ht="21.75" thickBot="1" x14ac:dyDescent="0.4">
      <c r="B21" s="356" t="s">
        <v>11346</v>
      </c>
      <c r="E21" s="126" t="s">
        <v>11251</v>
      </c>
    </row>
    <row r="22" spans="2:9" x14ac:dyDescent="0.25">
      <c r="C22" s="533" t="s">
        <v>11220</v>
      </c>
      <c r="D22" s="534"/>
      <c r="E22" s="365" t="s">
        <v>11221</v>
      </c>
      <c r="F22" s="363" t="s">
        <v>10861</v>
      </c>
      <c r="G22" s="365" t="s">
        <v>11249</v>
      </c>
      <c r="H22" s="376" t="s">
        <v>11250</v>
      </c>
      <c r="I22" s="375" t="s">
        <v>10865</v>
      </c>
    </row>
    <row r="23" spans="2:9" ht="135" x14ac:dyDescent="0.25">
      <c r="C23" s="545" t="s">
        <v>11253</v>
      </c>
      <c r="D23" s="546"/>
      <c r="E23" s="418"/>
      <c r="F23" s="131" t="s">
        <v>11255</v>
      </c>
      <c r="G23" s="211"/>
      <c r="H23" s="238"/>
      <c r="I23" s="349" t="s">
        <v>98</v>
      </c>
    </row>
    <row r="24" spans="2:9" ht="45" x14ac:dyDescent="0.25">
      <c r="C24" s="529" t="s">
        <v>11340</v>
      </c>
      <c r="D24" s="530"/>
      <c r="E24" s="413"/>
      <c r="F24" s="157" t="s">
        <v>11348</v>
      </c>
      <c r="G24" s="547" t="s">
        <v>11252</v>
      </c>
      <c r="H24" s="548"/>
      <c r="I24" s="334" t="s">
        <v>98</v>
      </c>
    </row>
    <row r="25" spans="2:9" ht="135" x14ac:dyDescent="0.25">
      <c r="C25" s="393" t="s">
        <v>11254</v>
      </c>
      <c r="D25" s="394"/>
      <c r="E25" s="413"/>
      <c r="F25" s="157" t="s">
        <v>11255</v>
      </c>
      <c r="G25" s="204"/>
      <c r="H25" s="469"/>
      <c r="I25" s="334" t="s">
        <v>98</v>
      </c>
    </row>
    <row r="26" spans="2:9" ht="120" x14ac:dyDescent="0.25">
      <c r="C26" s="529" t="s">
        <v>11257</v>
      </c>
      <c r="D26" s="530"/>
      <c r="E26" s="413"/>
      <c r="F26" s="157" t="s">
        <v>11256</v>
      </c>
      <c r="G26" s="204"/>
      <c r="H26" s="469"/>
      <c r="I26" s="334" t="s">
        <v>98</v>
      </c>
    </row>
    <row r="27" spans="2:9" ht="120" x14ac:dyDescent="0.25">
      <c r="C27" s="529" t="s">
        <v>11259</v>
      </c>
      <c r="D27" s="549"/>
      <c r="E27" s="413"/>
      <c r="F27" s="157" t="s">
        <v>11258</v>
      </c>
      <c r="G27" s="153"/>
      <c r="H27" s="410" t="s">
        <v>11297</v>
      </c>
      <c r="I27" s="334" t="s">
        <v>98</v>
      </c>
    </row>
    <row r="28" spans="2:9" ht="150" x14ac:dyDescent="0.25">
      <c r="C28" s="529" t="s">
        <v>11266</v>
      </c>
      <c r="D28" s="530"/>
      <c r="E28" s="413"/>
      <c r="F28" s="157" t="s">
        <v>11349</v>
      </c>
      <c r="G28" s="153"/>
      <c r="H28" s="410" t="s">
        <v>11297</v>
      </c>
      <c r="I28" s="334" t="s">
        <v>98</v>
      </c>
    </row>
    <row r="29" spans="2:9" ht="92.25" customHeight="1" thickBot="1" x14ac:dyDescent="0.3">
      <c r="C29" s="543" t="s">
        <v>11267</v>
      </c>
      <c r="D29" s="544"/>
      <c r="E29" s="415"/>
      <c r="F29" s="183" t="s">
        <v>11341</v>
      </c>
      <c r="G29" s="550" t="s">
        <v>11268</v>
      </c>
      <c r="H29" s="551"/>
      <c r="I29" s="347" t="s">
        <v>98</v>
      </c>
    </row>
    <row r="31" spans="2:9" ht="21" x14ac:dyDescent="0.35">
      <c r="B31" s="356" t="s">
        <v>10881</v>
      </c>
      <c r="G31" s="252"/>
      <c r="H31" s="252"/>
    </row>
    <row r="32" spans="2:9" ht="15.75" thickBot="1" x14ac:dyDescent="0.3">
      <c r="B32" s="357" t="s">
        <v>11263</v>
      </c>
      <c r="D32" t="s">
        <v>11269</v>
      </c>
      <c r="G32" s="252"/>
      <c r="H32" s="252"/>
    </row>
    <row r="33" spans="1:8" x14ac:dyDescent="0.25">
      <c r="C33" s="533" t="s">
        <v>1</v>
      </c>
      <c r="D33" s="534"/>
      <c r="E33" s="534"/>
      <c r="F33" s="552"/>
      <c r="G33" s="252"/>
      <c r="H33" s="252"/>
    </row>
    <row r="34" spans="1:8" ht="45" x14ac:dyDescent="0.25">
      <c r="A34" s="344" t="s">
        <v>11246</v>
      </c>
      <c r="C34" s="553"/>
      <c r="D34" s="554"/>
      <c r="E34" s="554"/>
      <c r="F34" s="555"/>
      <c r="G34" s="252"/>
      <c r="H34" s="252"/>
    </row>
    <row r="35" spans="1:8" ht="39" customHeight="1" thickBot="1" x14ac:dyDescent="0.3">
      <c r="A35" s="344" t="s">
        <v>11260</v>
      </c>
      <c r="C35" s="556"/>
      <c r="D35" s="557"/>
      <c r="E35" s="557"/>
      <c r="F35" s="558"/>
      <c r="G35" s="252"/>
      <c r="H35" s="252"/>
    </row>
    <row r="36" spans="1:8" x14ac:dyDescent="0.25">
      <c r="A36" s="50"/>
    </row>
    <row r="37" spans="1:8" ht="15.75" thickBot="1" x14ac:dyDescent="0.3">
      <c r="A37" s="50"/>
      <c r="B37" s="357" t="s">
        <v>11264</v>
      </c>
      <c r="D37" t="s">
        <v>11270</v>
      </c>
    </row>
    <row r="38" spans="1:8" s="252" customFormat="1" x14ac:dyDescent="0.25">
      <c r="A38" s="50"/>
      <c r="B38" s="126"/>
      <c r="C38" s="533" t="s">
        <v>1</v>
      </c>
      <c r="D38" s="568"/>
      <c r="E38" s="562" t="s">
        <v>3</v>
      </c>
      <c r="F38" s="563"/>
    </row>
    <row r="39" spans="1:8" ht="51" customHeight="1" x14ac:dyDescent="0.25">
      <c r="A39" s="344" t="s">
        <v>11247</v>
      </c>
      <c r="C39" s="553"/>
      <c r="D39" s="559"/>
      <c r="E39" s="564" t="s">
        <v>11272</v>
      </c>
      <c r="F39" s="565"/>
    </row>
    <row r="40" spans="1:8" ht="51" customHeight="1" thickBot="1" x14ac:dyDescent="0.3">
      <c r="A40" s="344" t="s">
        <v>11261</v>
      </c>
      <c r="C40" s="560"/>
      <c r="D40" s="561"/>
      <c r="E40" s="566" t="s">
        <v>11273</v>
      </c>
      <c r="F40" s="567"/>
    </row>
    <row r="41" spans="1:8" x14ac:dyDescent="0.25">
      <c r="A41" s="50"/>
    </row>
    <row r="42" spans="1:8" ht="15.75" thickBot="1" x14ac:dyDescent="0.3">
      <c r="A42" s="50"/>
      <c r="B42" s="357" t="s">
        <v>11265</v>
      </c>
      <c r="E42" t="s">
        <v>11271</v>
      </c>
    </row>
    <row r="43" spans="1:8" x14ac:dyDescent="0.25">
      <c r="C43" s="533" t="s">
        <v>1</v>
      </c>
      <c r="D43" s="534"/>
      <c r="E43" s="534"/>
      <c r="F43" s="552"/>
    </row>
    <row r="44" spans="1:8" ht="45" x14ac:dyDescent="0.25">
      <c r="A44" s="344" t="s">
        <v>11248</v>
      </c>
      <c r="C44" s="553"/>
      <c r="D44" s="554"/>
      <c r="E44" s="554"/>
      <c r="F44" s="555"/>
    </row>
    <row r="45" spans="1:8" ht="45.75" thickBot="1" x14ac:dyDescent="0.3">
      <c r="A45" s="344" t="s">
        <v>11262</v>
      </c>
      <c r="C45" s="556"/>
      <c r="D45" s="557"/>
      <c r="E45" s="557"/>
      <c r="F45" s="558"/>
    </row>
  </sheetData>
  <sheetProtection password="D10F" sheet="1" objects="1" scenarios="1" selectLockedCells="1"/>
  <mergeCells count="32">
    <mergeCell ref="C43:F43"/>
    <mergeCell ref="C44:F44"/>
    <mergeCell ref="C45:F45"/>
    <mergeCell ref="C33:F33"/>
    <mergeCell ref="C34:F34"/>
    <mergeCell ref="C35:F35"/>
    <mergeCell ref="C39:D39"/>
    <mergeCell ref="C40:D40"/>
    <mergeCell ref="E38:F38"/>
    <mergeCell ref="E39:F39"/>
    <mergeCell ref="E40:F40"/>
    <mergeCell ref="C38:D38"/>
    <mergeCell ref="C26:D26"/>
    <mergeCell ref="C27:D27"/>
    <mergeCell ref="C28:D28"/>
    <mergeCell ref="C29:D29"/>
    <mergeCell ref="G29:H29"/>
    <mergeCell ref="C19:D19"/>
    <mergeCell ref="C22:D22"/>
    <mergeCell ref="C23:D23"/>
    <mergeCell ref="C24:D24"/>
    <mergeCell ref="G24:H24"/>
    <mergeCell ref="C8:D8"/>
    <mergeCell ref="C9:D9"/>
    <mergeCell ref="C2:D2"/>
    <mergeCell ref="C17:D17"/>
    <mergeCell ref="C18:D18"/>
    <mergeCell ref="C3:D3"/>
    <mergeCell ref="C4:D4"/>
    <mergeCell ref="C5:D5"/>
    <mergeCell ref="C6:D6"/>
    <mergeCell ref="C7:D7"/>
  </mergeCells>
  <dataValidations count="2">
    <dataValidation type="list" allowBlank="1" showInputMessage="1" showErrorMessage="1" sqref="F13">
      <formula1>code_classification</formula1>
    </dataValidation>
    <dataValidation type="list" allowBlank="1" showInputMessage="1" showErrorMessage="1" sqref="E9">
      <formula1>Contraintes_acces</formula1>
    </dataValidation>
  </dataValidations>
  <hyperlinks>
    <hyperlink ref="H13" r:id="rId1"/>
    <hyperlink ref="H14" r:id="rId2"/>
    <hyperlink ref="H3" r:id="rId3"/>
    <hyperlink ref="H4" r:id="rId4"/>
    <hyperlink ref="H5" r:id="rId5"/>
    <hyperlink ref="H6" r:id="rId6"/>
    <hyperlink ref="H7" r:id="rId7"/>
    <hyperlink ref="H8" r:id="rId8"/>
    <hyperlink ref="H9" r:id="rId9"/>
    <hyperlink ref="H19" r:id="rId10"/>
    <hyperlink ref="H18" r:id="rId11"/>
    <hyperlink ref="I23" r:id="rId12"/>
    <hyperlink ref="I24" r:id="rId13"/>
    <hyperlink ref="I25" r:id="rId14"/>
    <hyperlink ref="I26" r:id="rId15"/>
    <hyperlink ref="I27" r:id="rId16"/>
    <hyperlink ref="I28" r:id="rId17"/>
    <hyperlink ref="I29" r:id="rId18"/>
  </hyperlinks>
  <pageMargins left="0.7" right="0.7" top="0.75" bottom="0.75" header="0.3" footer="0.3"/>
  <pageSetup paperSize="9" orientation="portrait" r:id="rId19"/>
  <drawing r:id="rId20"/>
  <legacyDrawing r:id="rId21"/>
  <mc:AlternateContent xmlns:mc="http://schemas.openxmlformats.org/markup-compatibility/2006">
    <mc:Choice Requires="x14">
      <controls>
        <mc:AlternateContent xmlns:mc="http://schemas.openxmlformats.org/markup-compatibility/2006">
          <mc:Choice Requires="x14">
            <control shapeId="103427" r:id="rId22" name="Check Box 3">
              <controlPr defaultSize="0" autoFill="0" autoLine="0" autoPict="0">
                <anchor moveWithCells="1">
                  <from>
                    <xdr:col>4</xdr:col>
                    <xdr:colOff>1457325</xdr:colOff>
                    <xdr:row>2</xdr:row>
                    <xdr:rowOff>76200</xdr:rowOff>
                  </from>
                  <to>
                    <xdr:col>4</xdr:col>
                    <xdr:colOff>1733550</xdr:colOff>
                    <xdr:row>2</xdr:row>
                    <xdr:rowOff>295275</xdr:rowOff>
                  </to>
                </anchor>
              </controlPr>
            </control>
          </mc:Choice>
        </mc:AlternateContent>
        <mc:AlternateContent xmlns:mc="http://schemas.openxmlformats.org/markup-compatibility/2006">
          <mc:Choice Requires="x14">
            <control shapeId="103429" r:id="rId23" name="Check Box 5">
              <controlPr defaultSize="0" autoFill="0" autoLine="0" autoPict="0">
                <anchor moveWithCells="1">
                  <from>
                    <xdr:col>4</xdr:col>
                    <xdr:colOff>1457325</xdr:colOff>
                    <xdr:row>3</xdr:row>
                    <xdr:rowOff>76200</xdr:rowOff>
                  </from>
                  <to>
                    <xdr:col>4</xdr:col>
                    <xdr:colOff>1733550</xdr:colOff>
                    <xdr:row>3</xdr:row>
                    <xdr:rowOff>295275</xdr:rowOff>
                  </to>
                </anchor>
              </controlPr>
            </control>
          </mc:Choice>
        </mc:AlternateContent>
        <mc:AlternateContent xmlns:mc="http://schemas.openxmlformats.org/markup-compatibility/2006">
          <mc:Choice Requires="x14">
            <control shapeId="103430" r:id="rId24" name="Check Box 6">
              <controlPr defaultSize="0" autoFill="0" autoLine="0" autoPict="0">
                <anchor moveWithCells="1">
                  <from>
                    <xdr:col>4</xdr:col>
                    <xdr:colOff>1447800</xdr:colOff>
                    <xdr:row>4</xdr:row>
                    <xdr:rowOff>304800</xdr:rowOff>
                  </from>
                  <to>
                    <xdr:col>4</xdr:col>
                    <xdr:colOff>1724025</xdr:colOff>
                    <xdr:row>4</xdr:row>
                    <xdr:rowOff>523875</xdr:rowOff>
                  </to>
                </anchor>
              </controlPr>
            </control>
          </mc:Choice>
        </mc:AlternateContent>
        <mc:AlternateContent xmlns:mc="http://schemas.openxmlformats.org/markup-compatibility/2006">
          <mc:Choice Requires="x14">
            <control shapeId="103431" r:id="rId25" name="Check Box 7">
              <controlPr defaultSize="0" autoFill="0" autoLine="0" autoPict="0">
                <anchor moveWithCells="1">
                  <from>
                    <xdr:col>4</xdr:col>
                    <xdr:colOff>1457325</xdr:colOff>
                    <xdr:row>5</xdr:row>
                    <xdr:rowOff>200025</xdr:rowOff>
                  </from>
                  <to>
                    <xdr:col>4</xdr:col>
                    <xdr:colOff>1733550</xdr:colOff>
                    <xdr:row>5</xdr:row>
                    <xdr:rowOff>419100</xdr:rowOff>
                  </to>
                </anchor>
              </controlPr>
            </control>
          </mc:Choice>
        </mc:AlternateContent>
        <mc:AlternateContent xmlns:mc="http://schemas.openxmlformats.org/markup-compatibility/2006">
          <mc:Choice Requires="x14">
            <control shapeId="103432" r:id="rId26" name="Check Box 8">
              <controlPr defaultSize="0" autoFill="0" autoLine="0" autoPict="0">
                <anchor moveWithCells="1">
                  <from>
                    <xdr:col>4</xdr:col>
                    <xdr:colOff>1476375</xdr:colOff>
                    <xdr:row>6</xdr:row>
                    <xdr:rowOff>247650</xdr:rowOff>
                  </from>
                  <to>
                    <xdr:col>4</xdr:col>
                    <xdr:colOff>1752600</xdr:colOff>
                    <xdr:row>6</xdr:row>
                    <xdr:rowOff>466725</xdr:rowOff>
                  </to>
                </anchor>
              </controlPr>
            </control>
          </mc:Choice>
        </mc:AlternateContent>
        <mc:AlternateContent xmlns:mc="http://schemas.openxmlformats.org/markup-compatibility/2006">
          <mc:Choice Requires="x14">
            <control shapeId="103433" r:id="rId27" name="Check Box 9">
              <controlPr defaultSize="0" autoFill="0" autoLine="0" autoPict="0">
                <anchor moveWithCells="1">
                  <from>
                    <xdr:col>4</xdr:col>
                    <xdr:colOff>1457325</xdr:colOff>
                    <xdr:row>7</xdr:row>
                    <xdr:rowOff>314325</xdr:rowOff>
                  </from>
                  <to>
                    <xdr:col>4</xdr:col>
                    <xdr:colOff>1733550</xdr:colOff>
                    <xdr:row>7</xdr:row>
                    <xdr:rowOff>533400</xdr:rowOff>
                  </to>
                </anchor>
              </controlPr>
            </control>
          </mc:Choice>
        </mc:AlternateContent>
        <mc:AlternateContent xmlns:mc="http://schemas.openxmlformats.org/markup-compatibility/2006">
          <mc:Choice Requires="x14">
            <control shapeId="103437" r:id="rId28" name="Check Box 13">
              <controlPr defaultSize="0" autoFill="0" autoLine="0" autoPict="0">
                <anchor moveWithCells="1">
                  <from>
                    <xdr:col>4</xdr:col>
                    <xdr:colOff>1514475</xdr:colOff>
                    <xdr:row>17</xdr:row>
                    <xdr:rowOff>133350</xdr:rowOff>
                  </from>
                  <to>
                    <xdr:col>4</xdr:col>
                    <xdr:colOff>1790700</xdr:colOff>
                    <xdr:row>17</xdr:row>
                    <xdr:rowOff>352425</xdr:rowOff>
                  </to>
                </anchor>
              </controlPr>
            </control>
          </mc:Choice>
        </mc:AlternateContent>
        <mc:AlternateContent xmlns:mc="http://schemas.openxmlformats.org/markup-compatibility/2006">
          <mc:Choice Requires="x14">
            <control shapeId="103438" r:id="rId29" name="Check Box 14">
              <controlPr defaultSize="0" autoFill="0" autoLine="0" autoPict="0">
                <anchor moveWithCells="1">
                  <from>
                    <xdr:col>4</xdr:col>
                    <xdr:colOff>1514475</xdr:colOff>
                    <xdr:row>18</xdr:row>
                    <xdr:rowOff>133350</xdr:rowOff>
                  </from>
                  <to>
                    <xdr:col>4</xdr:col>
                    <xdr:colOff>1790700</xdr:colOff>
                    <xdr:row>18</xdr:row>
                    <xdr:rowOff>352425</xdr:rowOff>
                  </to>
                </anchor>
              </controlPr>
            </control>
          </mc:Choice>
        </mc:AlternateContent>
        <mc:AlternateContent xmlns:mc="http://schemas.openxmlformats.org/markup-compatibility/2006">
          <mc:Choice Requires="x14">
            <control shapeId="103439" r:id="rId30" name="Check Box 15">
              <controlPr defaultSize="0" autoFill="0" autoLine="0" autoPict="0">
                <anchor moveWithCells="1">
                  <from>
                    <xdr:col>4</xdr:col>
                    <xdr:colOff>1390650</xdr:colOff>
                    <xdr:row>22</xdr:row>
                    <xdr:rowOff>685800</xdr:rowOff>
                  </from>
                  <to>
                    <xdr:col>4</xdr:col>
                    <xdr:colOff>1666875</xdr:colOff>
                    <xdr:row>22</xdr:row>
                    <xdr:rowOff>904875</xdr:rowOff>
                  </to>
                </anchor>
              </controlPr>
            </control>
          </mc:Choice>
        </mc:AlternateContent>
        <mc:AlternateContent xmlns:mc="http://schemas.openxmlformats.org/markup-compatibility/2006">
          <mc:Choice Requires="x14">
            <control shapeId="103441" r:id="rId31" name="Check Box 17">
              <controlPr defaultSize="0" autoFill="0" autoLine="0" autoPict="0">
                <anchor moveWithCells="1">
                  <from>
                    <xdr:col>4</xdr:col>
                    <xdr:colOff>1362075</xdr:colOff>
                    <xdr:row>23</xdr:row>
                    <xdr:rowOff>123825</xdr:rowOff>
                  </from>
                  <to>
                    <xdr:col>4</xdr:col>
                    <xdr:colOff>1638300</xdr:colOff>
                    <xdr:row>23</xdr:row>
                    <xdr:rowOff>342900</xdr:rowOff>
                  </to>
                </anchor>
              </controlPr>
            </control>
          </mc:Choice>
        </mc:AlternateContent>
        <mc:AlternateContent xmlns:mc="http://schemas.openxmlformats.org/markup-compatibility/2006">
          <mc:Choice Requires="x14">
            <control shapeId="103442" r:id="rId32" name="Check Box 18">
              <controlPr defaultSize="0" autoFill="0" autoLine="0" autoPict="0">
                <anchor moveWithCells="1">
                  <from>
                    <xdr:col>4</xdr:col>
                    <xdr:colOff>1390650</xdr:colOff>
                    <xdr:row>24</xdr:row>
                    <xdr:rowOff>685800</xdr:rowOff>
                  </from>
                  <to>
                    <xdr:col>4</xdr:col>
                    <xdr:colOff>1666875</xdr:colOff>
                    <xdr:row>24</xdr:row>
                    <xdr:rowOff>904875</xdr:rowOff>
                  </to>
                </anchor>
              </controlPr>
            </control>
          </mc:Choice>
        </mc:AlternateContent>
        <mc:AlternateContent xmlns:mc="http://schemas.openxmlformats.org/markup-compatibility/2006">
          <mc:Choice Requires="x14">
            <control shapeId="103443" r:id="rId33" name="Check Box 19">
              <controlPr defaultSize="0" autoFill="0" autoLine="0" autoPict="0">
                <anchor moveWithCells="1">
                  <from>
                    <xdr:col>4</xdr:col>
                    <xdr:colOff>1390650</xdr:colOff>
                    <xdr:row>25</xdr:row>
                    <xdr:rowOff>619125</xdr:rowOff>
                  </from>
                  <to>
                    <xdr:col>4</xdr:col>
                    <xdr:colOff>1666875</xdr:colOff>
                    <xdr:row>25</xdr:row>
                    <xdr:rowOff>838200</xdr:rowOff>
                  </to>
                </anchor>
              </controlPr>
            </control>
          </mc:Choice>
        </mc:AlternateContent>
        <mc:AlternateContent xmlns:mc="http://schemas.openxmlformats.org/markup-compatibility/2006">
          <mc:Choice Requires="x14">
            <control shapeId="103444" r:id="rId34" name="Check Box 20">
              <controlPr defaultSize="0" autoFill="0" autoLine="0" autoPict="0">
                <anchor moveWithCells="1">
                  <from>
                    <xdr:col>4</xdr:col>
                    <xdr:colOff>1381125</xdr:colOff>
                    <xdr:row>26</xdr:row>
                    <xdr:rowOff>628650</xdr:rowOff>
                  </from>
                  <to>
                    <xdr:col>4</xdr:col>
                    <xdr:colOff>1657350</xdr:colOff>
                    <xdr:row>26</xdr:row>
                    <xdr:rowOff>847725</xdr:rowOff>
                  </to>
                </anchor>
              </controlPr>
            </control>
          </mc:Choice>
        </mc:AlternateContent>
        <mc:AlternateContent xmlns:mc="http://schemas.openxmlformats.org/markup-compatibility/2006">
          <mc:Choice Requires="x14">
            <control shapeId="103445" r:id="rId35" name="Check Box 21">
              <controlPr defaultSize="0" autoFill="0" autoLine="0" autoPict="0">
                <anchor moveWithCells="1">
                  <from>
                    <xdr:col>4</xdr:col>
                    <xdr:colOff>1390650</xdr:colOff>
                    <xdr:row>27</xdr:row>
                    <xdr:rowOff>685800</xdr:rowOff>
                  </from>
                  <to>
                    <xdr:col>4</xdr:col>
                    <xdr:colOff>1666875</xdr:colOff>
                    <xdr:row>27</xdr:row>
                    <xdr:rowOff>904875</xdr:rowOff>
                  </to>
                </anchor>
              </controlPr>
            </control>
          </mc:Choice>
        </mc:AlternateContent>
        <mc:AlternateContent xmlns:mc="http://schemas.openxmlformats.org/markup-compatibility/2006">
          <mc:Choice Requires="x14">
            <control shapeId="103446" r:id="rId36" name="Check Box 22">
              <controlPr defaultSize="0" autoFill="0" autoLine="0" autoPict="0">
                <anchor moveWithCells="1">
                  <from>
                    <xdr:col>4</xdr:col>
                    <xdr:colOff>1362075</xdr:colOff>
                    <xdr:row>28</xdr:row>
                    <xdr:rowOff>495300</xdr:rowOff>
                  </from>
                  <to>
                    <xdr:col>4</xdr:col>
                    <xdr:colOff>1638300</xdr:colOff>
                    <xdr:row>28</xdr:row>
                    <xdr:rowOff>714375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tabColor rgb="FF92D050"/>
  </sheetPr>
  <dimension ref="A1:Q130"/>
  <sheetViews>
    <sheetView showGridLines="0" topLeftCell="B1" workbookViewId="0">
      <selection activeCell="F6" sqref="F6"/>
    </sheetView>
  </sheetViews>
  <sheetFormatPr defaultColWidth="9.140625" defaultRowHeight="15" x14ac:dyDescent="0.25"/>
  <cols>
    <col min="1" max="1" width="35" hidden="1" customWidth="1"/>
    <col min="2" max="2" width="4.140625" style="141" customWidth="1"/>
    <col min="3" max="3" width="40.140625" customWidth="1"/>
    <col min="4" max="4" width="21" customWidth="1"/>
    <col min="5" max="5" width="47.85546875" customWidth="1"/>
    <col min="6" max="6" width="41.42578125" customWidth="1"/>
    <col min="7" max="7" width="42.140625" customWidth="1"/>
    <col min="8" max="8" width="41" style="81" customWidth="1"/>
    <col min="9" max="9" width="40" customWidth="1"/>
    <col min="10" max="10" width="37.28515625" customWidth="1"/>
    <col min="11" max="11" width="35.140625" customWidth="1"/>
    <col min="12" max="12" width="47" customWidth="1"/>
    <col min="13" max="13" width="54.5703125" customWidth="1"/>
    <col min="14" max="14" width="73.7109375" customWidth="1"/>
  </cols>
  <sheetData>
    <row r="1" spans="1:14" ht="21" x14ac:dyDescent="0.35">
      <c r="B1" s="356" t="s">
        <v>11296</v>
      </c>
      <c r="E1" s="49"/>
    </row>
    <row r="2" spans="1:14" s="108" customFormat="1" ht="7.5" customHeight="1" x14ac:dyDescent="0.25">
      <c r="A2" s="86"/>
      <c r="B2" s="86"/>
      <c r="C2" s="130"/>
      <c r="D2" s="128"/>
      <c r="E2" s="131"/>
      <c r="F2" s="138"/>
      <c r="G2" s="139"/>
    </row>
    <row r="3" spans="1:14" s="108" customFormat="1" ht="18.75" x14ac:dyDescent="0.3">
      <c r="A3" s="86"/>
      <c r="B3" s="358" t="s">
        <v>11013</v>
      </c>
      <c r="C3" s="130"/>
      <c r="D3" s="128"/>
      <c r="E3" s="480" t="s">
        <v>11377</v>
      </c>
      <c r="F3" s="138"/>
      <c r="G3" s="139"/>
    </row>
    <row r="4" spans="1:14" s="108" customFormat="1" ht="15.75" thickBot="1" x14ac:dyDescent="0.3">
      <c r="A4" s="86"/>
      <c r="B4" s="359" t="s">
        <v>11015</v>
      </c>
      <c r="C4" s="130"/>
      <c r="D4" s="128"/>
      <c r="E4" s="131"/>
      <c r="F4" s="254"/>
      <c r="G4" s="139"/>
    </row>
    <row r="5" spans="1:14" s="108" customFormat="1" x14ac:dyDescent="0.25">
      <c r="A5" s="86"/>
      <c r="B5" s="131"/>
      <c r="C5" s="361" t="s">
        <v>10860</v>
      </c>
      <c r="D5" s="362" t="s">
        <v>2</v>
      </c>
      <c r="E5" s="363" t="s">
        <v>10861</v>
      </c>
      <c r="F5" s="364" t="s">
        <v>11016</v>
      </c>
      <c r="G5" s="368" t="s">
        <v>11017</v>
      </c>
      <c r="H5" s="368" t="s">
        <v>11368</v>
      </c>
      <c r="I5" s="368" t="s">
        <v>11369</v>
      </c>
      <c r="J5" s="368" t="s">
        <v>11370</v>
      </c>
      <c r="K5" s="368" t="s">
        <v>11371</v>
      </c>
      <c r="L5" s="365" t="s">
        <v>3</v>
      </c>
      <c r="M5" s="366" t="s">
        <v>10865</v>
      </c>
    </row>
    <row r="6" spans="1:14" s="108" customFormat="1" ht="75" x14ac:dyDescent="0.25">
      <c r="A6" s="264" t="s">
        <v>11018</v>
      </c>
      <c r="B6" s="131"/>
      <c r="C6" s="395" t="s">
        <v>8</v>
      </c>
      <c r="D6" s="33" t="s">
        <v>12</v>
      </c>
      <c r="E6" s="131" t="s">
        <v>11019</v>
      </c>
      <c r="F6" s="440"/>
      <c r="G6" s="440"/>
      <c r="H6" s="440"/>
      <c r="I6" s="440"/>
      <c r="J6" s="440"/>
      <c r="K6" s="440"/>
      <c r="L6" s="9" t="s">
        <v>11176</v>
      </c>
      <c r="M6" s="319" t="s">
        <v>50</v>
      </c>
    </row>
    <row r="7" spans="1:14" s="108" customFormat="1" ht="120" x14ac:dyDescent="0.25">
      <c r="A7" s="86" t="s">
        <v>11021</v>
      </c>
      <c r="B7" s="131"/>
      <c r="C7" s="386" t="s">
        <v>11020</v>
      </c>
      <c r="D7" s="97" t="s">
        <v>10988</v>
      </c>
      <c r="E7" s="268" t="s">
        <v>151</v>
      </c>
      <c r="F7" s="475"/>
      <c r="G7" s="475"/>
      <c r="H7" s="475"/>
      <c r="I7" s="475"/>
      <c r="J7" s="475"/>
      <c r="K7" s="475"/>
      <c r="L7" s="265" t="s">
        <v>11178</v>
      </c>
      <c r="M7" s="180" t="s">
        <v>152</v>
      </c>
    </row>
    <row r="8" spans="1:14" s="108" customFormat="1" ht="60" x14ac:dyDescent="0.25">
      <c r="A8" s="264" t="s">
        <v>11034</v>
      </c>
      <c r="B8" s="131"/>
      <c r="C8" s="386" t="s">
        <v>11022</v>
      </c>
      <c r="D8" s="97" t="s">
        <v>12</v>
      </c>
      <c r="E8" s="157" t="s">
        <v>11174</v>
      </c>
      <c r="F8" s="204"/>
      <c r="G8" s="204"/>
      <c r="H8" s="204"/>
      <c r="I8" s="204"/>
      <c r="J8" s="204"/>
      <c r="K8" s="204"/>
      <c r="L8" s="99" t="s">
        <v>148</v>
      </c>
      <c r="M8" s="180" t="s">
        <v>149</v>
      </c>
      <c r="N8" s="242"/>
    </row>
    <row r="9" spans="1:14" s="108" customFormat="1" ht="30" x14ac:dyDescent="0.25">
      <c r="A9" s="60" t="s">
        <v>358</v>
      </c>
      <c r="B9" s="131"/>
      <c r="C9" s="386" t="s">
        <v>11024</v>
      </c>
      <c r="D9" s="97" t="s">
        <v>12</v>
      </c>
      <c r="E9" s="157" t="s">
        <v>11051</v>
      </c>
      <c r="F9" s="204"/>
      <c r="G9" s="204"/>
      <c r="H9" s="204"/>
      <c r="I9" s="204"/>
      <c r="J9" s="204"/>
      <c r="K9" s="204"/>
      <c r="L9" s="99">
        <v>10</v>
      </c>
      <c r="M9" s="180" t="s">
        <v>149</v>
      </c>
    </row>
    <row r="10" spans="1:14" s="108" customFormat="1" x14ac:dyDescent="0.25">
      <c r="A10" s="264" t="s">
        <v>11036</v>
      </c>
      <c r="B10" s="131"/>
      <c r="C10" s="386" t="s">
        <v>11025</v>
      </c>
      <c r="D10" s="97" t="s">
        <v>10988</v>
      </c>
      <c r="E10" s="157" t="s">
        <v>11050</v>
      </c>
      <c r="F10" s="470"/>
      <c r="G10" s="470"/>
      <c r="H10" s="470"/>
      <c r="I10" s="470"/>
      <c r="J10" s="470"/>
      <c r="K10" s="470"/>
      <c r="L10" s="271">
        <v>50</v>
      </c>
      <c r="M10" s="266"/>
    </row>
    <row r="11" spans="1:14" s="108" customFormat="1" ht="30" x14ac:dyDescent="0.25">
      <c r="A11" s="60" t="s">
        <v>10905</v>
      </c>
      <c r="B11" s="131"/>
      <c r="C11" s="396" t="s">
        <v>39</v>
      </c>
      <c r="D11" s="97" t="s">
        <v>15</v>
      </c>
      <c r="E11" s="157" t="s">
        <v>153</v>
      </c>
      <c r="F11" s="462"/>
      <c r="G11" s="462"/>
      <c r="H11" s="462"/>
      <c r="I11" s="462"/>
      <c r="J11" s="462"/>
      <c r="K11" s="462"/>
      <c r="L11" s="267" t="s">
        <v>10915</v>
      </c>
      <c r="M11" s="180" t="s">
        <v>154</v>
      </c>
    </row>
    <row r="12" spans="1:14" s="108" customFormat="1" ht="30" x14ac:dyDescent="0.25">
      <c r="A12" s="60" t="s">
        <v>10906</v>
      </c>
      <c r="B12" s="131"/>
      <c r="C12" s="386" t="s">
        <v>41</v>
      </c>
      <c r="D12" s="97" t="s">
        <v>10988</v>
      </c>
      <c r="E12" s="157" t="s">
        <v>155</v>
      </c>
      <c r="F12" s="204"/>
      <c r="G12" s="204"/>
      <c r="H12" s="204"/>
      <c r="I12" s="204"/>
      <c r="J12" s="204"/>
      <c r="K12" s="204"/>
      <c r="L12" s="99" t="s">
        <v>441</v>
      </c>
      <c r="M12" s="180" t="s">
        <v>154</v>
      </c>
    </row>
    <row r="13" spans="1:14" s="108" customFormat="1" ht="45" x14ac:dyDescent="0.25">
      <c r="A13" s="60" t="s">
        <v>10907</v>
      </c>
      <c r="B13" s="131"/>
      <c r="C13" s="386" t="s">
        <v>0</v>
      </c>
      <c r="D13" s="97" t="s">
        <v>15</v>
      </c>
      <c r="E13" s="157" t="s">
        <v>11180</v>
      </c>
      <c r="F13" s="204"/>
      <c r="G13" s="204"/>
      <c r="H13" s="204"/>
      <c r="I13" s="204"/>
      <c r="J13" s="204"/>
      <c r="K13" s="204"/>
      <c r="L13" s="265" t="s">
        <v>11027</v>
      </c>
      <c r="M13" s="180" t="s">
        <v>154</v>
      </c>
    </row>
    <row r="14" spans="1:14" s="108" customFormat="1" ht="30" x14ac:dyDescent="0.25">
      <c r="A14" s="60" t="s">
        <v>10908</v>
      </c>
      <c r="B14" s="131"/>
      <c r="C14" s="386" t="s">
        <v>42</v>
      </c>
      <c r="D14" s="97" t="s">
        <v>10988</v>
      </c>
      <c r="E14" s="158" t="s">
        <v>212</v>
      </c>
      <c r="F14" s="447" t="s">
        <v>11026</v>
      </c>
      <c r="G14" s="463" t="s">
        <v>11026</v>
      </c>
      <c r="H14" s="447" t="s">
        <v>11026</v>
      </c>
      <c r="I14" s="463" t="s">
        <v>11026</v>
      </c>
      <c r="J14" s="447" t="s">
        <v>11026</v>
      </c>
      <c r="K14" s="463" t="s">
        <v>11026</v>
      </c>
      <c r="L14" s="101" t="s">
        <v>11026</v>
      </c>
      <c r="M14" s="180" t="s">
        <v>154</v>
      </c>
      <c r="N14" s="242"/>
    </row>
    <row r="15" spans="1:14" s="108" customFormat="1" ht="15.75" thickBot="1" x14ac:dyDescent="0.3">
      <c r="A15" s="60" t="s">
        <v>10909</v>
      </c>
      <c r="B15" s="131"/>
      <c r="C15" s="397" t="s">
        <v>43</v>
      </c>
      <c r="D15" s="193" t="s">
        <v>10988</v>
      </c>
      <c r="E15" s="200" t="s">
        <v>157</v>
      </c>
      <c r="F15" s="448" t="s">
        <v>365</v>
      </c>
      <c r="G15" s="596" t="s">
        <v>365</v>
      </c>
      <c r="H15" s="448" t="s">
        <v>365</v>
      </c>
      <c r="I15" s="596" t="s">
        <v>365</v>
      </c>
      <c r="J15" s="448" t="s">
        <v>365</v>
      </c>
      <c r="K15" s="596" t="s">
        <v>365</v>
      </c>
      <c r="L15" s="199" t="s">
        <v>365</v>
      </c>
      <c r="M15" s="202"/>
      <c r="N15" s="242"/>
    </row>
    <row r="16" spans="1:14" s="108" customFormat="1" x14ac:dyDescent="0.25">
      <c r="A16" s="86"/>
      <c r="B16" s="131"/>
      <c r="C16" s="130"/>
      <c r="D16" s="128"/>
      <c r="E16" s="131"/>
      <c r="F16" s="254"/>
      <c r="G16" s="139"/>
    </row>
    <row r="17" spans="1:14" s="108" customFormat="1" ht="15.75" thickBot="1" x14ac:dyDescent="0.3">
      <c r="A17" s="86"/>
      <c r="B17" s="359" t="s">
        <v>11028</v>
      </c>
      <c r="C17" s="130"/>
      <c r="D17" s="128"/>
      <c r="E17" s="131"/>
      <c r="F17" s="254"/>
      <c r="G17" s="139"/>
    </row>
    <row r="18" spans="1:14" s="108" customFormat="1" x14ac:dyDescent="0.25">
      <c r="A18" s="86"/>
      <c r="B18" s="131"/>
      <c r="C18" s="361" t="s">
        <v>10860</v>
      </c>
      <c r="D18" s="362" t="s">
        <v>2</v>
      </c>
      <c r="E18" s="363" t="s">
        <v>10861</v>
      </c>
      <c r="F18" s="364" t="s">
        <v>11016</v>
      </c>
      <c r="G18" s="368" t="s">
        <v>11017</v>
      </c>
      <c r="H18" s="368" t="s">
        <v>11368</v>
      </c>
      <c r="I18" s="368" t="s">
        <v>11369</v>
      </c>
      <c r="J18" s="368" t="s">
        <v>11370</v>
      </c>
      <c r="K18" s="368" t="s">
        <v>11371</v>
      </c>
      <c r="L18" s="365" t="s">
        <v>3</v>
      </c>
      <c r="M18" s="366" t="s">
        <v>10865</v>
      </c>
    </row>
    <row r="19" spans="1:14" s="108" customFormat="1" ht="75" x14ac:dyDescent="0.25">
      <c r="A19" s="264" t="s">
        <v>11018</v>
      </c>
      <c r="B19" s="131"/>
      <c r="C19" s="395" t="s">
        <v>8</v>
      </c>
      <c r="D19" s="33" t="s">
        <v>12</v>
      </c>
      <c r="E19" s="131" t="s">
        <v>11019</v>
      </c>
      <c r="F19" s="440"/>
      <c r="G19" s="440"/>
      <c r="H19" s="440"/>
      <c r="I19" s="440"/>
      <c r="J19" s="440"/>
      <c r="K19" s="440"/>
      <c r="L19" s="9" t="s">
        <v>11176</v>
      </c>
      <c r="M19" s="319" t="s">
        <v>50</v>
      </c>
    </row>
    <row r="20" spans="1:14" s="108" customFormat="1" ht="120" x14ac:dyDescent="0.25">
      <c r="A20" s="86" t="s">
        <v>11030</v>
      </c>
      <c r="B20" s="131"/>
      <c r="C20" s="386" t="s">
        <v>11029</v>
      </c>
      <c r="D20" s="97" t="s">
        <v>10988</v>
      </c>
      <c r="E20" s="268" t="s">
        <v>151</v>
      </c>
      <c r="F20" s="475"/>
      <c r="G20" s="475"/>
      <c r="H20" s="475"/>
      <c r="I20" s="475"/>
      <c r="J20" s="475"/>
      <c r="K20" s="475"/>
      <c r="L20" s="265" t="s">
        <v>11178</v>
      </c>
      <c r="M20" s="180" t="s">
        <v>152</v>
      </c>
    </row>
    <row r="21" spans="1:14" s="108" customFormat="1" ht="60" x14ac:dyDescent="0.25">
      <c r="A21" s="86" t="s">
        <v>11035</v>
      </c>
      <c r="B21" s="131"/>
      <c r="C21" s="386" t="s">
        <v>11022</v>
      </c>
      <c r="D21" s="97" t="s">
        <v>12</v>
      </c>
      <c r="E21" s="157" t="s">
        <v>147</v>
      </c>
      <c r="F21" s="204"/>
      <c r="G21" s="204"/>
      <c r="H21" s="204"/>
      <c r="I21" s="204"/>
      <c r="J21" s="204"/>
      <c r="K21" s="204"/>
      <c r="L21" s="99" t="s">
        <v>148</v>
      </c>
      <c r="M21" s="180" t="s">
        <v>149</v>
      </c>
    </row>
    <row r="22" spans="1:14" s="108" customFormat="1" ht="30" x14ac:dyDescent="0.25">
      <c r="A22" s="60" t="s">
        <v>359</v>
      </c>
      <c r="B22" s="131"/>
      <c r="C22" s="386" t="s">
        <v>11024</v>
      </c>
      <c r="D22" s="97" t="s">
        <v>12</v>
      </c>
      <c r="E22" s="157" t="s">
        <v>11052</v>
      </c>
      <c r="F22" s="204"/>
      <c r="G22" s="204"/>
      <c r="H22" s="204"/>
      <c r="I22" s="204"/>
      <c r="J22" s="204"/>
      <c r="K22" s="204"/>
      <c r="L22" s="99">
        <v>10</v>
      </c>
      <c r="M22" s="180" t="s">
        <v>149</v>
      </c>
    </row>
    <row r="23" spans="1:14" s="108" customFormat="1" x14ac:dyDescent="0.25">
      <c r="A23" s="264" t="s">
        <v>11037</v>
      </c>
      <c r="B23" s="131"/>
      <c r="C23" s="386" t="s">
        <v>11025</v>
      </c>
      <c r="D23" s="97" t="s">
        <v>10988</v>
      </c>
      <c r="E23" s="157" t="s">
        <v>11050</v>
      </c>
      <c r="F23" s="470"/>
      <c r="G23" s="470"/>
      <c r="H23" s="470"/>
      <c r="I23" s="470"/>
      <c r="J23" s="470"/>
      <c r="K23" s="470"/>
      <c r="L23" s="271">
        <v>50</v>
      </c>
      <c r="M23" s="266"/>
    </row>
    <row r="24" spans="1:14" s="108" customFormat="1" ht="30" x14ac:dyDescent="0.25">
      <c r="A24" s="60" t="s">
        <v>11038</v>
      </c>
      <c r="B24" s="131"/>
      <c r="C24" s="396" t="s">
        <v>39</v>
      </c>
      <c r="D24" s="97" t="s">
        <v>15</v>
      </c>
      <c r="E24" s="157" t="s">
        <v>153</v>
      </c>
      <c r="F24" s="462"/>
      <c r="G24" s="462"/>
      <c r="H24" s="462"/>
      <c r="I24" s="462"/>
      <c r="J24" s="462"/>
      <c r="K24" s="462"/>
      <c r="L24" s="267" t="s">
        <v>10915</v>
      </c>
      <c r="M24" s="180" t="s">
        <v>154</v>
      </c>
    </row>
    <row r="25" spans="1:14" s="108" customFormat="1" ht="30" x14ac:dyDescent="0.25">
      <c r="A25" s="60" t="s">
        <v>11039</v>
      </c>
      <c r="B25" s="131"/>
      <c r="C25" s="386" t="s">
        <v>41</v>
      </c>
      <c r="D25" s="97" t="s">
        <v>10988</v>
      </c>
      <c r="E25" s="157" t="s">
        <v>155</v>
      </c>
      <c r="F25" s="204"/>
      <c r="G25" s="204"/>
      <c r="H25" s="204"/>
      <c r="I25" s="204"/>
      <c r="J25" s="204"/>
      <c r="K25" s="204"/>
      <c r="L25" s="99" t="s">
        <v>441</v>
      </c>
      <c r="M25" s="180" t="s">
        <v>154</v>
      </c>
    </row>
    <row r="26" spans="1:14" s="108" customFormat="1" ht="45" x14ac:dyDescent="0.25">
      <c r="A26" s="60" t="s">
        <v>11040</v>
      </c>
      <c r="B26" s="131"/>
      <c r="C26" s="386" t="s">
        <v>0</v>
      </c>
      <c r="D26" s="97" t="s">
        <v>15</v>
      </c>
      <c r="E26" s="157" t="s">
        <v>11180</v>
      </c>
      <c r="F26" s="204"/>
      <c r="G26" s="464"/>
      <c r="H26" s="204"/>
      <c r="I26" s="203"/>
      <c r="J26" s="204"/>
      <c r="K26" s="431"/>
      <c r="L26" s="265" t="s">
        <v>11027</v>
      </c>
      <c r="M26" s="180" t="s">
        <v>154</v>
      </c>
    </row>
    <row r="27" spans="1:14" s="108" customFormat="1" ht="30" x14ac:dyDescent="0.25">
      <c r="A27" s="60" t="s">
        <v>11041</v>
      </c>
      <c r="B27" s="131"/>
      <c r="C27" s="386" t="s">
        <v>42</v>
      </c>
      <c r="D27" s="97" t="s">
        <v>10988</v>
      </c>
      <c r="E27" s="158" t="s">
        <v>212</v>
      </c>
      <c r="F27" s="447" t="s">
        <v>11028</v>
      </c>
      <c r="G27" s="463" t="s">
        <v>11028</v>
      </c>
      <c r="H27" s="447" t="s">
        <v>11028</v>
      </c>
      <c r="I27" s="463" t="s">
        <v>11028</v>
      </c>
      <c r="J27" s="447" t="s">
        <v>11028</v>
      </c>
      <c r="K27" s="463" t="s">
        <v>11028</v>
      </c>
      <c r="L27" s="101" t="s">
        <v>11028</v>
      </c>
      <c r="M27" s="180" t="s">
        <v>154</v>
      </c>
      <c r="N27" s="242"/>
    </row>
    <row r="28" spans="1:14" s="108" customFormat="1" ht="15.75" thickBot="1" x14ac:dyDescent="0.3">
      <c r="A28" s="60" t="s">
        <v>11042</v>
      </c>
      <c r="B28" s="131"/>
      <c r="C28" s="397" t="s">
        <v>43</v>
      </c>
      <c r="D28" s="193" t="s">
        <v>10988</v>
      </c>
      <c r="E28" s="200" t="s">
        <v>157</v>
      </c>
      <c r="F28" s="448" t="s">
        <v>365</v>
      </c>
      <c r="G28" s="596" t="s">
        <v>365</v>
      </c>
      <c r="H28" s="448" t="s">
        <v>365</v>
      </c>
      <c r="I28" s="596" t="s">
        <v>365</v>
      </c>
      <c r="J28" s="448" t="s">
        <v>365</v>
      </c>
      <c r="K28" s="596" t="s">
        <v>365</v>
      </c>
      <c r="L28" s="199" t="s">
        <v>365</v>
      </c>
      <c r="M28" s="202"/>
      <c r="N28" s="242"/>
    </row>
    <row r="29" spans="1:14" s="108" customFormat="1" ht="21" x14ac:dyDescent="0.35">
      <c r="A29" s="86"/>
      <c r="B29" s="124"/>
      <c r="C29" s="130"/>
      <c r="D29" s="128"/>
      <c r="E29" s="131"/>
      <c r="F29" s="254"/>
      <c r="G29" s="139"/>
    </row>
    <row r="30" spans="1:14" s="108" customFormat="1" ht="15.75" thickBot="1" x14ac:dyDescent="0.3">
      <c r="A30" s="86"/>
      <c r="B30" s="359" t="s">
        <v>11031</v>
      </c>
      <c r="C30" s="130"/>
      <c r="D30" s="270"/>
      <c r="E30" s="131"/>
      <c r="F30" s="264"/>
      <c r="G30" s="139"/>
    </row>
    <row r="31" spans="1:14" s="108" customFormat="1" ht="18.75" customHeight="1" x14ac:dyDescent="0.35">
      <c r="A31" s="86"/>
      <c r="B31" s="124"/>
      <c r="C31" s="361" t="s">
        <v>10860</v>
      </c>
      <c r="D31" s="362" t="s">
        <v>2</v>
      </c>
      <c r="E31" s="363" t="s">
        <v>10861</v>
      </c>
      <c r="F31" s="364" t="s">
        <v>11016</v>
      </c>
      <c r="G31" s="368" t="s">
        <v>11017</v>
      </c>
      <c r="H31" s="368" t="s">
        <v>11368</v>
      </c>
      <c r="I31" s="368" t="s">
        <v>11369</v>
      </c>
      <c r="J31" s="368" t="s">
        <v>11370</v>
      </c>
      <c r="K31" s="368" t="s">
        <v>11371</v>
      </c>
      <c r="L31" s="365" t="s">
        <v>3</v>
      </c>
      <c r="M31" s="366" t="s">
        <v>10865</v>
      </c>
    </row>
    <row r="32" spans="1:14" s="108" customFormat="1" ht="75" x14ac:dyDescent="0.35">
      <c r="A32" s="264" t="s">
        <v>11018</v>
      </c>
      <c r="B32" s="124"/>
      <c r="C32" s="395" t="s">
        <v>8</v>
      </c>
      <c r="D32" s="33" t="s">
        <v>12</v>
      </c>
      <c r="E32" s="131" t="s">
        <v>11019</v>
      </c>
      <c r="F32" s="440"/>
      <c r="G32" s="440"/>
      <c r="H32" s="440"/>
      <c r="I32" s="440"/>
      <c r="J32" s="440"/>
      <c r="K32" s="440"/>
      <c r="L32" s="9" t="s">
        <v>11176</v>
      </c>
      <c r="M32" s="319" t="s">
        <v>50</v>
      </c>
    </row>
    <row r="33" spans="1:13" s="108" customFormat="1" ht="75" x14ac:dyDescent="0.35">
      <c r="A33" s="86" t="s">
        <v>11033</v>
      </c>
      <c r="B33" s="124"/>
      <c r="C33" s="386" t="s">
        <v>11029</v>
      </c>
      <c r="D33" s="97" t="s">
        <v>10988</v>
      </c>
      <c r="E33" s="268" t="s">
        <v>151</v>
      </c>
      <c r="F33" s="475"/>
      <c r="G33" s="475"/>
      <c r="H33" s="475"/>
      <c r="I33" s="475"/>
      <c r="J33" s="475"/>
      <c r="K33" s="475"/>
      <c r="L33" s="265" t="s">
        <v>11179</v>
      </c>
      <c r="M33" s="180" t="s">
        <v>152</v>
      </c>
    </row>
    <row r="34" spans="1:13" s="108" customFormat="1" ht="60" x14ac:dyDescent="0.25">
      <c r="A34" s="86" t="s">
        <v>11043</v>
      </c>
      <c r="B34" s="131"/>
      <c r="C34" s="386" t="s">
        <v>11022</v>
      </c>
      <c r="D34" s="97" t="s">
        <v>12</v>
      </c>
      <c r="E34" s="157" t="s">
        <v>11174</v>
      </c>
      <c r="F34" s="204"/>
      <c r="G34" s="204"/>
      <c r="H34" s="204"/>
      <c r="I34" s="204"/>
      <c r="J34" s="204"/>
      <c r="K34" s="204"/>
      <c r="L34" s="99" t="s">
        <v>148</v>
      </c>
      <c r="M34" s="180" t="s">
        <v>149</v>
      </c>
    </row>
    <row r="35" spans="1:13" s="108" customFormat="1" ht="30" x14ac:dyDescent="0.25">
      <c r="A35" s="60" t="s">
        <v>360</v>
      </c>
      <c r="B35" s="131"/>
      <c r="C35" s="386" t="s">
        <v>11024</v>
      </c>
      <c r="D35" s="97" t="s">
        <v>12</v>
      </c>
      <c r="E35" s="157" t="s">
        <v>11051</v>
      </c>
      <c r="F35" s="204"/>
      <c r="G35" s="204"/>
      <c r="H35" s="204"/>
      <c r="I35" s="204"/>
      <c r="J35" s="204"/>
      <c r="K35" s="204"/>
      <c r="L35" s="99">
        <v>10</v>
      </c>
      <c r="M35" s="180" t="s">
        <v>149</v>
      </c>
    </row>
    <row r="36" spans="1:13" s="108" customFormat="1" x14ac:dyDescent="0.25">
      <c r="A36" s="264" t="s">
        <v>11044</v>
      </c>
      <c r="B36" s="131"/>
      <c r="C36" s="386" t="s">
        <v>11025</v>
      </c>
      <c r="D36" s="97" t="s">
        <v>10988</v>
      </c>
      <c r="E36" s="157" t="s">
        <v>11050</v>
      </c>
      <c r="F36" s="470"/>
      <c r="G36" s="470"/>
      <c r="H36" s="470"/>
      <c r="I36" s="470"/>
      <c r="J36" s="470"/>
      <c r="K36" s="470"/>
      <c r="L36" s="271">
        <v>50</v>
      </c>
      <c r="M36" s="266"/>
    </row>
    <row r="37" spans="1:13" s="108" customFormat="1" ht="30" x14ac:dyDescent="0.35">
      <c r="A37" s="86" t="s">
        <v>11047</v>
      </c>
      <c r="B37" s="124"/>
      <c r="C37" s="386" t="s">
        <v>11045</v>
      </c>
      <c r="D37" s="97" t="s">
        <v>12</v>
      </c>
      <c r="E37" s="158" t="s">
        <v>11049</v>
      </c>
      <c r="F37" s="204"/>
      <c r="G37" s="204"/>
      <c r="H37" s="204"/>
      <c r="I37" s="204"/>
      <c r="J37" s="204"/>
      <c r="K37" s="204"/>
      <c r="L37" s="320" t="s">
        <v>11181</v>
      </c>
      <c r="M37" s="180"/>
    </row>
    <row r="38" spans="1:13" s="108" customFormat="1" ht="21.75" thickBot="1" x14ac:dyDescent="0.4">
      <c r="A38" s="264" t="s">
        <v>11048</v>
      </c>
      <c r="B38" s="124"/>
      <c r="C38" s="392" t="s">
        <v>11046</v>
      </c>
      <c r="D38" s="170" t="s">
        <v>12</v>
      </c>
      <c r="E38" s="183" t="s">
        <v>11053</v>
      </c>
      <c r="F38" s="172"/>
      <c r="G38" s="172"/>
      <c r="H38" s="172"/>
      <c r="I38" s="172"/>
      <c r="J38" s="172"/>
      <c r="K38" s="172"/>
      <c r="L38" s="273" t="s">
        <v>11058</v>
      </c>
      <c r="M38" s="272"/>
    </row>
    <row r="39" spans="1:13" s="108" customFormat="1" ht="21" x14ac:dyDescent="0.35">
      <c r="A39" s="86"/>
      <c r="B39" s="124"/>
      <c r="C39" s="140"/>
      <c r="D39" s="128"/>
      <c r="E39" s="131"/>
      <c r="F39" s="256"/>
      <c r="G39" s="139"/>
      <c r="H39" s="256"/>
      <c r="I39" s="139"/>
    </row>
    <row r="40" spans="1:13" s="108" customFormat="1" ht="15.75" thickBot="1" x14ac:dyDescent="0.3">
      <c r="A40" s="86"/>
      <c r="B40" s="359" t="s">
        <v>11081</v>
      </c>
      <c r="C40" s="130"/>
      <c r="E40" s="131"/>
      <c r="F40" s="254"/>
      <c r="G40" s="139"/>
    </row>
    <row r="41" spans="1:13" s="108" customFormat="1" x14ac:dyDescent="0.25">
      <c r="A41" s="86"/>
      <c r="B41" s="131"/>
      <c r="C41" s="361" t="s">
        <v>10860</v>
      </c>
      <c r="D41" s="362" t="s">
        <v>2</v>
      </c>
      <c r="E41" s="363" t="s">
        <v>10861</v>
      </c>
      <c r="F41" s="364" t="s">
        <v>11016</v>
      </c>
      <c r="G41" s="368" t="s">
        <v>11017</v>
      </c>
      <c r="H41" s="365" t="s">
        <v>3</v>
      </c>
      <c r="I41" s="366" t="s">
        <v>10865</v>
      </c>
    </row>
    <row r="42" spans="1:13" s="108" customFormat="1" ht="75" x14ac:dyDescent="0.25">
      <c r="A42" s="264" t="s">
        <v>11018</v>
      </c>
      <c r="B42" s="131"/>
      <c r="C42" s="395" t="s">
        <v>11063</v>
      </c>
      <c r="D42" s="33" t="s">
        <v>12</v>
      </c>
      <c r="E42" s="131" t="s">
        <v>11019</v>
      </c>
      <c r="F42" s="419"/>
      <c r="G42" s="196"/>
      <c r="H42" s="9" t="s">
        <v>11176</v>
      </c>
      <c r="I42" s="319" t="s">
        <v>50</v>
      </c>
    </row>
    <row r="43" spans="1:13" s="108" customFormat="1" ht="135" x14ac:dyDescent="0.25">
      <c r="A43" s="86" t="s">
        <v>11062</v>
      </c>
      <c r="B43" s="131"/>
      <c r="C43" s="386" t="s">
        <v>11020</v>
      </c>
      <c r="D43" s="97" t="s">
        <v>10988</v>
      </c>
      <c r="E43" s="268" t="s">
        <v>151</v>
      </c>
      <c r="F43" s="204"/>
      <c r="G43" s="204"/>
      <c r="H43" s="265" t="s">
        <v>11178</v>
      </c>
      <c r="I43" s="180" t="s">
        <v>152</v>
      </c>
    </row>
    <row r="44" spans="1:13" s="108" customFormat="1" ht="60" x14ac:dyDescent="0.25">
      <c r="A44" s="264" t="s">
        <v>11064</v>
      </c>
      <c r="B44" s="131"/>
      <c r="C44" s="386" t="s">
        <v>11065</v>
      </c>
      <c r="D44" s="97" t="s">
        <v>12</v>
      </c>
      <c r="E44" s="157" t="s">
        <v>11175</v>
      </c>
      <c r="F44" s="204"/>
      <c r="G44" s="204"/>
      <c r="H44" s="101" t="s">
        <v>11103</v>
      </c>
      <c r="I44" s="180" t="s">
        <v>149</v>
      </c>
    </row>
    <row r="45" spans="1:13" s="108" customFormat="1" ht="30" x14ac:dyDescent="0.25">
      <c r="A45" s="60" t="s">
        <v>11074</v>
      </c>
      <c r="B45" s="131"/>
      <c r="C45" s="386" t="s">
        <v>11066</v>
      </c>
      <c r="D45" s="97" t="s">
        <v>12</v>
      </c>
      <c r="E45" s="157" t="s">
        <v>11080</v>
      </c>
      <c r="F45" s="204"/>
      <c r="G45" s="204"/>
      <c r="H45" s="99" t="s">
        <v>11067</v>
      </c>
      <c r="I45" s="180" t="s">
        <v>149</v>
      </c>
    </row>
    <row r="46" spans="1:13" s="108" customFormat="1" x14ac:dyDescent="0.25">
      <c r="A46" s="264" t="s">
        <v>11075</v>
      </c>
      <c r="B46" s="131"/>
      <c r="C46" s="386" t="s">
        <v>11025</v>
      </c>
      <c r="D46" s="97" t="s">
        <v>10988</v>
      </c>
      <c r="E46" s="157" t="s">
        <v>11050</v>
      </c>
      <c r="F46" s="470"/>
      <c r="G46" s="470"/>
      <c r="H46" s="271">
        <v>50</v>
      </c>
      <c r="I46" s="266"/>
    </row>
    <row r="47" spans="1:13" s="108" customFormat="1" ht="30" x14ac:dyDescent="0.25">
      <c r="A47" s="60" t="s">
        <v>11068</v>
      </c>
      <c r="B47" s="131"/>
      <c r="C47" s="396" t="s">
        <v>11073</v>
      </c>
      <c r="D47" s="97" t="s">
        <v>15</v>
      </c>
      <c r="E47" s="157" t="s">
        <v>153</v>
      </c>
      <c r="F47" s="462"/>
      <c r="G47" s="462"/>
      <c r="H47" s="267" t="s">
        <v>10915</v>
      </c>
      <c r="I47" s="180" t="s">
        <v>154</v>
      </c>
    </row>
    <row r="48" spans="1:13" s="108" customFormat="1" ht="30" x14ac:dyDescent="0.25">
      <c r="A48" s="60" t="s">
        <v>11069</v>
      </c>
      <c r="B48" s="131"/>
      <c r="C48" s="386" t="s">
        <v>41</v>
      </c>
      <c r="D48" s="97" t="s">
        <v>10988</v>
      </c>
      <c r="E48" s="157" t="s">
        <v>155</v>
      </c>
      <c r="F48" s="204"/>
      <c r="G48" s="204"/>
      <c r="H48" s="99" t="s">
        <v>441</v>
      </c>
      <c r="I48" s="180" t="s">
        <v>154</v>
      </c>
    </row>
    <row r="49" spans="1:10" s="108" customFormat="1" ht="45" x14ac:dyDescent="0.25">
      <c r="A49" s="60" t="s">
        <v>11070</v>
      </c>
      <c r="B49" s="131"/>
      <c r="C49" s="386" t="s">
        <v>0</v>
      </c>
      <c r="D49" s="97" t="s">
        <v>15</v>
      </c>
      <c r="E49" s="157" t="s">
        <v>11180</v>
      </c>
      <c r="F49" s="204"/>
      <c r="G49" s="204"/>
      <c r="H49" s="265" t="s">
        <v>11027</v>
      </c>
      <c r="I49" s="180" t="s">
        <v>154</v>
      </c>
    </row>
    <row r="50" spans="1:10" s="108" customFormat="1" ht="30" x14ac:dyDescent="0.25">
      <c r="A50" s="60" t="s">
        <v>11071</v>
      </c>
      <c r="B50" s="131"/>
      <c r="C50" s="386" t="s">
        <v>42</v>
      </c>
      <c r="D50" s="97" t="s">
        <v>10988</v>
      </c>
      <c r="E50" s="158" t="s">
        <v>212</v>
      </c>
      <c r="F50" s="447" t="s">
        <v>11082</v>
      </c>
      <c r="G50" s="447" t="s">
        <v>11082</v>
      </c>
      <c r="H50" s="101" t="s">
        <v>11082</v>
      </c>
      <c r="I50" s="180" t="s">
        <v>154</v>
      </c>
      <c r="J50" s="242"/>
    </row>
    <row r="51" spans="1:10" s="108" customFormat="1" ht="15.75" thickBot="1" x14ac:dyDescent="0.3">
      <c r="A51" s="60" t="s">
        <v>11072</v>
      </c>
      <c r="B51" s="131"/>
      <c r="C51" s="397" t="s">
        <v>43</v>
      </c>
      <c r="D51" s="193" t="s">
        <v>10988</v>
      </c>
      <c r="E51" s="200" t="s">
        <v>157</v>
      </c>
      <c r="F51" s="448" t="s">
        <v>365</v>
      </c>
      <c r="G51" s="596" t="s">
        <v>365</v>
      </c>
      <c r="H51" s="199" t="s">
        <v>365</v>
      </c>
      <c r="I51" s="202"/>
      <c r="J51" s="242"/>
    </row>
    <row r="52" spans="1:10" s="108" customFormat="1" x14ac:dyDescent="0.25">
      <c r="A52" s="86"/>
      <c r="C52" s="130"/>
      <c r="E52" s="131"/>
      <c r="F52" s="256"/>
      <c r="G52" s="139"/>
    </row>
    <row r="53" spans="1:10" s="108" customFormat="1" ht="15.75" thickBot="1" x14ac:dyDescent="0.3">
      <c r="A53" s="86"/>
      <c r="B53" s="359" t="s">
        <v>11032</v>
      </c>
      <c r="C53" s="130"/>
      <c r="E53" s="131"/>
      <c r="F53" s="256"/>
      <c r="G53" s="139"/>
    </row>
    <row r="54" spans="1:10" s="108" customFormat="1" x14ac:dyDescent="0.25">
      <c r="A54" s="86"/>
      <c r="B54" s="131"/>
      <c r="C54" s="361" t="s">
        <v>10860</v>
      </c>
      <c r="D54" s="362" t="s">
        <v>2</v>
      </c>
      <c r="E54" s="363" t="s">
        <v>10861</v>
      </c>
      <c r="F54" s="364" t="s">
        <v>11016</v>
      </c>
      <c r="G54" s="368" t="s">
        <v>11017</v>
      </c>
      <c r="H54" s="365" t="s">
        <v>3</v>
      </c>
      <c r="I54" s="366" t="s">
        <v>10865</v>
      </c>
    </row>
    <row r="55" spans="1:10" s="108" customFormat="1" ht="75" x14ac:dyDescent="0.25">
      <c r="A55" s="264" t="s">
        <v>11018</v>
      </c>
      <c r="B55" s="131"/>
      <c r="C55" s="395" t="s">
        <v>8</v>
      </c>
      <c r="D55" s="33" t="s">
        <v>12</v>
      </c>
      <c r="E55" s="131" t="s">
        <v>11019</v>
      </c>
      <c r="F55" s="211"/>
      <c r="G55" s="211"/>
      <c r="H55" s="9" t="s">
        <v>11176</v>
      </c>
      <c r="I55" s="319" t="s">
        <v>50</v>
      </c>
    </row>
    <row r="56" spans="1:10" s="108" customFormat="1" ht="135" x14ac:dyDescent="0.25">
      <c r="A56" s="86" t="s">
        <v>11076</v>
      </c>
      <c r="B56" s="131"/>
      <c r="C56" s="386" t="s">
        <v>11020</v>
      </c>
      <c r="D56" s="97" t="s">
        <v>10988</v>
      </c>
      <c r="E56" s="268" t="s">
        <v>151</v>
      </c>
      <c r="F56" s="204"/>
      <c r="G56" s="204"/>
      <c r="H56" s="265" t="s">
        <v>11178</v>
      </c>
      <c r="I56" s="180" t="s">
        <v>152</v>
      </c>
    </row>
    <row r="57" spans="1:10" s="108" customFormat="1" ht="60" x14ac:dyDescent="0.25">
      <c r="A57" s="264" t="s">
        <v>11077</v>
      </c>
      <c r="B57" s="131"/>
      <c r="C57" s="386" t="s">
        <v>11022</v>
      </c>
      <c r="D57" s="97" t="s">
        <v>12</v>
      </c>
      <c r="E57" s="157" t="s">
        <v>147</v>
      </c>
      <c r="F57" s="204"/>
      <c r="G57" s="204"/>
      <c r="H57" s="101" t="s">
        <v>11103</v>
      </c>
      <c r="I57" s="180" t="s">
        <v>149</v>
      </c>
    </row>
    <row r="58" spans="1:10" s="108" customFormat="1" ht="30" x14ac:dyDescent="0.25">
      <c r="A58" s="60" t="s">
        <v>11078</v>
      </c>
      <c r="B58" s="131"/>
      <c r="C58" s="386" t="s">
        <v>11024</v>
      </c>
      <c r="D58" s="97" t="s">
        <v>12</v>
      </c>
      <c r="E58" s="157" t="s">
        <v>11051</v>
      </c>
      <c r="F58" s="204"/>
      <c r="G58" s="204"/>
      <c r="H58" s="99" t="s">
        <v>11067</v>
      </c>
      <c r="I58" s="180" t="s">
        <v>149</v>
      </c>
    </row>
    <row r="59" spans="1:10" s="108" customFormat="1" x14ac:dyDescent="0.25">
      <c r="A59" s="264" t="s">
        <v>11079</v>
      </c>
      <c r="B59" s="131"/>
      <c r="C59" s="386" t="s">
        <v>11025</v>
      </c>
      <c r="D59" s="97" t="s">
        <v>10988</v>
      </c>
      <c r="E59" s="157" t="s">
        <v>11050</v>
      </c>
      <c r="F59" s="470"/>
      <c r="G59" s="470"/>
      <c r="H59" s="271">
        <v>50</v>
      </c>
      <c r="I59" s="266"/>
    </row>
    <row r="60" spans="1:10" s="108" customFormat="1" ht="30" x14ac:dyDescent="0.25">
      <c r="A60" s="60" t="s">
        <v>10910</v>
      </c>
      <c r="B60" s="131"/>
      <c r="C60" s="396" t="s">
        <v>11083</v>
      </c>
      <c r="D60" s="97" t="s">
        <v>15</v>
      </c>
      <c r="E60" s="157" t="s">
        <v>153</v>
      </c>
      <c r="F60" s="462"/>
      <c r="G60" s="462"/>
      <c r="H60" s="267" t="s">
        <v>10915</v>
      </c>
      <c r="I60" s="180" t="s">
        <v>154</v>
      </c>
    </row>
    <row r="61" spans="1:10" s="108" customFormat="1" ht="30" x14ac:dyDescent="0.25">
      <c r="A61" s="60" t="s">
        <v>10911</v>
      </c>
      <c r="B61" s="131"/>
      <c r="C61" s="386" t="s">
        <v>41</v>
      </c>
      <c r="D61" s="97" t="s">
        <v>10988</v>
      </c>
      <c r="E61" s="157" t="s">
        <v>155</v>
      </c>
      <c r="F61" s="204"/>
      <c r="G61" s="204"/>
      <c r="H61" s="99" t="s">
        <v>434</v>
      </c>
      <c r="I61" s="180" t="s">
        <v>154</v>
      </c>
    </row>
    <row r="62" spans="1:10" s="108" customFormat="1" ht="45" x14ac:dyDescent="0.25">
      <c r="A62" s="60" t="s">
        <v>10912</v>
      </c>
      <c r="B62" s="131"/>
      <c r="C62" s="386" t="s">
        <v>0</v>
      </c>
      <c r="D62" s="97" t="s">
        <v>15</v>
      </c>
      <c r="E62" s="157" t="s">
        <v>11180</v>
      </c>
      <c r="F62" s="204"/>
      <c r="G62" s="204"/>
      <c r="H62" s="265" t="s">
        <v>11027</v>
      </c>
      <c r="I62" s="180" t="s">
        <v>154</v>
      </c>
    </row>
    <row r="63" spans="1:10" s="93" customFormat="1" ht="38.25" customHeight="1" x14ac:dyDescent="0.25">
      <c r="A63" s="60" t="s">
        <v>10913</v>
      </c>
      <c r="B63" s="131"/>
      <c r="C63" s="386" t="s">
        <v>42</v>
      </c>
      <c r="D63" s="97" t="s">
        <v>10988</v>
      </c>
      <c r="E63" s="158" t="s">
        <v>212</v>
      </c>
      <c r="F63" s="447" t="s">
        <v>11032</v>
      </c>
      <c r="G63" s="447" t="s">
        <v>11032</v>
      </c>
      <c r="H63" s="101" t="s">
        <v>11032</v>
      </c>
      <c r="I63" s="180" t="s">
        <v>154</v>
      </c>
      <c r="J63" s="242"/>
    </row>
    <row r="64" spans="1:10" s="93" customFormat="1" ht="38.25" customHeight="1" x14ac:dyDescent="0.25">
      <c r="A64" s="60" t="s">
        <v>10914</v>
      </c>
      <c r="B64" s="131"/>
      <c r="C64" s="386" t="s">
        <v>43</v>
      </c>
      <c r="D64" s="97" t="s">
        <v>10988</v>
      </c>
      <c r="E64" s="157" t="s">
        <v>157</v>
      </c>
      <c r="F64" s="447" t="s">
        <v>365</v>
      </c>
      <c r="G64" s="463" t="s">
        <v>365</v>
      </c>
      <c r="H64" s="99" t="s">
        <v>365</v>
      </c>
      <c r="I64" s="266"/>
      <c r="J64" s="242"/>
    </row>
    <row r="65" spans="1:17" ht="75.75" thickBot="1" x14ac:dyDescent="0.3">
      <c r="A65" s="261" t="s">
        <v>11084</v>
      </c>
      <c r="B65" s="131"/>
      <c r="C65" s="398" t="s">
        <v>11214</v>
      </c>
      <c r="D65" s="170" t="s">
        <v>10988</v>
      </c>
      <c r="E65" s="336" t="s">
        <v>11213</v>
      </c>
      <c r="F65" s="172"/>
      <c r="G65" s="172"/>
      <c r="H65" s="337" t="s">
        <v>16</v>
      </c>
      <c r="I65" s="198"/>
      <c r="J65" s="242"/>
      <c r="K65" s="81"/>
      <c r="L65" s="81"/>
      <c r="M65" s="81"/>
      <c r="N65" s="81"/>
      <c r="O65" s="81"/>
      <c r="P65" s="81"/>
      <c r="Q65" s="81"/>
    </row>
    <row r="66" spans="1:17" s="81" customFormat="1" ht="31.5" customHeight="1" x14ac:dyDescent="0.25">
      <c r="B66" s="141"/>
      <c r="C66" s="133"/>
      <c r="D66" s="134"/>
      <c r="E66" s="135"/>
      <c r="F66" s="137"/>
      <c r="G66" s="132"/>
      <c r="H66" s="136"/>
      <c r="I66" s="121"/>
    </row>
    <row r="67" spans="1:17" s="81" customFormat="1" ht="18.75" x14ac:dyDescent="0.3">
      <c r="B67" s="358" t="s">
        <v>11014</v>
      </c>
      <c r="C67" s="130"/>
      <c r="D67" s="128"/>
      <c r="E67" s="131"/>
      <c r="F67" s="439"/>
      <c r="G67" s="439"/>
      <c r="H67" s="27"/>
      <c r="I67" s="108"/>
    </row>
    <row r="68" spans="1:17" s="81" customFormat="1" ht="15.75" thickBot="1" x14ac:dyDescent="0.3">
      <c r="B68" s="357" t="s">
        <v>11085</v>
      </c>
      <c r="C68" s="130"/>
      <c r="D68" s="128"/>
      <c r="E68" s="131"/>
      <c r="F68" s="439"/>
      <c r="G68" s="439"/>
      <c r="H68" s="27"/>
      <c r="I68" s="108"/>
    </row>
    <row r="69" spans="1:17" x14ac:dyDescent="0.25">
      <c r="C69" s="361" t="s">
        <v>10860</v>
      </c>
      <c r="D69" s="362" t="s">
        <v>2</v>
      </c>
      <c r="E69" s="363" t="s">
        <v>10861</v>
      </c>
      <c r="F69" s="364" t="s">
        <v>11016</v>
      </c>
      <c r="G69" s="368" t="s">
        <v>11017</v>
      </c>
      <c r="H69" s="365" t="s">
        <v>3</v>
      </c>
      <c r="I69" s="366" t="s">
        <v>10865</v>
      </c>
      <c r="J69" s="81"/>
      <c r="K69" s="81"/>
      <c r="L69" s="81"/>
      <c r="M69" s="81"/>
      <c r="N69" s="81"/>
      <c r="O69" s="81"/>
      <c r="P69" s="81"/>
      <c r="Q69" s="81"/>
    </row>
    <row r="70" spans="1:17" ht="30" x14ac:dyDescent="0.25">
      <c r="A70" s="60" t="s">
        <v>10900</v>
      </c>
      <c r="C70" s="399" t="s">
        <v>39</v>
      </c>
      <c r="D70" s="110" t="s">
        <v>15</v>
      </c>
      <c r="E70" s="111" t="s">
        <v>11086</v>
      </c>
      <c r="F70" s="471"/>
      <c r="G70" s="472"/>
      <c r="H70" s="321" t="s">
        <v>11183</v>
      </c>
      <c r="I70" s="201" t="s">
        <v>154</v>
      </c>
      <c r="J70" s="81"/>
      <c r="K70" s="81"/>
      <c r="L70" s="81"/>
      <c r="M70" s="81"/>
      <c r="N70" s="81"/>
      <c r="O70" s="81"/>
      <c r="P70" s="81"/>
      <c r="Q70" s="81"/>
    </row>
    <row r="71" spans="1:17" ht="30" x14ac:dyDescent="0.25">
      <c r="A71" s="60" t="s">
        <v>10901</v>
      </c>
      <c r="C71" s="386" t="s">
        <v>41</v>
      </c>
      <c r="D71" s="97" t="s">
        <v>10988</v>
      </c>
      <c r="E71" s="98" t="s">
        <v>155</v>
      </c>
      <c r="F71" s="203"/>
      <c r="G71" s="204"/>
      <c r="H71" s="99" t="s">
        <v>443</v>
      </c>
      <c r="I71" s="180" t="s">
        <v>154</v>
      </c>
      <c r="J71" s="81"/>
      <c r="K71" s="81"/>
      <c r="L71" s="81"/>
      <c r="M71" s="81"/>
      <c r="N71" s="81"/>
      <c r="O71" s="81"/>
      <c r="P71" s="81"/>
      <c r="Q71" s="81"/>
    </row>
    <row r="72" spans="1:17" ht="30" x14ac:dyDescent="0.25">
      <c r="A72" s="60" t="s">
        <v>10902</v>
      </c>
      <c r="C72" s="400" t="s">
        <v>0</v>
      </c>
      <c r="D72" s="95" t="s">
        <v>15</v>
      </c>
      <c r="E72" s="96" t="s">
        <v>156</v>
      </c>
      <c r="F72" s="420"/>
      <c r="G72" s="420"/>
      <c r="H72" s="101" t="s">
        <v>11182</v>
      </c>
      <c r="I72" s="180" t="s">
        <v>154</v>
      </c>
      <c r="J72" s="81"/>
      <c r="K72" s="81"/>
      <c r="L72" s="81"/>
      <c r="M72" s="81"/>
      <c r="N72" s="81"/>
      <c r="O72" s="81"/>
      <c r="P72" s="81"/>
      <c r="Q72" s="81"/>
    </row>
    <row r="73" spans="1:17" ht="105" x14ac:dyDescent="0.25">
      <c r="A73" s="60" t="s">
        <v>10903</v>
      </c>
      <c r="C73" s="386" t="s">
        <v>42</v>
      </c>
      <c r="D73" s="97" t="s">
        <v>10988</v>
      </c>
      <c r="E73" s="107" t="s">
        <v>364</v>
      </c>
      <c r="F73" s="204"/>
      <c r="G73" s="204"/>
      <c r="H73" s="101" t="s">
        <v>11184</v>
      </c>
      <c r="I73" s="180" t="s">
        <v>154</v>
      </c>
      <c r="J73" s="81"/>
      <c r="K73" s="81"/>
      <c r="L73" s="81"/>
      <c r="M73" s="81"/>
      <c r="N73" s="81"/>
      <c r="O73" s="81"/>
      <c r="P73" s="81"/>
      <c r="Q73" s="81"/>
    </row>
    <row r="74" spans="1:17" s="81" customFormat="1" x14ac:dyDescent="0.25">
      <c r="A74" s="60" t="s">
        <v>10904</v>
      </c>
      <c r="C74" s="386" t="s">
        <v>43</v>
      </c>
      <c r="D74" s="97" t="s">
        <v>10988</v>
      </c>
      <c r="E74" s="98" t="s">
        <v>157</v>
      </c>
      <c r="F74" s="203"/>
      <c r="G74" s="204"/>
      <c r="H74" s="99" t="s">
        <v>452</v>
      </c>
      <c r="I74" s="266"/>
    </row>
    <row r="75" spans="1:17" s="81" customFormat="1" ht="75.75" thickBot="1" x14ac:dyDescent="0.3">
      <c r="A75" s="261" t="s">
        <v>11084</v>
      </c>
      <c r="B75" s="131"/>
      <c r="C75" s="398" t="s">
        <v>11095</v>
      </c>
      <c r="D75" s="170" t="s">
        <v>10988</v>
      </c>
      <c r="E75" s="336" t="s">
        <v>11215</v>
      </c>
      <c r="F75" s="172"/>
      <c r="G75" s="172"/>
      <c r="H75" s="337" t="s">
        <v>16</v>
      </c>
      <c r="I75" s="198"/>
    </row>
    <row r="76" spans="1:17" s="252" customFormat="1" ht="18" customHeight="1" x14ac:dyDescent="0.25">
      <c r="A76" s="261"/>
      <c r="B76" s="131"/>
      <c r="C76" s="274"/>
      <c r="D76" s="275"/>
      <c r="E76" s="276"/>
      <c r="F76" s="439"/>
      <c r="G76" s="439"/>
      <c r="H76" s="277"/>
      <c r="I76" s="108"/>
    </row>
    <row r="77" spans="1:17" s="81" customFormat="1" ht="15.75" thickBot="1" x14ac:dyDescent="0.3">
      <c r="B77" s="357" t="s">
        <v>11188</v>
      </c>
      <c r="C77" s="57"/>
    </row>
    <row r="78" spans="1:17" s="81" customFormat="1" x14ac:dyDescent="0.25">
      <c r="B78" s="141"/>
      <c r="C78" s="361" t="s">
        <v>10860</v>
      </c>
      <c r="D78" s="362" t="s">
        <v>2</v>
      </c>
      <c r="E78" s="363" t="s">
        <v>10861</v>
      </c>
      <c r="F78" s="364" t="s">
        <v>11016</v>
      </c>
      <c r="G78" s="368" t="s">
        <v>11017</v>
      </c>
      <c r="H78" s="365" t="s">
        <v>3</v>
      </c>
      <c r="I78" s="366" t="s">
        <v>10865</v>
      </c>
    </row>
    <row r="79" spans="1:17" s="81" customFormat="1" ht="45" x14ac:dyDescent="0.25">
      <c r="A79" s="60" t="s">
        <v>10910</v>
      </c>
      <c r="B79" s="141"/>
      <c r="C79" s="399" t="s">
        <v>39</v>
      </c>
      <c r="D79" s="110" t="s">
        <v>15</v>
      </c>
      <c r="E79" s="111" t="s">
        <v>11086</v>
      </c>
      <c r="F79" s="471"/>
      <c r="G79" s="472"/>
      <c r="H79" s="321" t="s">
        <v>11186</v>
      </c>
      <c r="I79" s="201" t="s">
        <v>154</v>
      </c>
    </row>
    <row r="80" spans="1:17" s="81" customFormat="1" ht="30" x14ac:dyDescent="0.25">
      <c r="A80" s="60" t="s">
        <v>10911</v>
      </c>
      <c r="B80" s="141"/>
      <c r="C80" s="386" t="s">
        <v>41</v>
      </c>
      <c r="D80" s="97" t="s">
        <v>10988</v>
      </c>
      <c r="E80" s="98" t="s">
        <v>155</v>
      </c>
      <c r="F80" s="203"/>
      <c r="G80" s="204"/>
      <c r="H80" s="99" t="s">
        <v>437</v>
      </c>
      <c r="I80" s="180" t="s">
        <v>154</v>
      </c>
    </row>
    <row r="81" spans="1:17" ht="30" x14ac:dyDescent="0.25">
      <c r="A81" s="60" t="s">
        <v>10912</v>
      </c>
      <c r="C81" s="400" t="s">
        <v>0</v>
      </c>
      <c r="D81" s="95" t="s">
        <v>15</v>
      </c>
      <c r="E81" s="96" t="s">
        <v>156</v>
      </c>
      <c r="F81" s="420"/>
      <c r="G81" s="420"/>
      <c r="H81" s="101" t="s">
        <v>11185</v>
      </c>
      <c r="I81" s="180" t="s">
        <v>154</v>
      </c>
      <c r="J81" s="81"/>
      <c r="K81" s="81"/>
      <c r="L81" s="81"/>
      <c r="M81" s="81"/>
      <c r="N81" s="81"/>
      <c r="O81" s="81"/>
      <c r="P81" s="81"/>
      <c r="Q81" s="81"/>
    </row>
    <row r="82" spans="1:17" ht="90" x14ac:dyDescent="0.25">
      <c r="A82" s="60" t="s">
        <v>10913</v>
      </c>
      <c r="C82" s="386" t="s">
        <v>42</v>
      </c>
      <c r="D82" s="97" t="s">
        <v>10988</v>
      </c>
      <c r="E82" s="107" t="s">
        <v>364</v>
      </c>
      <c r="F82" s="204"/>
      <c r="G82" s="204"/>
      <c r="H82" s="101" t="s">
        <v>11187</v>
      </c>
      <c r="I82" s="180" t="s">
        <v>154</v>
      </c>
      <c r="J82" s="81"/>
      <c r="Q82" s="81"/>
    </row>
    <row r="83" spans="1:17" s="252" customFormat="1" x14ac:dyDescent="0.25">
      <c r="A83" s="60" t="s">
        <v>10914</v>
      </c>
      <c r="B83" s="141"/>
      <c r="C83" s="386" t="s">
        <v>43</v>
      </c>
      <c r="D83" s="97" t="s">
        <v>10988</v>
      </c>
      <c r="E83" s="98" t="s">
        <v>157</v>
      </c>
      <c r="F83" s="203"/>
      <c r="G83" s="204"/>
      <c r="H83" s="99" t="s">
        <v>451</v>
      </c>
      <c r="I83" s="266"/>
    </row>
    <row r="84" spans="1:17" s="252" customFormat="1" ht="75.75" thickBot="1" x14ac:dyDescent="0.3">
      <c r="A84" s="261" t="s">
        <v>11084</v>
      </c>
      <c r="B84" s="131"/>
      <c r="C84" s="398" t="s">
        <v>11214</v>
      </c>
      <c r="D84" s="338" t="s">
        <v>10988</v>
      </c>
      <c r="E84" s="336" t="s">
        <v>11213</v>
      </c>
      <c r="F84" s="172"/>
      <c r="G84" s="172"/>
      <c r="H84" s="337" t="s">
        <v>16</v>
      </c>
      <c r="I84" s="198"/>
    </row>
    <row r="85" spans="1:17" s="252" customFormat="1" x14ac:dyDescent="0.25">
      <c r="A85"/>
      <c r="C85" s="81"/>
      <c r="D85" s="81"/>
      <c r="E85" s="81"/>
      <c r="F85" s="81"/>
      <c r="G85" s="81"/>
      <c r="H85" s="81"/>
      <c r="I85" s="81"/>
    </row>
    <row r="86" spans="1:17" s="252" customFormat="1" ht="15.75" thickBot="1" x14ac:dyDescent="0.3">
      <c r="A86" s="81"/>
      <c r="B86" s="339" t="s">
        <v>11216</v>
      </c>
      <c r="C86" s="81"/>
      <c r="D86" s="81"/>
      <c r="E86" s="81"/>
      <c r="F86" s="81"/>
      <c r="G86" s="81"/>
      <c r="H86" s="81"/>
      <c r="I86" s="81"/>
    </row>
    <row r="87" spans="1:17" s="252" customFormat="1" x14ac:dyDescent="0.25">
      <c r="B87" s="126"/>
      <c r="C87" s="253" t="s">
        <v>10860</v>
      </c>
      <c r="D87" s="176" t="s">
        <v>2</v>
      </c>
      <c r="E87" s="177" t="s">
        <v>10861</v>
      </c>
      <c r="F87" s="178" t="s">
        <v>11016</v>
      </c>
      <c r="G87" s="168" t="s">
        <v>11017</v>
      </c>
      <c r="H87" s="167" t="s">
        <v>3</v>
      </c>
      <c r="I87" s="169" t="s">
        <v>10865</v>
      </c>
    </row>
    <row r="88" spans="1:17" s="252" customFormat="1" x14ac:dyDescent="0.25">
      <c r="A88" s="261" t="s">
        <v>11084</v>
      </c>
      <c r="B88" s="126"/>
      <c r="C88" s="322" t="s">
        <v>10926</v>
      </c>
      <c r="D88" s="323" t="s">
        <v>10926</v>
      </c>
      <c r="E88" s="323" t="s">
        <v>10926</v>
      </c>
      <c r="F88" s="323" t="s">
        <v>10926</v>
      </c>
      <c r="G88" s="323" t="s">
        <v>10926</v>
      </c>
      <c r="H88" s="323" t="s">
        <v>10926</v>
      </c>
      <c r="I88" s="324" t="s">
        <v>10926</v>
      </c>
    </row>
    <row r="89" spans="1:17" s="252" customFormat="1" x14ac:dyDescent="0.25">
      <c r="A89" s="261" t="s">
        <v>11084</v>
      </c>
      <c r="B89" s="126"/>
      <c r="C89" s="322" t="s">
        <v>10926</v>
      </c>
      <c r="D89" s="323" t="s">
        <v>10926</v>
      </c>
      <c r="E89" s="323" t="s">
        <v>10926</v>
      </c>
      <c r="F89" s="323" t="s">
        <v>10926</v>
      </c>
      <c r="G89" s="323" t="s">
        <v>10926</v>
      </c>
      <c r="H89" s="323" t="s">
        <v>10926</v>
      </c>
      <c r="I89" s="324" t="s">
        <v>10926</v>
      </c>
    </row>
    <row r="90" spans="1:17" s="252" customFormat="1" ht="15.75" thickBot="1" x14ac:dyDescent="0.3">
      <c r="A90" s="261" t="s">
        <v>11084</v>
      </c>
      <c r="B90" s="126"/>
      <c r="C90" s="325" t="s">
        <v>10926</v>
      </c>
      <c r="D90" s="326" t="s">
        <v>10926</v>
      </c>
      <c r="E90" s="326" t="s">
        <v>10926</v>
      </c>
      <c r="F90" s="326" t="s">
        <v>10926</v>
      </c>
      <c r="G90" s="326" t="s">
        <v>10926</v>
      </c>
      <c r="H90" s="326" t="s">
        <v>10926</v>
      </c>
      <c r="I90" s="327" t="s">
        <v>10926</v>
      </c>
    </row>
    <row r="91" spans="1:17" s="252" customFormat="1" x14ac:dyDescent="0.25">
      <c r="B91" s="126"/>
    </row>
    <row r="92" spans="1:17" s="252" customFormat="1" x14ac:dyDescent="0.25">
      <c r="B92" s="126"/>
    </row>
    <row r="93" spans="1:17" s="252" customFormat="1" x14ac:dyDescent="0.25">
      <c r="B93" s="126"/>
    </row>
    <row r="94" spans="1:17" s="252" customFormat="1" x14ac:dyDescent="0.25">
      <c r="B94" s="126"/>
    </row>
    <row r="123" spans="10:15" ht="12.75" customHeight="1" x14ac:dyDescent="0.25">
      <c r="J123" s="81"/>
      <c r="K123" s="81"/>
      <c r="L123" s="81"/>
      <c r="M123" s="81"/>
      <c r="N123" s="81"/>
      <c r="O123" s="81"/>
    </row>
    <row r="124" spans="10:15" ht="12.75" customHeight="1" x14ac:dyDescent="0.25">
      <c r="J124" s="81"/>
      <c r="K124" s="81"/>
      <c r="L124" s="81"/>
      <c r="M124" s="81"/>
      <c r="N124" s="81"/>
      <c r="O124" s="81"/>
    </row>
    <row r="125" spans="10:15" ht="12.75" customHeight="1" x14ac:dyDescent="0.25">
      <c r="J125" s="81"/>
      <c r="K125" s="81"/>
      <c r="L125" s="81"/>
      <c r="M125" s="81"/>
      <c r="N125" s="81"/>
      <c r="O125" s="81"/>
    </row>
    <row r="126" spans="10:15" ht="12.75" customHeight="1" x14ac:dyDescent="0.25">
      <c r="J126" s="81"/>
      <c r="K126" s="81"/>
      <c r="L126" s="81"/>
      <c r="M126" s="81"/>
      <c r="N126" s="81"/>
      <c r="O126" s="81"/>
    </row>
    <row r="127" spans="10:15" ht="12.75" customHeight="1" x14ac:dyDescent="0.25">
      <c r="J127" s="81"/>
      <c r="K127" s="81"/>
      <c r="L127" s="81"/>
      <c r="M127" s="81"/>
      <c r="N127" s="81"/>
      <c r="O127" s="81"/>
    </row>
    <row r="128" spans="10:15" ht="12.75" customHeight="1" x14ac:dyDescent="0.25">
      <c r="J128" s="81"/>
      <c r="K128" s="81"/>
      <c r="L128" s="81"/>
      <c r="M128" s="81"/>
      <c r="N128" s="81"/>
      <c r="O128" s="81"/>
    </row>
    <row r="129" ht="12.75" customHeight="1" x14ac:dyDescent="0.25"/>
    <row r="130" ht="12.75" customHeight="1" x14ac:dyDescent="0.25"/>
  </sheetData>
  <sheetProtection password="D10F" sheet="1" objects="1" scenarios="1" selectLockedCells="1"/>
  <dataValidations count="7">
    <dataValidation type="list" allowBlank="1" showInputMessage="1" showErrorMessage="1" sqref="H66">
      <formula1>Contraintes_acces</formula1>
    </dataValidation>
    <dataValidation type="list" allowBlank="1" showInputMessage="1" showErrorMessage="1" sqref="F74:G74 F83:G83 F51:G51 F64:G64 F28:K28 F15:K15">
      <formula1>Fonction_ressource_en_ligne</formula1>
    </dataValidation>
    <dataValidation type="list" allowBlank="1" showInputMessage="1" showErrorMessage="1" sqref="F71:G71 F48:G48 F61:G61 F80:G80 F12:K12 F25:K25">
      <formula1>Protocol_distri</formula1>
    </dataValidation>
    <dataValidation type="list" allowBlank="1" showInputMessage="1" showErrorMessage="1" sqref="F55:G55 F42:G42 F6:K6 F19:K19 F32:K32">
      <formula1>Distributeurs</formula1>
    </dataValidation>
    <dataValidation type="list" allowBlank="1" showInputMessage="1" showErrorMessage="1" sqref="F57:G57 F44:G44">
      <formula1>Liste_DB</formula1>
    </dataValidation>
    <dataValidation type="list" allowBlank="1" showInputMessage="1" showErrorMessage="1" sqref="F8:K8 F21:K21 F34:K34">
      <formula1>Format_distri</formula1>
    </dataValidation>
    <dataValidation type="list" allowBlank="1" showInputMessage="1" showErrorMessage="1" sqref="F38:K38">
      <formula1>mediumNameCOde</formula1>
    </dataValidation>
  </dataValidations>
  <hyperlinks>
    <hyperlink ref="I70" r:id="rId1"/>
    <hyperlink ref="I71" r:id="rId2"/>
    <hyperlink ref="I72" r:id="rId3"/>
    <hyperlink ref="I73" r:id="rId4"/>
    <hyperlink ref="I79" r:id="rId5"/>
    <hyperlink ref="I80" r:id="rId6"/>
    <hyperlink ref="I81" r:id="rId7"/>
    <hyperlink ref="I82" r:id="rId8"/>
    <hyperlink ref="M7" r:id="rId9"/>
    <hyperlink ref="M6" r:id="rId10"/>
    <hyperlink ref="M8" r:id="rId11"/>
    <hyperlink ref="M9" r:id="rId12"/>
    <hyperlink ref="M11" r:id="rId13"/>
    <hyperlink ref="M12" r:id="rId14"/>
    <hyperlink ref="M13" r:id="rId15"/>
    <hyperlink ref="M14" r:id="rId16"/>
    <hyperlink ref="L11" r:id="rId17"/>
    <hyperlink ref="M20" r:id="rId18"/>
    <hyperlink ref="M19" r:id="rId19"/>
    <hyperlink ref="M21" r:id="rId20"/>
    <hyperlink ref="M22" r:id="rId21"/>
    <hyperlink ref="M24" r:id="rId22"/>
    <hyperlink ref="M25" r:id="rId23"/>
    <hyperlink ref="M26" r:id="rId24"/>
    <hyperlink ref="M27" r:id="rId25"/>
    <hyperlink ref="L24" r:id="rId26"/>
    <hyperlink ref="M33" r:id="rId27"/>
    <hyperlink ref="M32" r:id="rId28"/>
    <hyperlink ref="M34" r:id="rId29"/>
    <hyperlink ref="M35" r:id="rId30"/>
    <hyperlink ref="I43" r:id="rId31"/>
    <hyperlink ref="I42" r:id="rId32"/>
    <hyperlink ref="I44" r:id="rId33"/>
    <hyperlink ref="I45" r:id="rId34"/>
    <hyperlink ref="I47" r:id="rId35"/>
    <hyperlink ref="I48" r:id="rId36"/>
    <hyperlink ref="I49" r:id="rId37"/>
    <hyperlink ref="I50" r:id="rId38"/>
    <hyperlink ref="H47" r:id="rId39"/>
    <hyperlink ref="I56" r:id="rId40"/>
    <hyperlink ref="I55" r:id="rId41"/>
    <hyperlink ref="I57" r:id="rId42"/>
    <hyperlink ref="I58" r:id="rId43"/>
    <hyperlink ref="I60" r:id="rId44"/>
    <hyperlink ref="I61" r:id="rId45"/>
    <hyperlink ref="I62" r:id="rId46"/>
    <hyperlink ref="I63" r:id="rId47"/>
    <hyperlink ref="H60" r:id="rId48"/>
    <hyperlink ref="H70" r:id="rId49"/>
    <hyperlink ref="H79" r:id="rId50"/>
  </hyperlinks>
  <pageMargins left="0.7" right="0.7" top="0.75" bottom="0.75" header="0.3" footer="0.3"/>
  <pageSetup paperSize="9" orientation="portrait" r:id="rId51"/>
  <legacyDrawing r:id="rId5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rgb="FF92D050"/>
  </sheetPr>
  <dimension ref="A1:X35"/>
  <sheetViews>
    <sheetView showGridLines="0" topLeftCell="B1" workbookViewId="0">
      <selection activeCell="F8" sqref="F8"/>
    </sheetView>
  </sheetViews>
  <sheetFormatPr defaultColWidth="9.140625" defaultRowHeight="15" x14ac:dyDescent="0.25"/>
  <cols>
    <col min="1" max="1" width="14.140625" hidden="1" customWidth="1"/>
    <col min="2" max="2" width="4.7109375" customWidth="1"/>
    <col min="3" max="3" width="32.7109375" bestFit="1" customWidth="1"/>
    <col min="4" max="4" width="25.7109375" customWidth="1"/>
    <col min="5" max="5" width="40.7109375" customWidth="1"/>
    <col min="6" max="6" width="55.7109375" customWidth="1"/>
    <col min="7" max="7" width="65.7109375" customWidth="1"/>
    <col min="8" max="8" width="38.85546875" customWidth="1"/>
    <col min="9" max="9" width="58" bestFit="1" customWidth="1"/>
    <col min="10" max="10" width="27.42578125" bestFit="1" customWidth="1"/>
  </cols>
  <sheetData>
    <row r="1" spans="1:22" ht="21.75" thickBot="1" x14ac:dyDescent="0.4">
      <c r="A1" s="84"/>
      <c r="B1" s="356" t="s">
        <v>10923</v>
      </c>
    </row>
    <row r="2" spans="1:22" x14ac:dyDescent="0.25">
      <c r="A2" s="84"/>
      <c r="B2" s="141"/>
      <c r="C2" s="377" t="s">
        <v>10860</v>
      </c>
      <c r="D2" s="367" t="s">
        <v>2</v>
      </c>
      <c r="E2" s="362" t="s">
        <v>10861</v>
      </c>
      <c r="F2" s="378" t="s">
        <v>1</v>
      </c>
      <c r="G2" s="362" t="s">
        <v>3</v>
      </c>
      <c r="H2" s="375" t="s">
        <v>10865</v>
      </c>
    </row>
    <row r="3" spans="1:22" s="2" customFormat="1" ht="91.5" customHeight="1" x14ac:dyDescent="0.25">
      <c r="A3" s="86" t="s">
        <v>112</v>
      </c>
      <c r="B3" s="86"/>
      <c r="C3" s="401" t="s">
        <v>10924</v>
      </c>
      <c r="D3" s="97" t="s">
        <v>15</v>
      </c>
      <c r="E3" s="98" t="s">
        <v>10998</v>
      </c>
      <c r="F3" s="204"/>
      <c r="G3" s="99">
        <v>20000</v>
      </c>
      <c r="H3" s="161" t="s">
        <v>109</v>
      </c>
    </row>
    <row r="4" spans="1:22" s="2" customFormat="1" ht="90.75" thickBot="1" x14ac:dyDescent="0.3">
      <c r="A4" s="86" t="s">
        <v>113</v>
      </c>
      <c r="B4" s="86"/>
      <c r="C4" s="402" t="s">
        <v>111</v>
      </c>
      <c r="D4" s="193" t="s">
        <v>15</v>
      </c>
      <c r="E4" s="235" t="s">
        <v>10997</v>
      </c>
      <c r="F4" s="205"/>
      <c r="G4" s="199" t="s">
        <v>5542</v>
      </c>
      <c r="H4" s="237" t="s">
        <v>109</v>
      </c>
    </row>
    <row r="5" spans="1:22" s="2" customFormat="1" ht="14.25" customHeight="1" x14ac:dyDescent="0.25">
      <c r="A5" s="86"/>
      <c r="B5" s="86"/>
      <c r="C5" s="140"/>
      <c r="D5" s="128"/>
      <c r="E5" s="353"/>
      <c r="F5" s="438"/>
      <c r="G5" s="27"/>
      <c r="H5" s="139"/>
    </row>
    <row r="6" spans="1:22" s="2" customFormat="1" ht="24" customHeight="1" thickBot="1" x14ac:dyDescent="0.4">
      <c r="A6" s="86"/>
      <c r="B6" s="356" t="s">
        <v>10999</v>
      </c>
      <c r="C6" s="140"/>
      <c r="D6" s="128"/>
      <c r="E6" s="131"/>
      <c r="F6" s="438"/>
      <c r="G6" s="27"/>
      <c r="H6" s="139"/>
    </row>
    <row r="7" spans="1:22" s="144" customFormat="1" ht="15" customHeight="1" x14ac:dyDescent="0.35">
      <c r="A7" s="84"/>
      <c r="B7" s="124"/>
      <c r="C7" s="377" t="s">
        <v>10860</v>
      </c>
      <c r="D7" s="367" t="s">
        <v>2</v>
      </c>
      <c r="E7" s="362" t="s">
        <v>10861</v>
      </c>
      <c r="F7" s="378" t="s">
        <v>1</v>
      </c>
      <c r="G7" s="362" t="s">
        <v>3</v>
      </c>
      <c r="H7" s="375" t="s">
        <v>10865</v>
      </c>
    </row>
    <row r="8" spans="1:22" ht="408.95" customHeight="1" thickBot="1" x14ac:dyDescent="0.3">
      <c r="A8" s="60" t="s">
        <v>5550</v>
      </c>
      <c r="B8" s="60"/>
      <c r="C8" s="403" t="s">
        <v>201</v>
      </c>
      <c r="D8" s="170" t="s">
        <v>12</v>
      </c>
      <c r="E8" s="171" t="s">
        <v>204</v>
      </c>
      <c r="F8" s="172"/>
      <c r="G8" s="435" t="s">
        <v>11342</v>
      </c>
      <c r="H8" s="283" t="s">
        <v>203</v>
      </c>
    </row>
    <row r="9" spans="1:22" x14ac:dyDescent="0.25">
      <c r="B9" s="141"/>
    </row>
    <row r="10" spans="1:22" ht="21" x14ac:dyDescent="0.35">
      <c r="B10" s="356" t="s">
        <v>10881</v>
      </c>
      <c r="D10" s="49"/>
      <c r="O10" s="127"/>
      <c r="P10" s="127"/>
      <c r="Q10" s="127"/>
      <c r="R10" s="127"/>
      <c r="S10" s="127"/>
      <c r="T10" s="127"/>
      <c r="U10" s="127"/>
      <c r="V10" s="127"/>
    </row>
    <row r="11" spans="1:22" s="141" customFormat="1" ht="12.75" customHeight="1" x14ac:dyDescent="0.35">
      <c r="B11" s="124"/>
      <c r="D11" s="49"/>
    </row>
    <row r="12" spans="1:22" s="141" customFormat="1" ht="15.75" thickBot="1" x14ac:dyDescent="0.3">
      <c r="B12" s="339" t="s">
        <v>11217</v>
      </c>
      <c r="D12" s="49"/>
    </row>
    <row r="13" spans="1:22" x14ac:dyDescent="0.25">
      <c r="B13" s="141"/>
      <c r="C13" s="569" t="s">
        <v>10860</v>
      </c>
      <c r="D13" s="570"/>
      <c r="E13" s="174" t="s">
        <v>2</v>
      </c>
      <c r="F13" s="174" t="s">
        <v>10861</v>
      </c>
      <c r="G13" s="257" t="s">
        <v>1</v>
      </c>
      <c r="H13" s="174" t="s">
        <v>3</v>
      </c>
      <c r="I13" s="258" t="s">
        <v>10865</v>
      </c>
      <c r="O13" s="127"/>
      <c r="P13" s="127"/>
      <c r="Q13" s="127"/>
      <c r="R13" s="127"/>
      <c r="S13" s="127"/>
      <c r="T13" s="127"/>
      <c r="U13" s="127"/>
      <c r="V13" s="127"/>
    </row>
    <row r="14" spans="1:22" ht="15.75" customHeight="1" x14ac:dyDescent="0.25">
      <c r="B14" s="141"/>
      <c r="C14" s="571" t="s">
        <v>10917</v>
      </c>
      <c r="D14" s="572"/>
      <c r="E14" s="154" t="s">
        <v>10989</v>
      </c>
      <c r="F14" s="259" t="s">
        <v>10926</v>
      </c>
      <c r="G14" s="259" t="s">
        <v>10926</v>
      </c>
      <c r="H14" s="259" t="s">
        <v>10926</v>
      </c>
      <c r="I14" s="260" t="s">
        <v>10926</v>
      </c>
      <c r="O14" s="127"/>
      <c r="P14" s="127"/>
      <c r="Q14" s="127"/>
      <c r="R14" s="127"/>
      <c r="S14" s="127"/>
      <c r="T14" s="127"/>
      <c r="U14" s="127"/>
      <c r="V14" s="127"/>
    </row>
    <row r="15" spans="1:22" x14ac:dyDescent="0.25">
      <c r="B15" s="141"/>
      <c r="C15" s="573" t="s">
        <v>10918</v>
      </c>
      <c r="D15" s="574"/>
      <c r="E15" s="106" t="s">
        <v>10989</v>
      </c>
      <c r="F15" s="242" t="s">
        <v>10926</v>
      </c>
      <c r="G15" s="242" t="s">
        <v>10926</v>
      </c>
      <c r="H15" s="242" t="s">
        <v>10926</v>
      </c>
      <c r="I15" s="240" t="s">
        <v>10926</v>
      </c>
      <c r="O15" s="127"/>
      <c r="P15" s="127"/>
      <c r="Q15" s="127"/>
      <c r="R15" s="127"/>
      <c r="S15" s="127"/>
      <c r="T15" s="127"/>
      <c r="U15" s="127"/>
      <c r="V15" s="127"/>
    </row>
    <row r="16" spans="1:22" x14ac:dyDescent="0.25">
      <c r="B16" s="141"/>
      <c r="C16" s="575" t="s">
        <v>10919</v>
      </c>
      <c r="D16" s="576"/>
      <c r="E16" s="106" t="s">
        <v>10989</v>
      </c>
      <c r="F16" s="242" t="s">
        <v>10926</v>
      </c>
      <c r="G16" s="242" t="s">
        <v>10926</v>
      </c>
      <c r="H16" s="242" t="s">
        <v>10926</v>
      </c>
      <c r="I16" s="240" t="s">
        <v>10926</v>
      </c>
      <c r="O16" s="127"/>
      <c r="P16" s="127"/>
      <c r="Q16" s="127"/>
      <c r="R16" s="127"/>
      <c r="S16" s="127"/>
      <c r="T16" s="127"/>
      <c r="U16" s="127"/>
      <c r="V16" s="127"/>
    </row>
    <row r="17" spans="2:9" s="127" customFormat="1" ht="15.75" thickBot="1" x14ac:dyDescent="0.3">
      <c r="B17" s="141"/>
      <c r="C17" s="577" t="s">
        <v>10920</v>
      </c>
      <c r="D17" s="578"/>
      <c r="E17" s="175" t="s">
        <v>10989</v>
      </c>
      <c r="F17" s="243" t="s">
        <v>10926</v>
      </c>
      <c r="G17" s="243" t="s">
        <v>10926</v>
      </c>
      <c r="H17" s="243" t="s">
        <v>10926</v>
      </c>
      <c r="I17" s="239" t="s">
        <v>10926</v>
      </c>
    </row>
    <row r="18" spans="2:9" s="141" customFormat="1" x14ac:dyDescent="0.25">
      <c r="D18" s="21"/>
      <c r="E18" s="143"/>
    </row>
    <row r="35" spans="2:24" x14ac:dyDescent="0.25">
      <c r="B35" s="141"/>
      <c r="C35" s="127"/>
      <c r="O35" s="127"/>
      <c r="P35" s="127"/>
      <c r="Q35" s="127"/>
      <c r="R35" s="127"/>
      <c r="S35" s="127"/>
      <c r="T35" s="127"/>
      <c r="U35" s="127"/>
      <c r="V35" s="127"/>
      <c r="W35" s="127"/>
      <c r="X35" s="127"/>
    </row>
  </sheetData>
  <sheetProtection password="D10F" sheet="1" objects="1" scenarios="1" selectLockedCells="1"/>
  <mergeCells count="5">
    <mergeCell ref="C13:D13"/>
    <mergeCell ref="C14:D14"/>
    <mergeCell ref="C15:D15"/>
    <mergeCell ref="C16:D16"/>
    <mergeCell ref="C17:D17"/>
  </mergeCells>
  <hyperlinks>
    <hyperlink ref="H3" r:id="rId1"/>
    <hyperlink ref="H4" r:id="rId2"/>
    <hyperlink ref="H8" r:id="rId3"/>
  </hyperlinks>
  <pageMargins left="0.7" right="0.7" top="0.75" bottom="0.75" header="0.3" footer="0.3"/>
  <pageSetup paperSize="9" orientation="portrait"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rgb="FF92D050"/>
  </sheetPr>
  <dimension ref="A1:H50"/>
  <sheetViews>
    <sheetView showGridLines="0" topLeftCell="B1" workbookViewId="0">
      <selection activeCell="E2" sqref="E2"/>
    </sheetView>
  </sheetViews>
  <sheetFormatPr defaultColWidth="9.140625" defaultRowHeight="15" x14ac:dyDescent="0.25"/>
  <cols>
    <col min="1" max="1" width="6.5703125" hidden="1" customWidth="1"/>
    <col min="2" max="2" width="7.5703125" style="141" customWidth="1"/>
    <col min="3" max="3" width="47.5703125" customWidth="1"/>
    <col min="4" max="4" width="42.42578125" customWidth="1"/>
    <col min="5" max="5" width="62.5703125" customWidth="1"/>
    <col min="6" max="6" width="30.28515625" customWidth="1"/>
    <col min="7" max="7" width="17.140625" customWidth="1"/>
    <col min="8" max="8" width="37.85546875" customWidth="1"/>
  </cols>
  <sheetData>
    <row r="1" spans="1:8" s="141" customFormat="1" ht="21.75" thickBot="1" x14ac:dyDescent="0.4">
      <c r="B1" s="356" t="s">
        <v>5761</v>
      </c>
    </row>
    <row r="2" spans="1:8" s="141" customFormat="1" ht="45.75" customHeight="1" thickBot="1" x14ac:dyDescent="0.3">
      <c r="C2" s="579" t="s">
        <v>11094</v>
      </c>
      <c r="D2" s="580"/>
      <c r="E2" s="421"/>
      <c r="F2" s="121"/>
    </row>
    <row r="3" spans="1:8" s="252" customFormat="1" ht="7.5" customHeight="1" x14ac:dyDescent="0.25">
      <c r="C3" s="145"/>
      <c r="D3" s="152"/>
      <c r="F3" s="49"/>
    </row>
    <row r="4" spans="1:8" s="252" customFormat="1" ht="46.5" customHeight="1" x14ac:dyDescent="0.25">
      <c r="C4" s="581" t="s">
        <v>11366</v>
      </c>
      <c r="D4" s="581"/>
      <c r="F4" s="278"/>
    </row>
    <row r="5" spans="1:8" s="246" customFormat="1" ht="15.75" thickBot="1" x14ac:dyDescent="0.3">
      <c r="C5" s="145"/>
      <c r="D5" s="152"/>
    </row>
    <row r="6" spans="1:8" s="246" customFormat="1" x14ac:dyDescent="0.25">
      <c r="A6" s="1" t="s">
        <v>10916</v>
      </c>
      <c r="B6" s="1"/>
      <c r="C6" s="383" t="s">
        <v>10860</v>
      </c>
      <c r="D6" s="362" t="s">
        <v>2</v>
      </c>
      <c r="E6" s="365" t="s">
        <v>10861</v>
      </c>
      <c r="F6" s="364" t="s">
        <v>1</v>
      </c>
      <c r="G6" s="365" t="s">
        <v>3</v>
      </c>
      <c r="H6" s="379" t="s">
        <v>10865</v>
      </c>
    </row>
    <row r="7" spans="1:8" s="246" customFormat="1" ht="75.75" thickBot="1" x14ac:dyDescent="0.3">
      <c r="A7" s="58" t="s">
        <v>5551</v>
      </c>
      <c r="B7" s="60"/>
      <c r="C7" s="404" t="s">
        <v>11010</v>
      </c>
      <c r="D7" s="170" t="s">
        <v>11011</v>
      </c>
      <c r="E7" s="255" t="s">
        <v>11189</v>
      </c>
      <c r="F7" s="224"/>
      <c r="G7" s="284" t="s">
        <v>5554</v>
      </c>
      <c r="H7" s="285" t="s">
        <v>92</v>
      </c>
    </row>
    <row r="8" spans="1:8" s="246" customFormat="1" x14ac:dyDescent="0.25">
      <c r="C8" s="145"/>
      <c r="D8" s="152"/>
    </row>
    <row r="9" spans="1:8" x14ac:dyDescent="0.25">
      <c r="C9" s="126" t="s">
        <v>11000</v>
      </c>
      <c r="E9" s="252"/>
      <c r="F9" s="252"/>
      <c r="G9" s="252"/>
    </row>
    <row r="10" spans="1:8" ht="15.75" thickBot="1" x14ac:dyDescent="0.3"/>
    <row r="11" spans="1:8" s="141" customFormat="1" x14ac:dyDescent="0.25">
      <c r="C11" s="361" t="s">
        <v>380</v>
      </c>
      <c r="D11" s="365" t="s">
        <v>11001</v>
      </c>
      <c r="E11" s="366" t="s">
        <v>11012</v>
      </c>
    </row>
    <row r="12" spans="1:8" s="241" customFormat="1" x14ac:dyDescent="0.25">
      <c r="C12" s="380" t="s">
        <v>11002</v>
      </c>
      <c r="D12" s="381"/>
      <c r="E12" s="382"/>
    </row>
    <row r="13" spans="1:8" x14ac:dyDescent="0.25">
      <c r="A13" s="1" t="s">
        <v>10950</v>
      </c>
      <c r="B13" s="1"/>
      <c r="C13" s="328" t="s">
        <v>214</v>
      </c>
      <c r="D13" s="422"/>
      <c r="E13" s="423"/>
    </row>
    <row r="14" spans="1:8" x14ac:dyDescent="0.25">
      <c r="A14" s="1" t="s">
        <v>10951</v>
      </c>
      <c r="B14" s="1"/>
      <c r="C14" s="186" t="s">
        <v>220</v>
      </c>
      <c r="D14" s="424"/>
      <c r="E14" s="425"/>
    </row>
    <row r="15" spans="1:8" x14ac:dyDescent="0.25">
      <c r="A15" s="1" t="s">
        <v>10952</v>
      </c>
      <c r="B15" s="1"/>
      <c r="C15" s="163" t="s">
        <v>223</v>
      </c>
      <c r="D15" s="424"/>
      <c r="E15" s="425"/>
    </row>
    <row r="16" spans="1:8" x14ac:dyDescent="0.25">
      <c r="A16" s="1" t="s">
        <v>10953</v>
      </c>
      <c r="B16" s="1"/>
      <c r="C16" s="186" t="s">
        <v>229</v>
      </c>
      <c r="D16" s="424"/>
      <c r="E16" s="425"/>
    </row>
    <row r="17" spans="1:5" x14ac:dyDescent="0.25">
      <c r="A17" s="1" t="s">
        <v>10954</v>
      </c>
      <c r="B17" s="1"/>
      <c r="C17" s="186" t="s">
        <v>230</v>
      </c>
      <c r="D17" s="424"/>
      <c r="E17" s="425"/>
    </row>
    <row r="18" spans="1:5" x14ac:dyDescent="0.25">
      <c r="A18" s="1" t="s">
        <v>10955</v>
      </c>
      <c r="B18" s="1"/>
      <c r="C18" s="186" t="s">
        <v>235</v>
      </c>
      <c r="D18" s="424"/>
      <c r="E18" s="425"/>
    </row>
    <row r="19" spans="1:5" x14ac:dyDescent="0.25">
      <c r="A19" s="1" t="s">
        <v>10956</v>
      </c>
      <c r="B19" s="1"/>
      <c r="C19" s="186" t="s">
        <v>239</v>
      </c>
      <c r="D19" s="424"/>
      <c r="E19" s="425"/>
    </row>
    <row r="20" spans="1:5" x14ac:dyDescent="0.25">
      <c r="A20" s="1" t="s">
        <v>10957</v>
      </c>
      <c r="B20" s="1"/>
      <c r="C20" s="186" t="s">
        <v>241</v>
      </c>
      <c r="D20" s="424"/>
      <c r="E20" s="425"/>
    </row>
    <row r="21" spans="1:5" x14ac:dyDescent="0.25">
      <c r="A21" s="1" t="s">
        <v>10958</v>
      </c>
      <c r="B21" s="1"/>
      <c r="C21" s="186" t="s">
        <v>242</v>
      </c>
      <c r="D21" s="426"/>
      <c r="E21" s="427"/>
    </row>
    <row r="22" spans="1:5" s="241" customFormat="1" x14ac:dyDescent="0.25">
      <c r="A22" s="1"/>
      <c r="B22" s="1"/>
      <c r="C22" s="380" t="s">
        <v>11003</v>
      </c>
      <c r="D22" s="381"/>
      <c r="E22" s="382"/>
    </row>
    <row r="23" spans="1:5" x14ac:dyDescent="0.25">
      <c r="A23" s="1" t="s">
        <v>10959</v>
      </c>
      <c r="B23" s="1"/>
      <c r="C23" s="328" t="s">
        <v>215</v>
      </c>
      <c r="D23" s="422"/>
      <c r="E23" s="423"/>
    </row>
    <row r="24" spans="1:5" x14ac:dyDescent="0.25">
      <c r="A24" s="1" t="s">
        <v>10960</v>
      </c>
      <c r="B24" s="1"/>
      <c r="C24" s="186" t="s">
        <v>221</v>
      </c>
      <c r="D24" s="424"/>
      <c r="E24" s="425"/>
    </row>
    <row r="25" spans="1:5" x14ac:dyDescent="0.25">
      <c r="A25" s="1" t="s">
        <v>10961</v>
      </c>
      <c r="B25" s="1"/>
      <c r="C25" s="163" t="s">
        <v>227</v>
      </c>
      <c r="D25" s="424"/>
      <c r="E25" s="425"/>
    </row>
    <row r="26" spans="1:5" x14ac:dyDescent="0.25">
      <c r="A26" s="1" t="s">
        <v>10962</v>
      </c>
      <c r="B26" s="1"/>
      <c r="C26" s="186" t="s">
        <v>228</v>
      </c>
      <c r="D26" s="424"/>
      <c r="E26" s="425"/>
    </row>
    <row r="27" spans="1:5" s="241" customFormat="1" x14ac:dyDescent="0.25">
      <c r="A27" s="1"/>
      <c r="B27" s="1"/>
      <c r="C27" s="380" t="s">
        <v>11004</v>
      </c>
      <c r="D27" s="381"/>
      <c r="E27" s="382"/>
    </row>
    <row r="28" spans="1:5" x14ac:dyDescent="0.25">
      <c r="A28" s="1" t="s">
        <v>10963</v>
      </c>
      <c r="B28" s="1"/>
      <c r="C28" s="186" t="s">
        <v>216</v>
      </c>
      <c r="D28" s="422"/>
      <c r="E28" s="423"/>
    </row>
    <row r="29" spans="1:5" x14ac:dyDescent="0.25">
      <c r="A29" s="1" t="s">
        <v>10964</v>
      </c>
      <c r="B29" s="1"/>
      <c r="C29" s="186" t="s">
        <v>217</v>
      </c>
      <c r="D29" s="422"/>
      <c r="E29" s="423"/>
    </row>
    <row r="30" spans="1:5" x14ac:dyDescent="0.25">
      <c r="A30" s="1" t="s">
        <v>10965</v>
      </c>
      <c r="B30" s="1"/>
      <c r="C30" s="186" t="s">
        <v>218</v>
      </c>
      <c r="D30" s="422"/>
      <c r="E30" s="423"/>
    </row>
    <row r="31" spans="1:5" x14ac:dyDescent="0.25">
      <c r="A31" s="1" t="s">
        <v>10966</v>
      </c>
      <c r="B31" s="1"/>
      <c r="C31" s="186" t="s">
        <v>219</v>
      </c>
      <c r="D31" s="422"/>
      <c r="E31" s="423"/>
    </row>
    <row r="32" spans="1:5" x14ac:dyDescent="0.25">
      <c r="A32" s="1" t="s">
        <v>10967</v>
      </c>
      <c r="B32" s="1"/>
      <c r="C32" s="186" t="s">
        <v>222</v>
      </c>
      <c r="D32" s="422"/>
      <c r="E32" s="423"/>
    </row>
    <row r="33" spans="1:5" x14ac:dyDescent="0.25">
      <c r="A33" s="1" t="s">
        <v>10968</v>
      </c>
      <c r="B33" s="1"/>
      <c r="C33" s="186" t="s">
        <v>224</v>
      </c>
      <c r="D33" s="422"/>
      <c r="E33" s="423"/>
    </row>
    <row r="34" spans="1:5" x14ac:dyDescent="0.25">
      <c r="A34" s="1" t="s">
        <v>10969</v>
      </c>
      <c r="B34" s="1"/>
      <c r="C34" s="186" t="s">
        <v>225</v>
      </c>
      <c r="D34" s="422"/>
      <c r="E34" s="423"/>
    </row>
    <row r="35" spans="1:5" x14ac:dyDescent="0.25">
      <c r="A35" s="1" t="s">
        <v>10970</v>
      </c>
      <c r="B35" s="1"/>
      <c r="C35" s="186" t="s">
        <v>226</v>
      </c>
      <c r="D35" s="422"/>
      <c r="E35" s="423"/>
    </row>
    <row r="36" spans="1:5" x14ac:dyDescent="0.25">
      <c r="A36" s="1" t="s">
        <v>10971</v>
      </c>
      <c r="B36" s="1"/>
      <c r="C36" s="186" t="s">
        <v>231</v>
      </c>
      <c r="D36" s="422"/>
      <c r="E36" s="423"/>
    </row>
    <row r="37" spans="1:5" x14ac:dyDescent="0.25">
      <c r="A37" s="1" t="s">
        <v>10972</v>
      </c>
      <c r="B37" s="1"/>
      <c r="C37" s="186" t="s">
        <v>232</v>
      </c>
      <c r="D37" s="422"/>
      <c r="E37" s="423"/>
    </row>
    <row r="38" spans="1:5" x14ac:dyDescent="0.25">
      <c r="A38" s="1" t="s">
        <v>10973</v>
      </c>
      <c r="B38" s="1"/>
      <c r="C38" s="186" t="s">
        <v>233</v>
      </c>
      <c r="D38" s="422"/>
      <c r="E38" s="423"/>
    </row>
    <row r="39" spans="1:5" x14ac:dyDescent="0.25">
      <c r="A39" s="1" t="s">
        <v>10974</v>
      </c>
      <c r="B39" s="1"/>
      <c r="C39" s="186" t="s">
        <v>234</v>
      </c>
      <c r="D39" s="422"/>
      <c r="E39" s="423"/>
    </row>
    <row r="40" spans="1:5" x14ac:dyDescent="0.25">
      <c r="A40" s="1" t="s">
        <v>10975</v>
      </c>
      <c r="B40" s="1"/>
      <c r="C40" s="186" t="s">
        <v>236</v>
      </c>
      <c r="D40" s="422"/>
      <c r="E40" s="423"/>
    </row>
    <row r="41" spans="1:5" x14ac:dyDescent="0.25">
      <c r="A41" s="1" t="s">
        <v>10976</v>
      </c>
      <c r="B41" s="1"/>
      <c r="C41" s="186" t="s">
        <v>237</v>
      </c>
      <c r="D41" s="422"/>
      <c r="E41" s="423"/>
    </row>
    <row r="42" spans="1:5" x14ac:dyDescent="0.25">
      <c r="A42" s="1" t="s">
        <v>10977</v>
      </c>
      <c r="B42" s="1"/>
      <c r="C42" s="186" t="s">
        <v>238</v>
      </c>
      <c r="D42" s="422"/>
      <c r="E42" s="423"/>
    </row>
    <row r="43" spans="1:5" x14ac:dyDescent="0.25">
      <c r="A43" s="1" t="s">
        <v>10978</v>
      </c>
      <c r="B43" s="1"/>
      <c r="C43" s="186" t="s">
        <v>91</v>
      </c>
      <c r="D43" s="422"/>
      <c r="E43" s="423"/>
    </row>
    <row r="44" spans="1:5" x14ac:dyDescent="0.25">
      <c r="A44" s="1" t="s">
        <v>10979</v>
      </c>
      <c r="B44" s="1"/>
      <c r="C44" s="186" t="s">
        <v>240</v>
      </c>
      <c r="D44" s="422"/>
      <c r="E44" s="423"/>
    </row>
    <row r="45" spans="1:5" x14ac:dyDescent="0.25">
      <c r="A45" s="1" t="s">
        <v>10980</v>
      </c>
      <c r="B45" s="1"/>
      <c r="C45" s="186" t="s">
        <v>243</v>
      </c>
      <c r="D45" s="422"/>
      <c r="E45" s="423"/>
    </row>
    <row r="46" spans="1:5" x14ac:dyDescent="0.25">
      <c r="A46" s="1" t="s">
        <v>10981</v>
      </c>
      <c r="B46" s="1"/>
      <c r="C46" s="186" t="s">
        <v>244</v>
      </c>
      <c r="D46" s="422"/>
      <c r="E46" s="423"/>
    </row>
    <row r="47" spans="1:5" x14ac:dyDescent="0.25">
      <c r="A47" s="1" t="s">
        <v>10982</v>
      </c>
      <c r="B47" s="1"/>
      <c r="C47" s="186" t="s">
        <v>245</v>
      </c>
      <c r="D47" s="424"/>
      <c r="E47" s="425"/>
    </row>
    <row r="48" spans="1:5" s="141" customFormat="1" ht="30.75" thickBot="1" x14ac:dyDescent="0.3">
      <c r="A48" s="1" t="s">
        <v>10983</v>
      </c>
      <c r="B48" s="1"/>
      <c r="C48" s="185" t="s">
        <v>246</v>
      </c>
      <c r="D48" s="428"/>
      <c r="E48" s="429"/>
    </row>
    <row r="49" spans="5:5" s="141" customFormat="1" x14ac:dyDescent="0.25"/>
    <row r="50" spans="5:5" x14ac:dyDescent="0.25">
      <c r="E50" s="35"/>
    </row>
  </sheetData>
  <sheetProtection password="D10F" sheet="1" objects="1" scenarios="1" selectLockedCells="1"/>
  <sortState ref="C7:F40">
    <sortCondition ref="C7"/>
  </sortState>
  <mergeCells count="2">
    <mergeCell ref="C2:D2"/>
    <mergeCell ref="C4:D4"/>
  </mergeCells>
  <dataValidations count="1">
    <dataValidation type="list" allowBlank="1" showInputMessage="1" showErrorMessage="1" sqref="F7">
      <formula1>INSPIREConf</formula1>
    </dataValidation>
  </dataValidations>
  <hyperlinks>
    <hyperlink ref="H7"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2470" r:id="rId5" name="Check Box 6">
              <controlPr defaultSize="0" autoFill="0" autoLine="0" autoPict="0">
                <anchor moveWithCells="1">
                  <from>
                    <xdr:col>3</xdr:col>
                    <xdr:colOff>1219200</xdr:colOff>
                    <xdr:row>12</xdr:row>
                    <xdr:rowOff>0</xdr:rowOff>
                  </from>
                  <to>
                    <xdr:col>3</xdr:col>
                    <xdr:colOff>1524000</xdr:colOff>
                    <xdr:row>13</xdr:row>
                    <xdr:rowOff>28575</xdr:rowOff>
                  </to>
                </anchor>
              </controlPr>
            </control>
          </mc:Choice>
        </mc:AlternateContent>
        <mc:AlternateContent xmlns:mc="http://schemas.openxmlformats.org/markup-compatibility/2006">
          <mc:Choice Requires="x14">
            <control shapeId="62503" r:id="rId6" name="Check Box 39">
              <controlPr defaultSize="0" autoFill="0" autoLine="0" autoPict="0">
                <anchor moveWithCells="1">
                  <from>
                    <xdr:col>3</xdr:col>
                    <xdr:colOff>1219200</xdr:colOff>
                    <xdr:row>13</xdr:row>
                    <xdr:rowOff>0</xdr:rowOff>
                  </from>
                  <to>
                    <xdr:col>3</xdr:col>
                    <xdr:colOff>1524000</xdr:colOff>
                    <xdr:row>14</xdr:row>
                    <xdr:rowOff>28575</xdr:rowOff>
                  </to>
                </anchor>
              </controlPr>
            </control>
          </mc:Choice>
        </mc:AlternateContent>
        <mc:AlternateContent xmlns:mc="http://schemas.openxmlformats.org/markup-compatibility/2006">
          <mc:Choice Requires="x14">
            <control shapeId="62504" r:id="rId7" name="Check Box 40">
              <controlPr defaultSize="0" autoFill="0" autoLine="0" autoPict="0">
                <anchor moveWithCells="1">
                  <from>
                    <xdr:col>3</xdr:col>
                    <xdr:colOff>1219200</xdr:colOff>
                    <xdr:row>14</xdr:row>
                    <xdr:rowOff>0</xdr:rowOff>
                  </from>
                  <to>
                    <xdr:col>3</xdr:col>
                    <xdr:colOff>1524000</xdr:colOff>
                    <xdr:row>15</xdr:row>
                    <xdr:rowOff>28575</xdr:rowOff>
                  </to>
                </anchor>
              </controlPr>
            </control>
          </mc:Choice>
        </mc:AlternateContent>
        <mc:AlternateContent xmlns:mc="http://schemas.openxmlformats.org/markup-compatibility/2006">
          <mc:Choice Requires="x14">
            <control shapeId="62505" r:id="rId8" name="Check Box 41">
              <controlPr defaultSize="0" autoFill="0" autoLine="0" autoPict="0">
                <anchor moveWithCells="1">
                  <from>
                    <xdr:col>3</xdr:col>
                    <xdr:colOff>1219200</xdr:colOff>
                    <xdr:row>15</xdr:row>
                    <xdr:rowOff>0</xdr:rowOff>
                  </from>
                  <to>
                    <xdr:col>3</xdr:col>
                    <xdr:colOff>1524000</xdr:colOff>
                    <xdr:row>16</xdr:row>
                    <xdr:rowOff>28575</xdr:rowOff>
                  </to>
                </anchor>
              </controlPr>
            </control>
          </mc:Choice>
        </mc:AlternateContent>
        <mc:AlternateContent xmlns:mc="http://schemas.openxmlformats.org/markup-compatibility/2006">
          <mc:Choice Requires="x14">
            <control shapeId="62506" r:id="rId9" name="Check Box 42">
              <controlPr defaultSize="0" autoFill="0" autoLine="0" autoPict="0">
                <anchor moveWithCells="1">
                  <from>
                    <xdr:col>3</xdr:col>
                    <xdr:colOff>1219200</xdr:colOff>
                    <xdr:row>16</xdr:row>
                    <xdr:rowOff>0</xdr:rowOff>
                  </from>
                  <to>
                    <xdr:col>3</xdr:col>
                    <xdr:colOff>1524000</xdr:colOff>
                    <xdr:row>17</xdr:row>
                    <xdr:rowOff>28575</xdr:rowOff>
                  </to>
                </anchor>
              </controlPr>
            </control>
          </mc:Choice>
        </mc:AlternateContent>
        <mc:AlternateContent xmlns:mc="http://schemas.openxmlformats.org/markup-compatibility/2006">
          <mc:Choice Requires="x14">
            <control shapeId="62507" r:id="rId10" name="Check Box 43">
              <controlPr defaultSize="0" autoFill="0" autoLine="0" autoPict="0">
                <anchor moveWithCells="1">
                  <from>
                    <xdr:col>3</xdr:col>
                    <xdr:colOff>1219200</xdr:colOff>
                    <xdr:row>17</xdr:row>
                    <xdr:rowOff>0</xdr:rowOff>
                  </from>
                  <to>
                    <xdr:col>3</xdr:col>
                    <xdr:colOff>1524000</xdr:colOff>
                    <xdr:row>18</xdr:row>
                    <xdr:rowOff>28575</xdr:rowOff>
                  </to>
                </anchor>
              </controlPr>
            </control>
          </mc:Choice>
        </mc:AlternateContent>
        <mc:AlternateContent xmlns:mc="http://schemas.openxmlformats.org/markup-compatibility/2006">
          <mc:Choice Requires="x14">
            <control shapeId="62508" r:id="rId11" name="Check Box 44">
              <controlPr defaultSize="0" autoFill="0" autoLine="0" autoPict="0">
                <anchor moveWithCells="1">
                  <from>
                    <xdr:col>3</xdr:col>
                    <xdr:colOff>1219200</xdr:colOff>
                    <xdr:row>18</xdr:row>
                    <xdr:rowOff>0</xdr:rowOff>
                  </from>
                  <to>
                    <xdr:col>3</xdr:col>
                    <xdr:colOff>1524000</xdr:colOff>
                    <xdr:row>19</xdr:row>
                    <xdr:rowOff>28575</xdr:rowOff>
                  </to>
                </anchor>
              </controlPr>
            </control>
          </mc:Choice>
        </mc:AlternateContent>
        <mc:AlternateContent xmlns:mc="http://schemas.openxmlformats.org/markup-compatibility/2006">
          <mc:Choice Requires="x14">
            <control shapeId="62509" r:id="rId12" name="Check Box 45">
              <controlPr defaultSize="0" autoFill="0" autoLine="0" autoPict="0">
                <anchor moveWithCells="1">
                  <from>
                    <xdr:col>3</xdr:col>
                    <xdr:colOff>1219200</xdr:colOff>
                    <xdr:row>19</xdr:row>
                    <xdr:rowOff>0</xdr:rowOff>
                  </from>
                  <to>
                    <xdr:col>3</xdr:col>
                    <xdr:colOff>1524000</xdr:colOff>
                    <xdr:row>20</xdr:row>
                    <xdr:rowOff>28575</xdr:rowOff>
                  </to>
                </anchor>
              </controlPr>
            </control>
          </mc:Choice>
        </mc:AlternateContent>
        <mc:AlternateContent xmlns:mc="http://schemas.openxmlformats.org/markup-compatibility/2006">
          <mc:Choice Requires="x14">
            <control shapeId="62510" r:id="rId13" name="Check Box 46">
              <controlPr defaultSize="0" autoFill="0" autoLine="0" autoPict="0">
                <anchor moveWithCells="1">
                  <from>
                    <xdr:col>3</xdr:col>
                    <xdr:colOff>1219200</xdr:colOff>
                    <xdr:row>20</xdr:row>
                    <xdr:rowOff>0</xdr:rowOff>
                  </from>
                  <to>
                    <xdr:col>3</xdr:col>
                    <xdr:colOff>1524000</xdr:colOff>
                    <xdr:row>21</xdr:row>
                    <xdr:rowOff>28575</xdr:rowOff>
                  </to>
                </anchor>
              </controlPr>
            </control>
          </mc:Choice>
        </mc:AlternateContent>
        <mc:AlternateContent xmlns:mc="http://schemas.openxmlformats.org/markup-compatibility/2006">
          <mc:Choice Requires="x14">
            <control shapeId="62511" r:id="rId14" name="Check Box 47">
              <controlPr defaultSize="0" autoFill="0" autoLine="0" autoPict="0">
                <anchor moveWithCells="1">
                  <from>
                    <xdr:col>3</xdr:col>
                    <xdr:colOff>1219200</xdr:colOff>
                    <xdr:row>13</xdr:row>
                    <xdr:rowOff>0</xdr:rowOff>
                  </from>
                  <to>
                    <xdr:col>3</xdr:col>
                    <xdr:colOff>1524000</xdr:colOff>
                    <xdr:row>14</xdr:row>
                    <xdr:rowOff>28575</xdr:rowOff>
                  </to>
                </anchor>
              </controlPr>
            </control>
          </mc:Choice>
        </mc:AlternateContent>
        <mc:AlternateContent xmlns:mc="http://schemas.openxmlformats.org/markup-compatibility/2006">
          <mc:Choice Requires="x14">
            <control shapeId="62512" r:id="rId15" name="Check Box 48">
              <controlPr defaultSize="0" autoFill="0" autoLine="0" autoPict="0">
                <anchor moveWithCells="1">
                  <from>
                    <xdr:col>3</xdr:col>
                    <xdr:colOff>1219200</xdr:colOff>
                    <xdr:row>14</xdr:row>
                    <xdr:rowOff>0</xdr:rowOff>
                  </from>
                  <to>
                    <xdr:col>3</xdr:col>
                    <xdr:colOff>1524000</xdr:colOff>
                    <xdr:row>15</xdr:row>
                    <xdr:rowOff>28575</xdr:rowOff>
                  </to>
                </anchor>
              </controlPr>
            </control>
          </mc:Choice>
        </mc:AlternateContent>
        <mc:AlternateContent xmlns:mc="http://schemas.openxmlformats.org/markup-compatibility/2006">
          <mc:Choice Requires="x14">
            <control shapeId="62513" r:id="rId16" name="Check Box 49">
              <controlPr defaultSize="0" autoFill="0" autoLine="0" autoPict="0">
                <anchor moveWithCells="1">
                  <from>
                    <xdr:col>3</xdr:col>
                    <xdr:colOff>1219200</xdr:colOff>
                    <xdr:row>15</xdr:row>
                    <xdr:rowOff>0</xdr:rowOff>
                  </from>
                  <to>
                    <xdr:col>3</xdr:col>
                    <xdr:colOff>1524000</xdr:colOff>
                    <xdr:row>16</xdr:row>
                    <xdr:rowOff>28575</xdr:rowOff>
                  </to>
                </anchor>
              </controlPr>
            </control>
          </mc:Choice>
        </mc:AlternateContent>
        <mc:AlternateContent xmlns:mc="http://schemas.openxmlformats.org/markup-compatibility/2006">
          <mc:Choice Requires="x14">
            <control shapeId="62514" r:id="rId17" name="Check Box 50">
              <controlPr defaultSize="0" autoFill="0" autoLine="0" autoPict="0">
                <anchor moveWithCells="1">
                  <from>
                    <xdr:col>3</xdr:col>
                    <xdr:colOff>1219200</xdr:colOff>
                    <xdr:row>16</xdr:row>
                    <xdr:rowOff>0</xdr:rowOff>
                  </from>
                  <to>
                    <xdr:col>3</xdr:col>
                    <xdr:colOff>1524000</xdr:colOff>
                    <xdr:row>17</xdr:row>
                    <xdr:rowOff>28575</xdr:rowOff>
                  </to>
                </anchor>
              </controlPr>
            </control>
          </mc:Choice>
        </mc:AlternateContent>
        <mc:AlternateContent xmlns:mc="http://schemas.openxmlformats.org/markup-compatibility/2006">
          <mc:Choice Requires="x14">
            <control shapeId="62515" r:id="rId18" name="Check Box 51">
              <controlPr defaultSize="0" autoFill="0" autoLine="0" autoPict="0">
                <anchor moveWithCells="1">
                  <from>
                    <xdr:col>3</xdr:col>
                    <xdr:colOff>1219200</xdr:colOff>
                    <xdr:row>17</xdr:row>
                    <xdr:rowOff>0</xdr:rowOff>
                  </from>
                  <to>
                    <xdr:col>3</xdr:col>
                    <xdr:colOff>1524000</xdr:colOff>
                    <xdr:row>18</xdr:row>
                    <xdr:rowOff>28575</xdr:rowOff>
                  </to>
                </anchor>
              </controlPr>
            </control>
          </mc:Choice>
        </mc:AlternateContent>
        <mc:AlternateContent xmlns:mc="http://schemas.openxmlformats.org/markup-compatibility/2006">
          <mc:Choice Requires="x14">
            <control shapeId="62516" r:id="rId19" name="Check Box 52">
              <controlPr defaultSize="0" autoFill="0" autoLine="0" autoPict="0">
                <anchor moveWithCells="1">
                  <from>
                    <xdr:col>3</xdr:col>
                    <xdr:colOff>1219200</xdr:colOff>
                    <xdr:row>18</xdr:row>
                    <xdr:rowOff>0</xdr:rowOff>
                  </from>
                  <to>
                    <xdr:col>3</xdr:col>
                    <xdr:colOff>1524000</xdr:colOff>
                    <xdr:row>19</xdr:row>
                    <xdr:rowOff>28575</xdr:rowOff>
                  </to>
                </anchor>
              </controlPr>
            </control>
          </mc:Choice>
        </mc:AlternateContent>
        <mc:AlternateContent xmlns:mc="http://schemas.openxmlformats.org/markup-compatibility/2006">
          <mc:Choice Requires="x14">
            <control shapeId="62517" r:id="rId20" name="Check Box 53">
              <controlPr defaultSize="0" autoFill="0" autoLine="0" autoPict="0">
                <anchor moveWithCells="1">
                  <from>
                    <xdr:col>3</xdr:col>
                    <xdr:colOff>1219200</xdr:colOff>
                    <xdr:row>19</xdr:row>
                    <xdr:rowOff>0</xdr:rowOff>
                  </from>
                  <to>
                    <xdr:col>3</xdr:col>
                    <xdr:colOff>1524000</xdr:colOff>
                    <xdr:row>20</xdr:row>
                    <xdr:rowOff>28575</xdr:rowOff>
                  </to>
                </anchor>
              </controlPr>
            </control>
          </mc:Choice>
        </mc:AlternateContent>
        <mc:AlternateContent xmlns:mc="http://schemas.openxmlformats.org/markup-compatibility/2006">
          <mc:Choice Requires="x14">
            <control shapeId="62518" r:id="rId21" name="Check Box 54">
              <controlPr defaultSize="0" autoFill="0" autoLine="0" autoPict="0">
                <anchor moveWithCells="1">
                  <from>
                    <xdr:col>3</xdr:col>
                    <xdr:colOff>1219200</xdr:colOff>
                    <xdr:row>20</xdr:row>
                    <xdr:rowOff>0</xdr:rowOff>
                  </from>
                  <to>
                    <xdr:col>3</xdr:col>
                    <xdr:colOff>1524000</xdr:colOff>
                    <xdr:row>21</xdr:row>
                    <xdr:rowOff>28575</xdr:rowOff>
                  </to>
                </anchor>
              </controlPr>
            </control>
          </mc:Choice>
        </mc:AlternateContent>
        <mc:AlternateContent xmlns:mc="http://schemas.openxmlformats.org/markup-compatibility/2006">
          <mc:Choice Requires="x14">
            <control shapeId="62519" r:id="rId22" name="Check Box 55">
              <controlPr defaultSize="0" autoFill="0" autoLine="0" autoPict="0">
                <anchor moveWithCells="1">
                  <from>
                    <xdr:col>4</xdr:col>
                    <xdr:colOff>1905000</xdr:colOff>
                    <xdr:row>11</xdr:row>
                    <xdr:rowOff>161925</xdr:rowOff>
                  </from>
                  <to>
                    <xdr:col>4</xdr:col>
                    <xdr:colOff>2209800</xdr:colOff>
                    <xdr:row>13</xdr:row>
                    <xdr:rowOff>0</xdr:rowOff>
                  </to>
                </anchor>
              </controlPr>
            </control>
          </mc:Choice>
        </mc:AlternateContent>
        <mc:AlternateContent xmlns:mc="http://schemas.openxmlformats.org/markup-compatibility/2006">
          <mc:Choice Requires="x14">
            <control shapeId="62520" r:id="rId23" name="Check Box 56">
              <controlPr defaultSize="0" autoFill="0" autoLine="0" autoPict="0">
                <anchor moveWithCells="1">
                  <from>
                    <xdr:col>4</xdr:col>
                    <xdr:colOff>1905000</xdr:colOff>
                    <xdr:row>12</xdr:row>
                    <xdr:rowOff>161925</xdr:rowOff>
                  </from>
                  <to>
                    <xdr:col>4</xdr:col>
                    <xdr:colOff>2209800</xdr:colOff>
                    <xdr:row>14</xdr:row>
                    <xdr:rowOff>0</xdr:rowOff>
                  </to>
                </anchor>
              </controlPr>
            </control>
          </mc:Choice>
        </mc:AlternateContent>
        <mc:AlternateContent xmlns:mc="http://schemas.openxmlformats.org/markup-compatibility/2006">
          <mc:Choice Requires="x14">
            <control shapeId="62521" r:id="rId24" name="Check Box 57">
              <controlPr defaultSize="0" autoFill="0" autoLine="0" autoPict="0">
                <anchor moveWithCells="1">
                  <from>
                    <xdr:col>4</xdr:col>
                    <xdr:colOff>1905000</xdr:colOff>
                    <xdr:row>13</xdr:row>
                    <xdr:rowOff>161925</xdr:rowOff>
                  </from>
                  <to>
                    <xdr:col>4</xdr:col>
                    <xdr:colOff>2209800</xdr:colOff>
                    <xdr:row>15</xdr:row>
                    <xdr:rowOff>0</xdr:rowOff>
                  </to>
                </anchor>
              </controlPr>
            </control>
          </mc:Choice>
        </mc:AlternateContent>
        <mc:AlternateContent xmlns:mc="http://schemas.openxmlformats.org/markup-compatibility/2006">
          <mc:Choice Requires="x14">
            <control shapeId="62522" r:id="rId25" name="Check Box 58">
              <controlPr defaultSize="0" autoFill="0" autoLine="0" autoPict="0">
                <anchor moveWithCells="1">
                  <from>
                    <xdr:col>4</xdr:col>
                    <xdr:colOff>1905000</xdr:colOff>
                    <xdr:row>14</xdr:row>
                    <xdr:rowOff>161925</xdr:rowOff>
                  </from>
                  <to>
                    <xdr:col>4</xdr:col>
                    <xdr:colOff>2209800</xdr:colOff>
                    <xdr:row>16</xdr:row>
                    <xdr:rowOff>0</xdr:rowOff>
                  </to>
                </anchor>
              </controlPr>
            </control>
          </mc:Choice>
        </mc:AlternateContent>
        <mc:AlternateContent xmlns:mc="http://schemas.openxmlformats.org/markup-compatibility/2006">
          <mc:Choice Requires="x14">
            <control shapeId="62523" r:id="rId26" name="Check Box 59">
              <controlPr defaultSize="0" autoFill="0" autoLine="0" autoPict="0">
                <anchor moveWithCells="1">
                  <from>
                    <xdr:col>4</xdr:col>
                    <xdr:colOff>1905000</xdr:colOff>
                    <xdr:row>14</xdr:row>
                    <xdr:rowOff>161925</xdr:rowOff>
                  </from>
                  <to>
                    <xdr:col>4</xdr:col>
                    <xdr:colOff>2209800</xdr:colOff>
                    <xdr:row>16</xdr:row>
                    <xdr:rowOff>0</xdr:rowOff>
                  </to>
                </anchor>
              </controlPr>
            </control>
          </mc:Choice>
        </mc:AlternateContent>
        <mc:AlternateContent xmlns:mc="http://schemas.openxmlformats.org/markup-compatibility/2006">
          <mc:Choice Requires="x14">
            <control shapeId="62524" r:id="rId27" name="Check Box 60">
              <controlPr defaultSize="0" autoFill="0" autoLine="0" autoPict="0">
                <anchor moveWithCells="1">
                  <from>
                    <xdr:col>4</xdr:col>
                    <xdr:colOff>1905000</xdr:colOff>
                    <xdr:row>15</xdr:row>
                    <xdr:rowOff>161925</xdr:rowOff>
                  </from>
                  <to>
                    <xdr:col>4</xdr:col>
                    <xdr:colOff>2209800</xdr:colOff>
                    <xdr:row>17</xdr:row>
                    <xdr:rowOff>0</xdr:rowOff>
                  </to>
                </anchor>
              </controlPr>
            </control>
          </mc:Choice>
        </mc:AlternateContent>
        <mc:AlternateContent xmlns:mc="http://schemas.openxmlformats.org/markup-compatibility/2006">
          <mc:Choice Requires="x14">
            <control shapeId="62525" r:id="rId28" name="Check Box 61">
              <controlPr defaultSize="0" autoFill="0" autoLine="0" autoPict="0">
                <anchor moveWithCells="1">
                  <from>
                    <xdr:col>4</xdr:col>
                    <xdr:colOff>1905000</xdr:colOff>
                    <xdr:row>15</xdr:row>
                    <xdr:rowOff>161925</xdr:rowOff>
                  </from>
                  <to>
                    <xdr:col>4</xdr:col>
                    <xdr:colOff>2209800</xdr:colOff>
                    <xdr:row>17</xdr:row>
                    <xdr:rowOff>0</xdr:rowOff>
                  </to>
                </anchor>
              </controlPr>
            </control>
          </mc:Choice>
        </mc:AlternateContent>
        <mc:AlternateContent xmlns:mc="http://schemas.openxmlformats.org/markup-compatibility/2006">
          <mc:Choice Requires="x14">
            <control shapeId="62526" r:id="rId29" name="Check Box 62">
              <controlPr defaultSize="0" autoFill="0" autoLine="0" autoPict="0">
                <anchor moveWithCells="1">
                  <from>
                    <xdr:col>4</xdr:col>
                    <xdr:colOff>1905000</xdr:colOff>
                    <xdr:row>16</xdr:row>
                    <xdr:rowOff>161925</xdr:rowOff>
                  </from>
                  <to>
                    <xdr:col>4</xdr:col>
                    <xdr:colOff>2209800</xdr:colOff>
                    <xdr:row>18</xdr:row>
                    <xdr:rowOff>0</xdr:rowOff>
                  </to>
                </anchor>
              </controlPr>
            </control>
          </mc:Choice>
        </mc:AlternateContent>
        <mc:AlternateContent xmlns:mc="http://schemas.openxmlformats.org/markup-compatibility/2006">
          <mc:Choice Requires="x14">
            <control shapeId="62527" r:id="rId30" name="Check Box 63">
              <controlPr defaultSize="0" autoFill="0" autoLine="0" autoPict="0">
                <anchor moveWithCells="1">
                  <from>
                    <xdr:col>4</xdr:col>
                    <xdr:colOff>1905000</xdr:colOff>
                    <xdr:row>16</xdr:row>
                    <xdr:rowOff>161925</xdr:rowOff>
                  </from>
                  <to>
                    <xdr:col>4</xdr:col>
                    <xdr:colOff>2209800</xdr:colOff>
                    <xdr:row>18</xdr:row>
                    <xdr:rowOff>0</xdr:rowOff>
                  </to>
                </anchor>
              </controlPr>
            </control>
          </mc:Choice>
        </mc:AlternateContent>
        <mc:AlternateContent xmlns:mc="http://schemas.openxmlformats.org/markup-compatibility/2006">
          <mc:Choice Requires="x14">
            <control shapeId="62528" r:id="rId31" name="Check Box 64">
              <controlPr defaultSize="0" autoFill="0" autoLine="0" autoPict="0">
                <anchor moveWithCells="1">
                  <from>
                    <xdr:col>4</xdr:col>
                    <xdr:colOff>1905000</xdr:colOff>
                    <xdr:row>17</xdr:row>
                    <xdr:rowOff>161925</xdr:rowOff>
                  </from>
                  <to>
                    <xdr:col>4</xdr:col>
                    <xdr:colOff>2209800</xdr:colOff>
                    <xdr:row>19</xdr:row>
                    <xdr:rowOff>0</xdr:rowOff>
                  </to>
                </anchor>
              </controlPr>
            </control>
          </mc:Choice>
        </mc:AlternateContent>
        <mc:AlternateContent xmlns:mc="http://schemas.openxmlformats.org/markup-compatibility/2006">
          <mc:Choice Requires="x14">
            <control shapeId="62529" r:id="rId32" name="Check Box 65">
              <controlPr defaultSize="0" autoFill="0" autoLine="0" autoPict="0">
                <anchor moveWithCells="1">
                  <from>
                    <xdr:col>4</xdr:col>
                    <xdr:colOff>1905000</xdr:colOff>
                    <xdr:row>17</xdr:row>
                    <xdr:rowOff>161925</xdr:rowOff>
                  </from>
                  <to>
                    <xdr:col>4</xdr:col>
                    <xdr:colOff>2209800</xdr:colOff>
                    <xdr:row>19</xdr:row>
                    <xdr:rowOff>0</xdr:rowOff>
                  </to>
                </anchor>
              </controlPr>
            </control>
          </mc:Choice>
        </mc:AlternateContent>
        <mc:AlternateContent xmlns:mc="http://schemas.openxmlformats.org/markup-compatibility/2006">
          <mc:Choice Requires="x14">
            <control shapeId="62530" r:id="rId33" name="Check Box 66">
              <controlPr defaultSize="0" autoFill="0" autoLine="0" autoPict="0">
                <anchor moveWithCells="1">
                  <from>
                    <xdr:col>4</xdr:col>
                    <xdr:colOff>1905000</xdr:colOff>
                    <xdr:row>18</xdr:row>
                    <xdr:rowOff>161925</xdr:rowOff>
                  </from>
                  <to>
                    <xdr:col>4</xdr:col>
                    <xdr:colOff>2209800</xdr:colOff>
                    <xdr:row>20</xdr:row>
                    <xdr:rowOff>0</xdr:rowOff>
                  </to>
                </anchor>
              </controlPr>
            </control>
          </mc:Choice>
        </mc:AlternateContent>
        <mc:AlternateContent xmlns:mc="http://schemas.openxmlformats.org/markup-compatibility/2006">
          <mc:Choice Requires="x14">
            <control shapeId="62531" r:id="rId34" name="Check Box 67">
              <controlPr defaultSize="0" autoFill="0" autoLine="0" autoPict="0">
                <anchor moveWithCells="1">
                  <from>
                    <xdr:col>4</xdr:col>
                    <xdr:colOff>1905000</xdr:colOff>
                    <xdr:row>18</xdr:row>
                    <xdr:rowOff>161925</xdr:rowOff>
                  </from>
                  <to>
                    <xdr:col>4</xdr:col>
                    <xdr:colOff>2209800</xdr:colOff>
                    <xdr:row>20</xdr:row>
                    <xdr:rowOff>0</xdr:rowOff>
                  </to>
                </anchor>
              </controlPr>
            </control>
          </mc:Choice>
        </mc:AlternateContent>
        <mc:AlternateContent xmlns:mc="http://schemas.openxmlformats.org/markup-compatibility/2006">
          <mc:Choice Requires="x14">
            <control shapeId="62532" r:id="rId35" name="Check Box 68">
              <controlPr defaultSize="0" autoFill="0" autoLine="0" autoPict="0">
                <anchor moveWithCells="1">
                  <from>
                    <xdr:col>4</xdr:col>
                    <xdr:colOff>1905000</xdr:colOff>
                    <xdr:row>19</xdr:row>
                    <xdr:rowOff>161925</xdr:rowOff>
                  </from>
                  <to>
                    <xdr:col>4</xdr:col>
                    <xdr:colOff>2209800</xdr:colOff>
                    <xdr:row>21</xdr:row>
                    <xdr:rowOff>0</xdr:rowOff>
                  </to>
                </anchor>
              </controlPr>
            </control>
          </mc:Choice>
        </mc:AlternateContent>
        <mc:AlternateContent xmlns:mc="http://schemas.openxmlformats.org/markup-compatibility/2006">
          <mc:Choice Requires="x14">
            <control shapeId="62533" r:id="rId36" name="Check Box 69">
              <controlPr defaultSize="0" autoFill="0" autoLine="0" autoPict="0">
                <anchor moveWithCells="1">
                  <from>
                    <xdr:col>4</xdr:col>
                    <xdr:colOff>1905000</xdr:colOff>
                    <xdr:row>19</xdr:row>
                    <xdr:rowOff>161925</xdr:rowOff>
                  </from>
                  <to>
                    <xdr:col>4</xdr:col>
                    <xdr:colOff>2209800</xdr:colOff>
                    <xdr:row>21</xdr:row>
                    <xdr:rowOff>0</xdr:rowOff>
                  </to>
                </anchor>
              </controlPr>
            </control>
          </mc:Choice>
        </mc:AlternateContent>
        <mc:AlternateContent xmlns:mc="http://schemas.openxmlformats.org/markup-compatibility/2006">
          <mc:Choice Requires="x14">
            <control shapeId="62537" r:id="rId37" name="Check Box 73">
              <controlPr defaultSize="0" autoFill="0" autoLine="0" autoPict="0">
                <anchor moveWithCells="1">
                  <from>
                    <xdr:col>4</xdr:col>
                    <xdr:colOff>1819275</xdr:colOff>
                    <xdr:row>1</xdr:row>
                    <xdr:rowOff>209550</xdr:rowOff>
                  </from>
                  <to>
                    <xdr:col>4</xdr:col>
                    <xdr:colOff>2124075</xdr:colOff>
                    <xdr:row>1</xdr:row>
                    <xdr:rowOff>428625</xdr:rowOff>
                  </to>
                </anchor>
              </controlPr>
            </control>
          </mc:Choice>
        </mc:AlternateContent>
        <mc:AlternateContent xmlns:mc="http://schemas.openxmlformats.org/markup-compatibility/2006">
          <mc:Choice Requires="x14">
            <control shapeId="62539" r:id="rId38" name="Check Box 75">
              <controlPr defaultSize="0" autoFill="0" autoLine="0" autoPict="0">
                <anchor moveWithCells="1">
                  <from>
                    <xdr:col>3</xdr:col>
                    <xdr:colOff>1219200</xdr:colOff>
                    <xdr:row>22</xdr:row>
                    <xdr:rowOff>0</xdr:rowOff>
                  </from>
                  <to>
                    <xdr:col>3</xdr:col>
                    <xdr:colOff>1524000</xdr:colOff>
                    <xdr:row>23</xdr:row>
                    <xdr:rowOff>28575</xdr:rowOff>
                  </to>
                </anchor>
              </controlPr>
            </control>
          </mc:Choice>
        </mc:AlternateContent>
        <mc:AlternateContent xmlns:mc="http://schemas.openxmlformats.org/markup-compatibility/2006">
          <mc:Choice Requires="x14">
            <control shapeId="62540" r:id="rId39" name="Check Box 76">
              <controlPr defaultSize="0" autoFill="0" autoLine="0" autoPict="0">
                <anchor moveWithCells="1">
                  <from>
                    <xdr:col>3</xdr:col>
                    <xdr:colOff>1219200</xdr:colOff>
                    <xdr:row>23</xdr:row>
                    <xdr:rowOff>0</xdr:rowOff>
                  </from>
                  <to>
                    <xdr:col>3</xdr:col>
                    <xdr:colOff>1524000</xdr:colOff>
                    <xdr:row>24</xdr:row>
                    <xdr:rowOff>28575</xdr:rowOff>
                  </to>
                </anchor>
              </controlPr>
            </control>
          </mc:Choice>
        </mc:AlternateContent>
        <mc:AlternateContent xmlns:mc="http://schemas.openxmlformats.org/markup-compatibility/2006">
          <mc:Choice Requires="x14">
            <control shapeId="62541" r:id="rId40" name="Check Box 77">
              <controlPr defaultSize="0" autoFill="0" autoLine="0" autoPict="0">
                <anchor moveWithCells="1">
                  <from>
                    <xdr:col>3</xdr:col>
                    <xdr:colOff>1219200</xdr:colOff>
                    <xdr:row>24</xdr:row>
                    <xdr:rowOff>0</xdr:rowOff>
                  </from>
                  <to>
                    <xdr:col>3</xdr:col>
                    <xdr:colOff>1524000</xdr:colOff>
                    <xdr:row>25</xdr:row>
                    <xdr:rowOff>28575</xdr:rowOff>
                  </to>
                </anchor>
              </controlPr>
            </control>
          </mc:Choice>
        </mc:AlternateContent>
        <mc:AlternateContent xmlns:mc="http://schemas.openxmlformats.org/markup-compatibility/2006">
          <mc:Choice Requires="x14">
            <control shapeId="62542" r:id="rId41" name="Check Box 78">
              <controlPr defaultSize="0" autoFill="0" autoLine="0" autoPict="0">
                <anchor moveWithCells="1">
                  <from>
                    <xdr:col>3</xdr:col>
                    <xdr:colOff>1219200</xdr:colOff>
                    <xdr:row>25</xdr:row>
                    <xdr:rowOff>0</xdr:rowOff>
                  </from>
                  <to>
                    <xdr:col>3</xdr:col>
                    <xdr:colOff>1524000</xdr:colOff>
                    <xdr:row>26</xdr:row>
                    <xdr:rowOff>28575</xdr:rowOff>
                  </to>
                </anchor>
              </controlPr>
            </control>
          </mc:Choice>
        </mc:AlternateContent>
        <mc:AlternateContent xmlns:mc="http://schemas.openxmlformats.org/markup-compatibility/2006">
          <mc:Choice Requires="x14">
            <control shapeId="62543" r:id="rId42" name="Check Box 79">
              <controlPr defaultSize="0" autoFill="0" autoLine="0" autoPict="0">
                <anchor moveWithCells="1">
                  <from>
                    <xdr:col>3</xdr:col>
                    <xdr:colOff>1219200</xdr:colOff>
                    <xdr:row>23</xdr:row>
                    <xdr:rowOff>0</xdr:rowOff>
                  </from>
                  <to>
                    <xdr:col>3</xdr:col>
                    <xdr:colOff>1524000</xdr:colOff>
                    <xdr:row>24</xdr:row>
                    <xdr:rowOff>28575</xdr:rowOff>
                  </to>
                </anchor>
              </controlPr>
            </control>
          </mc:Choice>
        </mc:AlternateContent>
        <mc:AlternateContent xmlns:mc="http://schemas.openxmlformats.org/markup-compatibility/2006">
          <mc:Choice Requires="x14">
            <control shapeId="62544" r:id="rId43" name="Check Box 80">
              <controlPr defaultSize="0" autoFill="0" autoLine="0" autoPict="0">
                <anchor moveWithCells="1">
                  <from>
                    <xdr:col>3</xdr:col>
                    <xdr:colOff>1219200</xdr:colOff>
                    <xdr:row>24</xdr:row>
                    <xdr:rowOff>0</xdr:rowOff>
                  </from>
                  <to>
                    <xdr:col>3</xdr:col>
                    <xdr:colOff>1524000</xdr:colOff>
                    <xdr:row>25</xdr:row>
                    <xdr:rowOff>28575</xdr:rowOff>
                  </to>
                </anchor>
              </controlPr>
            </control>
          </mc:Choice>
        </mc:AlternateContent>
        <mc:AlternateContent xmlns:mc="http://schemas.openxmlformats.org/markup-compatibility/2006">
          <mc:Choice Requires="x14">
            <control shapeId="62545" r:id="rId44" name="Check Box 81">
              <controlPr defaultSize="0" autoFill="0" autoLine="0" autoPict="0">
                <anchor moveWithCells="1">
                  <from>
                    <xdr:col>3</xdr:col>
                    <xdr:colOff>1219200</xdr:colOff>
                    <xdr:row>25</xdr:row>
                    <xdr:rowOff>0</xdr:rowOff>
                  </from>
                  <to>
                    <xdr:col>3</xdr:col>
                    <xdr:colOff>1524000</xdr:colOff>
                    <xdr:row>26</xdr:row>
                    <xdr:rowOff>28575</xdr:rowOff>
                  </to>
                </anchor>
              </controlPr>
            </control>
          </mc:Choice>
        </mc:AlternateContent>
        <mc:AlternateContent xmlns:mc="http://schemas.openxmlformats.org/markup-compatibility/2006">
          <mc:Choice Requires="x14">
            <control shapeId="62546" r:id="rId45" name="Check Box 82">
              <controlPr defaultSize="0" autoFill="0" autoLine="0" autoPict="0">
                <anchor moveWithCells="1">
                  <from>
                    <xdr:col>4</xdr:col>
                    <xdr:colOff>1905000</xdr:colOff>
                    <xdr:row>21</xdr:row>
                    <xdr:rowOff>161925</xdr:rowOff>
                  </from>
                  <to>
                    <xdr:col>4</xdr:col>
                    <xdr:colOff>2209800</xdr:colOff>
                    <xdr:row>23</xdr:row>
                    <xdr:rowOff>0</xdr:rowOff>
                  </to>
                </anchor>
              </controlPr>
            </control>
          </mc:Choice>
        </mc:AlternateContent>
        <mc:AlternateContent xmlns:mc="http://schemas.openxmlformats.org/markup-compatibility/2006">
          <mc:Choice Requires="x14">
            <control shapeId="62547" r:id="rId46" name="Check Box 83">
              <controlPr defaultSize="0" autoFill="0" autoLine="0" autoPict="0">
                <anchor moveWithCells="1">
                  <from>
                    <xdr:col>4</xdr:col>
                    <xdr:colOff>1905000</xdr:colOff>
                    <xdr:row>22</xdr:row>
                    <xdr:rowOff>161925</xdr:rowOff>
                  </from>
                  <to>
                    <xdr:col>4</xdr:col>
                    <xdr:colOff>2209800</xdr:colOff>
                    <xdr:row>24</xdr:row>
                    <xdr:rowOff>0</xdr:rowOff>
                  </to>
                </anchor>
              </controlPr>
            </control>
          </mc:Choice>
        </mc:AlternateContent>
        <mc:AlternateContent xmlns:mc="http://schemas.openxmlformats.org/markup-compatibility/2006">
          <mc:Choice Requires="x14">
            <control shapeId="62548" r:id="rId47" name="Check Box 84">
              <controlPr defaultSize="0" autoFill="0" autoLine="0" autoPict="0">
                <anchor moveWithCells="1">
                  <from>
                    <xdr:col>4</xdr:col>
                    <xdr:colOff>1905000</xdr:colOff>
                    <xdr:row>23</xdr:row>
                    <xdr:rowOff>161925</xdr:rowOff>
                  </from>
                  <to>
                    <xdr:col>4</xdr:col>
                    <xdr:colOff>2209800</xdr:colOff>
                    <xdr:row>25</xdr:row>
                    <xdr:rowOff>0</xdr:rowOff>
                  </to>
                </anchor>
              </controlPr>
            </control>
          </mc:Choice>
        </mc:AlternateContent>
        <mc:AlternateContent xmlns:mc="http://schemas.openxmlformats.org/markup-compatibility/2006">
          <mc:Choice Requires="x14">
            <control shapeId="62549" r:id="rId48" name="Check Box 85">
              <controlPr defaultSize="0" autoFill="0" autoLine="0" autoPict="0">
                <anchor moveWithCells="1">
                  <from>
                    <xdr:col>4</xdr:col>
                    <xdr:colOff>1905000</xdr:colOff>
                    <xdr:row>24</xdr:row>
                    <xdr:rowOff>161925</xdr:rowOff>
                  </from>
                  <to>
                    <xdr:col>4</xdr:col>
                    <xdr:colOff>2209800</xdr:colOff>
                    <xdr:row>26</xdr:row>
                    <xdr:rowOff>0</xdr:rowOff>
                  </to>
                </anchor>
              </controlPr>
            </control>
          </mc:Choice>
        </mc:AlternateContent>
        <mc:AlternateContent xmlns:mc="http://schemas.openxmlformats.org/markup-compatibility/2006">
          <mc:Choice Requires="x14">
            <control shapeId="62550" r:id="rId49" name="Check Box 86">
              <controlPr defaultSize="0" autoFill="0" autoLine="0" autoPict="0">
                <anchor moveWithCells="1">
                  <from>
                    <xdr:col>4</xdr:col>
                    <xdr:colOff>1905000</xdr:colOff>
                    <xdr:row>24</xdr:row>
                    <xdr:rowOff>161925</xdr:rowOff>
                  </from>
                  <to>
                    <xdr:col>4</xdr:col>
                    <xdr:colOff>2209800</xdr:colOff>
                    <xdr:row>26</xdr:row>
                    <xdr:rowOff>0</xdr:rowOff>
                  </to>
                </anchor>
              </controlPr>
            </control>
          </mc:Choice>
        </mc:AlternateContent>
        <mc:AlternateContent xmlns:mc="http://schemas.openxmlformats.org/markup-compatibility/2006">
          <mc:Choice Requires="x14">
            <control shapeId="62554" r:id="rId50" name="Check Box 90">
              <controlPr defaultSize="0" autoFill="0" autoLine="0" autoPict="0">
                <anchor moveWithCells="1">
                  <from>
                    <xdr:col>3</xdr:col>
                    <xdr:colOff>1219200</xdr:colOff>
                    <xdr:row>27</xdr:row>
                    <xdr:rowOff>0</xdr:rowOff>
                  </from>
                  <to>
                    <xdr:col>3</xdr:col>
                    <xdr:colOff>1524000</xdr:colOff>
                    <xdr:row>28</xdr:row>
                    <xdr:rowOff>28575</xdr:rowOff>
                  </to>
                </anchor>
              </controlPr>
            </control>
          </mc:Choice>
        </mc:AlternateContent>
        <mc:AlternateContent xmlns:mc="http://schemas.openxmlformats.org/markup-compatibility/2006">
          <mc:Choice Requires="x14">
            <control shapeId="62555" r:id="rId51" name="Check Box 91">
              <controlPr defaultSize="0" autoFill="0" autoLine="0" autoPict="0">
                <anchor moveWithCells="1">
                  <from>
                    <xdr:col>4</xdr:col>
                    <xdr:colOff>1905000</xdr:colOff>
                    <xdr:row>26</xdr:row>
                    <xdr:rowOff>161925</xdr:rowOff>
                  </from>
                  <to>
                    <xdr:col>4</xdr:col>
                    <xdr:colOff>2209800</xdr:colOff>
                    <xdr:row>28</xdr:row>
                    <xdr:rowOff>0</xdr:rowOff>
                  </to>
                </anchor>
              </controlPr>
            </control>
          </mc:Choice>
        </mc:AlternateContent>
        <mc:AlternateContent xmlns:mc="http://schemas.openxmlformats.org/markup-compatibility/2006">
          <mc:Choice Requires="x14">
            <control shapeId="62557" r:id="rId52" name="Check Box 93">
              <controlPr defaultSize="0" autoFill="0" autoLine="0" autoPict="0">
                <anchor moveWithCells="1">
                  <from>
                    <xdr:col>3</xdr:col>
                    <xdr:colOff>1219200</xdr:colOff>
                    <xdr:row>28</xdr:row>
                    <xdr:rowOff>0</xdr:rowOff>
                  </from>
                  <to>
                    <xdr:col>3</xdr:col>
                    <xdr:colOff>1524000</xdr:colOff>
                    <xdr:row>29</xdr:row>
                    <xdr:rowOff>28575</xdr:rowOff>
                  </to>
                </anchor>
              </controlPr>
            </control>
          </mc:Choice>
        </mc:AlternateContent>
        <mc:AlternateContent xmlns:mc="http://schemas.openxmlformats.org/markup-compatibility/2006">
          <mc:Choice Requires="x14">
            <control shapeId="62558" r:id="rId53" name="Check Box 94">
              <controlPr defaultSize="0" autoFill="0" autoLine="0" autoPict="0">
                <anchor moveWithCells="1">
                  <from>
                    <xdr:col>4</xdr:col>
                    <xdr:colOff>1905000</xdr:colOff>
                    <xdr:row>27</xdr:row>
                    <xdr:rowOff>161925</xdr:rowOff>
                  </from>
                  <to>
                    <xdr:col>4</xdr:col>
                    <xdr:colOff>2209800</xdr:colOff>
                    <xdr:row>29</xdr:row>
                    <xdr:rowOff>0</xdr:rowOff>
                  </to>
                </anchor>
              </controlPr>
            </control>
          </mc:Choice>
        </mc:AlternateContent>
        <mc:AlternateContent xmlns:mc="http://schemas.openxmlformats.org/markup-compatibility/2006">
          <mc:Choice Requires="x14">
            <control shapeId="62559" r:id="rId54" name="Check Box 95">
              <controlPr defaultSize="0" autoFill="0" autoLine="0" autoPict="0">
                <anchor moveWithCells="1">
                  <from>
                    <xdr:col>3</xdr:col>
                    <xdr:colOff>1219200</xdr:colOff>
                    <xdr:row>29</xdr:row>
                    <xdr:rowOff>0</xdr:rowOff>
                  </from>
                  <to>
                    <xdr:col>3</xdr:col>
                    <xdr:colOff>1524000</xdr:colOff>
                    <xdr:row>30</xdr:row>
                    <xdr:rowOff>28575</xdr:rowOff>
                  </to>
                </anchor>
              </controlPr>
            </control>
          </mc:Choice>
        </mc:AlternateContent>
        <mc:AlternateContent xmlns:mc="http://schemas.openxmlformats.org/markup-compatibility/2006">
          <mc:Choice Requires="x14">
            <control shapeId="62560" r:id="rId55" name="Check Box 96">
              <controlPr defaultSize="0" autoFill="0" autoLine="0" autoPict="0">
                <anchor moveWithCells="1">
                  <from>
                    <xdr:col>4</xdr:col>
                    <xdr:colOff>1905000</xdr:colOff>
                    <xdr:row>28</xdr:row>
                    <xdr:rowOff>161925</xdr:rowOff>
                  </from>
                  <to>
                    <xdr:col>4</xdr:col>
                    <xdr:colOff>2209800</xdr:colOff>
                    <xdr:row>30</xdr:row>
                    <xdr:rowOff>0</xdr:rowOff>
                  </to>
                </anchor>
              </controlPr>
            </control>
          </mc:Choice>
        </mc:AlternateContent>
        <mc:AlternateContent xmlns:mc="http://schemas.openxmlformats.org/markup-compatibility/2006">
          <mc:Choice Requires="x14">
            <control shapeId="62561" r:id="rId56" name="Check Box 97">
              <controlPr defaultSize="0" autoFill="0" autoLine="0" autoPict="0">
                <anchor moveWithCells="1">
                  <from>
                    <xdr:col>4</xdr:col>
                    <xdr:colOff>1905000</xdr:colOff>
                    <xdr:row>29</xdr:row>
                    <xdr:rowOff>161925</xdr:rowOff>
                  </from>
                  <to>
                    <xdr:col>4</xdr:col>
                    <xdr:colOff>2209800</xdr:colOff>
                    <xdr:row>31</xdr:row>
                    <xdr:rowOff>0</xdr:rowOff>
                  </to>
                </anchor>
              </controlPr>
            </control>
          </mc:Choice>
        </mc:AlternateContent>
        <mc:AlternateContent xmlns:mc="http://schemas.openxmlformats.org/markup-compatibility/2006">
          <mc:Choice Requires="x14">
            <control shapeId="62562" r:id="rId57" name="Check Box 98">
              <controlPr defaultSize="0" autoFill="0" autoLine="0" autoPict="0">
                <anchor moveWithCells="1">
                  <from>
                    <xdr:col>3</xdr:col>
                    <xdr:colOff>1219200</xdr:colOff>
                    <xdr:row>30</xdr:row>
                    <xdr:rowOff>0</xdr:rowOff>
                  </from>
                  <to>
                    <xdr:col>3</xdr:col>
                    <xdr:colOff>1524000</xdr:colOff>
                    <xdr:row>31</xdr:row>
                    <xdr:rowOff>28575</xdr:rowOff>
                  </to>
                </anchor>
              </controlPr>
            </control>
          </mc:Choice>
        </mc:AlternateContent>
        <mc:AlternateContent xmlns:mc="http://schemas.openxmlformats.org/markup-compatibility/2006">
          <mc:Choice Requires="x14">
            <control shapeId="62563" r:id="rId58" name="Check Box 99">
              <controlPr defaultSize="0" autoFill="0" autoLine="0" autoPict="0">
                <anchor moveWithCells="1">
                  <from>
                    <xdr:col>4</xdr:col>
                    <xdr:colOff>1905000</xdr:colOff>
                    <xdr:row>29</xdr:row>
                    <xdr:rowOff>161925</xdr:rowOff>
                  </from>
                  <to>
                    <xdr:col>4</xdr:col>
                    <xdr:colOff>2209800</xdr:colOff>
                    <xdr:row>31</xdr:row>
                    <xdr:rowOff>0</xdr:rowOff>
                  </to>
                </anchor>
              </controlPr>
            </control>
          </mc:Choice>
        </mc:AlternateContent>
        <mc:AlternateContent xmlns:mc="http://schemas.openxmlformats.org/markup-compatibility/2006">
          <mc:Choice Requires="x14">
            <control shapeId="62564" r:id="rId59" name="Check Box 100">
              <controlPr defaultSize="0" autoFill="0" autoLine="0" autoPict="0">
                <anchor moveWithCells="1">
                  <from>
                    <xdr:col>4</xdr:col>
                    <xdr:colOff>1905000</xdr:colOff>
                    <xdr:row>30</xdr:row>
                    <xdr:rowOff>161925</xdr:rowOff>
                  </from>
                  <to>
                    <xdr:col>4</xdr:col>
                    <xdr:colOff>2209800</xdr:colOff>
                    <xdr:row>32</xdr:row>
                    <xdr:rowOff>0</xdr:rowOff>
                  </to>
                </anchor>
              </controlPr>
            </control>
          </mc:Choice>
        </mc:AlternateContent>
        <mc:AlternateContent xmlns:mc="http://schemas.openxmlformats.org/markup-compatibility/2006">
          <mc:Choice Requires="x14">
            <control shapeId="62565" r:id="rId60" name="Check Box 101">
              <controlPr defaultSize="0" autoFill="0" autoLine="0" autoPict="0">
                <anchor moveWithCells="1">
                  <from>
                    <xdr:col>3</xdr:col>
                    <xdr:colOff>1219200</xdr:colOff>
                    <xdr:row>31</xdr:row>
                    <xdr:rowOff>0</xdr:rowOff>
                  </from>
                  <to>
                    <xdr:col>3</xdr:col>
                    <xdr:colOff>1524000</xdr:colOff>
                    <xdr:row>32</xdr:row>
                    <xdr:rowOff>28575</xdr:rowOff>
                  </to>
                </anchor>
              </controlPr>
            </control>
          </mc:Choice>
        </mc:AlternateContent>
        <mc:AlternateContent xmlns:mc="http://schemas.openxmlformats.org/markup-compatibility/2006">
          <mc:Choice Requires="x14">
            <control shapeId="62566" r:id="rId61" name="Check Box 102">
              <controlPr defaultSize="0" autoFill="0" autoLine="0" autoPict="0">
                <anchor moveWithCells="1">
                  <from>
                    <xdr:col>4</xdr:col>
                    <xdr:colOff>1905000</xdr:colOff>
                    <xdr:row>30</xdr:row>
                    <xdr:rowOff>161925</xdr:rowOff>
                  </from>
                  <to>
                    <xdr:col>4</xdr:col>
                    <xdr:colOff>2209800</xdr:colOff>
                    <xdr:row>32</xdr:row>
                    <xdr:rowOff>0</xdr:rowOff>
                  </to>
                </anchor>
              </controlPr>
            </control>
          </mc:Choice>
        </mc:AlternateContent>
        <mc:AlternateContent xmlns:mc="http://schemas.openxmlformats.org/markup-compatibility/2006">
          <mc:Choice Requires="x14">
            <control shapeId="62567" r:id="rId62" name="Check Box 103">
              <controlPr defaultSize="0" autoFill="0" autoLine="0" autoPict="0">
                <anchor moveWithCells="1">
                  <from>
                    <xdr:col>4</xdr:col>
                    <xdr:colOff>1905000</xdr:colOff>
                    <xdr:row>31</xdr:row>
                    <xdr:rowOff>161925</xdr:rowOff>
                  </from>
                  <to>
                    <xdr:col>4</xdr:col>
                    <xdr:colOff>2209800</xdr:colOff>
                    <xdr:row>33</xdr:row>
                    <xdr:rowOff>0</xdr:rowOff>
                  </to>
                </anchor>
              </controlPr>
            </control>
          </mc:Choice>
        </mc:AlternateContent>
        <mc:AlternateContent xmlns:mc="http://schemas.openxmlformats.org/markup-compatibility/2006">
          <mc:Choice Requires="x14">
            <control shapeId="62568" r:id="rId63" name="Check Box 104">
              <controlPr defaultSize="0" autoFill="0" autoLine="0" autoPict="0">
                <anchor moveWithCells="1">
                  <from>
                    <xdr:col>3</xdr:col>
                    <xdr:colOff>1219200</xdr:colOff>
                    <xdr:row>32</xdr:row>
                    <xdr:rowOff>0</xdr:rowOff>
                  </from>
                  <to>
                    <xdr:col>3</xdr:col>
                    <xdr:colOff>1524000</xdr:colOff>
                    <xdr:row>33</xdr:row>
                    <xdr:rowOff>28575</xdr:rowOff>
                  </to>
                </anchor>
              </controlPr>
            </control>
          </mc:Choice>
        </mc:AlternateContent>
        <mc:AlternateContent xmlns:mc="http://schemas.openxmlformats.org/markup-compatibility/2006">
          <mc:Choice Requires="x14">
            <control shapeId="62569" r:id="rId64" name="Check Box 105">
              <controlPr defaultSize="0" autoFill="0" autoLine="0" autoPict="0">
                <anchor moveWithCells="1">
                  <from>
                    <xdr:col>4</xdr:col>
                    <xdr:colOff>1905000</xdr:colOff>
                    <xdr:row>31</xdr:row>
                    <xdr:rowOff>161925</xdr:rowOff>
                  </from>
                  <to>
                    <xdr:col>4</xdr:col>
                    <xdr:colOff>2209800</xdr:colOff>
                    <xdr:row>33</xdr:row>
                    <xdr:rowOff>0</xdr:rowOff>
                  </to>
                </anchor>
              </controlPr>
            </control>
          </mc:Choice>
        </mc:AlternateContent>
        <mc:AlternateContent xmlns:mc="http://schemas.openxmlformats.org/markup-compatibility/2006">
          <mc:Choice Requires="x14">
            <control shapeId="62570" r:id="rId65" name="Check Box 106">
              <controlPr defaultSize="0" autoFill="0" autoLine="0" autoPict="0">
                <anchor moveWithCells="1">
                  <from>
                    <xdr:col>4</xdr:col>
                    <xdr:colOff>1905000</xdr:colOff>
                    <xdr:row>32</xdr:row>
                    <xdr:rowOff>161925</xdr:rowOff>
                  </from>
                  <to>
                    <xdr:col>4</xdr:col>
                    <xdr:colOff>2209800</xdr:colOff>
                    <xdr:row>34</xdr:row>
                    <xdr:rowOff>0</xdr:rowOff>
                  </to>
                </anchor>
              </controlPr>
            </control>
          </mc:Choice>
        </mc:AlternateContent>
        <mc:AlternateContent xmlns:mc="http://schemas.openxmlformats.org/markup-compatibility/2006">
          <mc:Choice Requires="x14">
            <control shapeId="62571" r:id="rId66" name="Check Box 107">
              <controlPr defaultSize="0" autoFill="0" autoLine="0" autoPict="0">
                <anchor moveWithCells="1">
                  <from>
                    <xdr:col>3</xdr:col>
                    <xdr:colOff>1219200</xdr:colOff>
                    <xdr:row>33</xdr:row>
                    <xdr:rowOff>0</xdr:rowOff>
                  </from>
                  <to>
                    <xdr:col>3</xdr:col>
                    <xdr:colOff>1524000</xdr:colOff>
                    <xdr:row>34</xdr:row>
                    <xdr:rowOff>28575</xdr:rowOff>
                  </to>
                </anchor>
              </controlPr>
            </control>
          </mc:Choice>
        </mc:AlternateContent>
        <mc:AlternateContent xmlns:mc="http://schemas.openxmlformats.org/markup-compatibility/2006">
          <mc:Choice Requires="x14">
            <control shapeId="62572" r:id="rId67" name="Check Box 108">
              <controlPr defaultSize="0" autoFill="0" autoLine="0" autoPict="0">
                <anchor moveWithCells="1">
                  <from>
                    <xdr:col>4</xdr:col>
                    <xdr:colOff>1905000</xdr:colOff>
                    <xdr:row>32</xdr:row>
                    <xdr:rowOff>161925</xdr:rowOff>
                  </from>
                  <to>
                    <xdr:col>4</xdr:col>
                    <xdr:colOff>2209800</xdr:colOff>
                    <xdr:row>34</xdr:row>
                    <xdr:rowOff>0</xdr:rowOff>
                  </to>
                </anchor>
              </controlPr>
            </control>
          </mc:Choice>
        </mc:AlternateContent>
        <mc:AlternateContent xmlns:mc="http://schemas.openxmlformats.org/markup-compatibility/2006">
          <mc:Choice Requires="x14">
            <control shapeId="62573" r:id="rId68" name="Check Box 109">
              <controlPr defaultSize="0" autoFill="0" autoLine="0" autoPict="0">
                <anchor moveWithCells="1">
                  <from>
                    <xdr:col>4</xdr:col>
                    <xdr:colOff>1905000</xdr:colOff>
                    <xdr:row>33</xdr:row>
                    <xdr:rowOff>161925</xdr:rowOff>
                  </from>
                  <to>
                    <xdr:col>4</xdr:col>
                    <xdr:colOff>2209800</xdr:colOff>
                    <xdr:row>35</xdr:row>
                    <xdr:rowOff>0</xdr:rowOff>
                  </to>
                </anchor>
              </controlPr>
            </control>
          </mc:Choice>
        </mc:AlternateContent>
        <mc:AlternateContent xmlns:mc="http://schemas.openxmlformats.org/markup-compatibility/2006">
          <mc:Choice Requires="x14">
            <control shapeId="62574" r:id="rId69" name="Check Box 110">
              <controlPr defaultSize="0" autoFill="0" autoLine="0" autoPict="0">
                <anchor moveWithCells="1">
                  <from>
                    <xdr:col>3</xdr:col>
                    <xdr:colOff>1219200</xdr:colOff>
                    <xdr:row>34</xdr:row>
                    <xdr:rowOff>0</xdr:rowOff>
                  </from>
                  <to>
                    <xdr:col>3</xdr:col>
                    <xdr:colOff>1524000</xdr:colOff>
                    <xdr:row>35</xdr:row>
                    <xdr:rowOff>28575</xdr:rowOff>
                  </to>
                </anchor>
              </controlPr>
            </control>
          </mc:Choice>
        </mc:AlternateContent>
        <mc:AlternateContent xmlns:mc="http://schemas.openxmlformats.org/markup-compatibility/2006">
          <mc:Choice Requires="x14">
            <control shapeId="62575" r:id="rId70" name="Check Box 111">
              <controlPr defaultSize="0" autoFill="0" autoLine="0" autoPict="0">
                <anchor moveWithCells="1">
                  <from>
                    <xdr:col>4</xdr:col>
                    <xdr:colOff>1905000</xdr:colOff>
                    <xdr:row>33</xdr:row>
                    <xdr:rowOff>161925</xdr:rowOff>
                  </from>
                  <to>
                    <xdr:col>4</xdr:col>
                    <xdr:colOff>2209800</xdr:colOff>
                    <xdr:row>35</xdr:row>
                    <xdr:rowOff>0</xdr:rowOff>
                  </to>
                </anchor>
              </controlPr>
            </control>
          </mc:Choice>
        </mc:AlternateContent>
        <mc:AlternateContent xmlns:mc="http://schemas.openxmlformats.org/markup-compatibility/2006">
          <mc:Choice Requires="x14">
            <control shapeId="62576" r:id="rId71" name="Check Box 112">
              <controlPr defaultSize="0" autoFill="0" autoLine="0" autoPict="0">
                <anchor moveWithCells="1">
                  <from>
                    <xdr:col>4</xdr:col>
                    <xdr:colOff>1905000</xdr:colOff>
                    <xdr:row>34</xdr:row>
                    <xdr:rowOff>161925</xdr:rowOff>
                  </from>
                  <to>
                    <xdr:col>4</xdr:col>
                    <xdr:colOff>2209800</xdr:colOff>
                    <xdr:row>36</xdr:row>
                    <xdr:rowOff>0</xdr:rowOff>
                  </to>
                </anchor>
              </controlPr>
            </control>
          </mc:Choice>
        </mc:AlternateContent>
        <mc:AlternateContent xmlns:mc="http://schemas.openxmlformats.org/markup-compatibility/2006">
          <mc:Choice Requires="x14">
            <control shapeId="62577" r:id="rId72" name="Check Box 113">
              <controlPr defaultSize="0" autoFill="0" autoLine="0" autoPict="0">
                <anchor moveWithCells="1">
                  <from>
                    <xdr:col>3</xdr:col>
                    <xdr:colOff>1219200</xdr:colOff>
                    <xdr:row>35</xdr:row>
                    <xdr:rowOff>0</xdr:rowOff>
                  </from>
                  <to>
                    <xdr:col>3</xdr:col>
                    <xdr:colOff>1524000</xdr:colOff>
                    <xdr:row>36</xdr:row>
                    <xdr:rowOff>28575</xdr:rowOff>
                  </to>
                </anchor>
              </controlPr>
            </control>
          </mc:Choice>
        </mc:AlternateContent>
        <mc:AlternateContent xmlns:mc="http://schemas.openxmlformats.org/markup-compatibility/2006">
          <mc:Choice Requires="x14">
            <control shapeId="62578" r:id="rId73" name="Check Box 114">
              <controlPr defaultSize="0" autoFill="0" autoLine="0" autoPict="0">
                <anchor moveWithCells="1">
                  <from>
                    <xdr:col>4</xdr:col>
                    <xdr:colOff>1905000</xdr:colOff>
                    <xdr:row>34</xdr:row>
                    <xdr:rowOff>161925</xdr:rowOff>
                  </from>
                  <to>
                    <xdr:col>4</xdr:col>
                    <xdr:colOff>2209800</xdr:colOff>
                    <xdr:row>36</xdr:row>
                    <xdr:rowOff>0</xdr:rowOff>
                  </to>
                </anchor>
              </controlPr>
            </control>
          </mc:Choice>
        </mc:AlternateContent>
        <mc:AlternateContent xmlns:mc="http://schemas.openxmlformats.org/markup-compatibility/2006">
          <mc:Choice Requires="x14">
            <control shapeId="62579" r:id="rId74" name="Check Box 115">
              <controlPr defaultSize="0" autoFill="0" autoLine="0" autoPict="0">
                <anchor moveWithCells="1">
                  <from>
                    <xdr:col>4</xdr:col>
                    <xdr:colOff>1905000</xdr:colOff>
                    <xdr:row>35</xdr:row>
                    <xdr:rowOff>161925</xdr:rowOff>
                  </from>
                  <to>
                    <xdr:col>4</xdr:col>
                    <xdr:colOff>2209800</xdr:colOff>
                    <xdr:row>37</xdr:row>
                    <xdr:rowOff>0</xdr:rowOff>
                  </to>
                </anchor>
              </controlPr>
            </control>
          </mc:Choice>
        </mc:AlternateContent>
        <mc:AlternateContent xmlns:mc="http://schemas.openxmlformats.org/markup-compatibility/2006">
          <mc:Choice Requires="x14">
            <control shapeId="62580" r:id="rId75" name="Check Box 116">
              <controlPr defaultSize="0" autoFill="0" autoLine="0" autoPict="0">
                <anchor moveWithCells="1">
                  <from>
                    <xdr:col>3</xdr:col>
                    <xdr:colOff>1219200</xdr:colOff>
                    <xdr:row>36</xdr:row>
                    <xdr:rowOff>0</xdr:rowOff>
                  </from>
                  <to>
                    <xdr:col>3</xdr:col>
                    <xdr:colOff>1524000</xdr:colOff>
                    <xdr:row>37</xdr:row>
                    <xdr:rowOff>28575</xdr:rowOff>
                  </to>
                </anchor>
              </controlPr>
            </control>
          </mc:Choice>
        </mc:AlternateContent>
        <mc:AlternateContent xmlns:mc="http://schemas.openxmlformats.org/markup-compatibility/2006">
          <mc:Choice Requires="x14">
            <control shapeId="62581" r:id="rId76" name="Check Box 117">
              <controlPr defaultSize="0" autoFill="0" autoLine="0" autoPict="0">
                <anchor moveWithCells="1">
                  <from>
                    <xdr:col>4</xdr:col>
                    <xdr:colOff>1905000</xdr:colOff>
                    <xdr:row>35</xdr:row>
                    <xdr:rowOff>161925</xdr:rowOff>
                  </from>
                  <to>
                    <xdr:col>4</xdr:col>
                    <xdr:colOff>2209800</xdr:colOff>
                    <xdr:row>37</xdr:row>
                    <xdr:rowOff>0</xdr:rowOff>
                  </to>
                </anchor>
              </controlPr>
            </control>
          </mc:Choice>
        </mc:AlternateContent>
        <mc:AlternateContent xmlns:mc="http://schemas.openxmlformats.org/markup-compatibility/2006">
          <mc:Choice Requires="x14">
            <control shapeId="62582" r:id="rId77" name="Check Box 118">
              <controlPr defaultSize="0" autoFill="0" autoLine="0" autoPict="0">
                <anchor moveWithCells="1">
                  <from>
                    <xdr:col>4</xdr:col>
                    <xdr:colOff>1905000</xdr:colOff>
                    <xdr:row>36</xdr:row>
                    <xdr:rowOff>161925</xdr:rowOff>
                  </from>
                  <to>
                    <xdr:col>4</xdr:col>
                    <xdr:colOff>2209800</xdr:colOff>
                    <xdr:row>38</xdr:row>
                    <xdr:rowOff>0</xdr:rowOff>
                  </to>
                </anchor>
              </controlPr>
            </control>
          </mc:Choice>
        </mc:AlternateContent>
        <mc:AlternateContent xmlns:mc="http://schemas.openxmlformats.org/markup-compatibility/2006">
          <mc:Choice Requires="x14">
            <control shapeId="62583" r:id="rId78" name="Check Box 119">
              <controlPr defaultSize="0" autoFill="0" autoLine="0" autoPict="0">
                <anchor moveWithCells="1">
                  <from>
                    <xdr:col>3</xdr:col>
                    <xdr:colOff>1219200</xdr:colOff>
                    <xdr:row>37</xdr:row>
                    <xdr:rowOff>0</xdr:rowOff>
                  </from>
                  <to>
                    <xdr:col>3</xdr:col>
                    <xdr:colOff>1524000</xdr:colOff>
                    <xdr:row>38</xdr:row>
                    <xdr:rowOff>28575</xdr:rowOff>
                  </to>
                </anchor>
              </controlPr>
            </control>
          </mc:Choice>
        </mc:AlternateContent>
        <mc:AlternateContent xmlns:mc="http://schemas.openxmlformats.org/markup-compatibility/2006">
          <mc:Choice Requires="x14">
            <control shapeId="62584" r:id="rId79" name="Check Box 120">
              <controlPr defaultSize="0" autoFill="0" autoLine="0" autoPict="0">
                <anchor moveWithCells="1">
                  <from>
                    <xdr:col>4</xdr:col>
                    <xdr:colOff>1905000</xdr:colOff>
                    <xdr:row>36</xdr:row>
                    <xdr:rowOff>161925</xdr:rowOff>
                  </from>
                  <to>
                    <xdr:col>4</xdr:col>
                    <xdr:colOff>2209800</xdr:colOff>
                    <xdr:row>38</xdr:row>
                    <xdr:rowOff>0</xdr:rowOff>
                  </to>
                </anchor>
              </controlPr>
            </control>
          </mc:Choice>
        </mc:AlternateContent>
        <mc:AlternateContent xmlns:mc="http://schemas.openxmlformats.org/markup-compatibility/2006">
          <mc:Choice Requires="x14">
            <control shapeId="62585" r:id="rId80" name="Check Box 121">
              <controlPr defaultSize="0" autoFill="0" autoLine="0" autoPict="0">
                <anchor moveWithCells="1">
                  <from>
                    <xdr:col>4</xdr:col>
                    <xdr:colOff>1905000</xdr:colOff>
                    <xdr:row>37</xdr:row>
                    <xdr:rowOff>161925</xdr:rowOff>
                  </from>
                  <to>
                    <xdr:col>4</xdr:col>
                    <xdr:colOff>2209800</xdr:colOff>
                    <xdr:row>39</xdr:row>
                    <xdr:rowOff>0</xdr:rowOff>
                  </to>
                </anchor>
              </controlPr>
            </control>
          </mc:Choice>
        </mc:AlternateContent>
        <mc:AlternateContent xmlns:mc="http://schemas.openxmlformats.org/markup-compatibility/2006">
          <mc:Choice Requires="x14">
            <control shapeId="62586" r:id="rId81" name="Check Box 122">
              <controlPr defaultSize="0" autoFill="0" autoLine="0" autoPict="0">
                <anchor moveWithCells="1">
                  <from>
                    <xdr:col>3</xdr:col>
                    <xdr:colOff>1219200</xdr:colOff>
                    <xdr:row>38</xdr:row>
                    <xdr:rowOff>0</xdr:rowOff>
                  </from>
                  <to>
                    <xdr:col>3</xdr:col>
                    <xdr:colOff>1524000</xdr:colOff>
                    <xdr:row>39</xdr:row>
                    <xdr:rowOff>28575</xdr:rowOff>
                  </to>
                </anchor>
              </controlPr>
            </control>
          </mc:Choice>
        </mc:AlternateContent>
        <mc:AlternateContent xmlns:mc="http://schemas.openxmlformats.org/markup-compatibility/2006">
          <mc:Choice Requires="x14">
            <control shapeId="62587" r:id="rId82" name="Check Box 123">
              <controlPr defaultSize="0" autoFill="0" autoLine="0" autoPict="0">
                <anchor moveWithCells="1">
                  <from>
                    <xdr:col>4</xdr:col>
                    <xdr:colOff>1905000</xdr:colOff>
                    <xdr:row>37</xdr:row>
                    <xdr:rowOff>161925</xdr:rowOff>
                  </from>
                  <to>
                    <xdr:col>4</xdr:col>
                    <xdr:colOff>2209800</xdr:colOff>
                    <xdr:row>39</xdr:row>
                    <xdr:rowOff>0</xdr:rowOff>
                  </to>
                </anchor>
              </controlPr>
            </control>
          </mc:Choice>
        </mc:AlternateContent>
        <mc:AlternateContent xmlns:mc="http://schemas.openxmlformats.org/markup-compatibility/2006">
          <mc:Choice Requires="x14">
            <control shapeId="62588" r:id="rId83" name="Check Box 124">
              <controlPr defaultSize="0" autoFill="0" autoLine="0" autoPict="0">
                <anchor moveWithCells="1">
                  <from>
                    <xdr:col>4</xdr:col>
                    <xdr:colOff>1905000</xdr:colOff>
                    <xdr:row>38</xdr:row>
                    <xdr:rowOff>161925</xdr:rowOff>
                  </from>
                  <to>
                    <xdr:col>4</xdr:col>
                    <xdr:colOff>2209800</xdr:colOff>
                    <xdr:row>40</xdr:row>
                    <xdr:rowOff>0</xdr:rowOff>
                  </to>
                </anchor>
              </controlPr>
            </control>
          </mc:Choice>
        </mc:AlternateContent>
        <mc:AlternateContent xmlns:mc="http://schemas.openxmlformats.org/markup-compatibility/2006">
          <mc:Choice Requires="x14">
            <control shapeId="62589" r:id="rId84" name="Check Box 125">
              <controlPr defaultSize="0" autoFill="0" autoLine="0" autoPict="0">
                <anchor moveWithCells="1">
                  <from>
                    <xdr:col>3</xdr:col>
                    <xdr:colOff>1219200</xdr:colOff>
                    <xdr:row>39</xdr:row>
                    <xdr:rowOff>0</xdr:rowOff>
                  </from>
                  <to>
                    <xdr:col>3</xdr:col>
                    <xdr:colOff>1524000</xdr:colOff>
                    <xdr:row>40</xdr:row>
                    <xdr:rowOff>28575</xdr:rowOff>
                  </to>
                </anchor>
              </controlPr>
            </control>
          </mc:Choice>
        </mc:AlternateContent>
        <mc:AlternateContent xmlns:mc="http://schemas.openxmlformats.org/markup-compatibility/2006">
          <mc:Choice Requires="x14">
            <control shapeId="62590" r:id="rId85" name="Check Box 126">
              <controlPr defaultSize="0" autoFill="0" autoLine="0" autoPict="0">
                <anchor moveWithCells="1">
                  <from>
                    <xdr:col>4</xdr:col>
                    <xdr:colOff>1905000</xdr:colOff>
                    <xdr:row>38</xdr:row>
                    <xdr:rowOff>161925</xdr:rowOff>
                  </from>
                  <to>
                    <xdr:col>4</xdr:col>
                    <xdr:colOff>2209800</xdr:colOff>
                    <xdr:row>40</xdr:row>
                    <xdr:rowOff>0</xdr:rowOff>
                  </to>
                </anchor>
              </controlPr>
            </control>
          </mc:Choice>
        </mc:AlternateContent>
        <mc:AlternateContent xmlns:mc="http://schemas.openxmlformats.org/markup-compatibility/2006">
          <mc:Choice Requires="x14">
            <control shapeId="62591" r:id="rId86" name="Check Box 127">
              <controlPr defaultSize="0" autoFill="0" autoLine="0" autoPict="0">
                <anchor moveWithCells="1">
                  <from>
                    <xdr:col>4</xdr:col>
                    <xdr:colOff>1905000</xdr:colOff>
                    <xdr:row>39</xdr:row>
                    <xdr:rowOff>161925</xdr:rowOff>
                  </from>
                  <to>
                    <xdr:col>4</xdr:col>
                    <xdr:colOff>2209800</xdr:colOff>
                    <xdr:row>41</xdr:row>
                    <xdr:rowOff>0</xdr:rowOff>
                  </to>
                </anchor>
              </controlPr>
            </control>
          </mc:Choice>
        </mc:AlternateContent>
        <mc:AlternateContent xmlns:mc="http://schemas.openxmlformats.org/markup-compatibility/2006">
          <mc:Choice Requires="x14">
            <control shapeId="62592" r:id="rId87" name="Check Box 128">
              <controlPr defaultSize="0" autoFill="0" autoLine="0" autoPict="0">
                <anchor moveWithCells="1">
                  <from>
                    <xdr:col>3</xdr:col>
                    <xdr:colOff>1219200</xdr:colOff>
                    <xdr:row>40</xdr:row>
                    <xdr:rowOff>0</xdr:rowOff>
                  </from>
                  <to>
                    <xdr:col>3</xdr:col>
                    <xdr:colOff>1524000</xdr:colOff>
                    <xdr:row>41</xdr:row>
                    <xdr:rowOff>28575</xdr:rowOff>
                  </to>
                </anchor>
              </controlPr>
            </control>
          </mc:Choice>
        </mc:AlternateContent>
        <mc:AlternateContent xmlns:mc="http://schemas.openxmlformats.org/markup-compatibility/2006">
          <mc:Choice Requires="x14">
            <control shapeId="62593" r:id="rId88" name="Check Box 129">
              <controlPr defaultSize="0" autoFill="0" autoLine="0" autoPict="0">
                <anchor moveWithCells="1">
                  <from>
                    <xdr:col>4</xdr:col>
                    <xdr:colOff>1905000</xdr:colOff>
                    <xdr:row>39</xdr:row>
                    <xdr:rowOff>161925</xdr:rowOff>
                  </from>
                  <to>
                    <xdr:col>4</xdr:col>
                    <xdr:colOff>2209800</xdr:colOff>
                    <xdr:row>41</xdr:row>
                    <xdr:rowOff>0</xdr:rowOff>
                  </to>
                </anchor>
              </controlPr>
            </control>
          </mc:Choice>
        </mc:AlternateContent>
        <mc:AlternateContent xmlns:mc="http://schemas.openxmlformats.org/markup-compatibility/2006">
          <mc:Choice Requires="x14">
            <control shapeId="62594" r:id="rId89" name="Check Box 130">
              <controlPr defaultSize="0" autoFill="0" autoLine="0" autoPict="0">
                <anchor moveWithCells="1">
                  <from>
                    <xdr:col>4</xdr:col>
                    <xdr:colOff>1905000</xdr:colOff>
                    <xdr:row>40</xdr:row>
                    <xdr:rowOff>161925</xdr:rowOff>
                  </from>
                  <to>
                    <xdr:col>4</xdr:col>
                    <xdr:colOff>2209800</xdr:colOff>
                    <xdr:row>42</xdr:row>
                    <xdr:rowOff>0</xdr:rowOff>
                  </to>
                </anchor>
              </controlPr>
            </control>
          </mc:Choice>
        </mc:AlternateContent>
        <mc:AlternateContent xmlns:mc="http://schemas.openxmlformats.org/markup-compatibility/2006">
          <mc:Choice Requires="x14">
            <control shapeId="62595" r:id="rId90" name="Check Box 131">
              <controlPr defaultSize="0" autoFill="0" autoLine="0" autoPict="0">
                <anchor moveWithCells="1">
                  <from>
                    <xdr:col>3</xdr:col>
                    <xdr:colOff>1219200</xdr:colOff>
                    <xdr:row>41</xdr:row>
                    <xdr:rowOff>0</xdr:rowOff>
                  </from>
                  <to>
                    <xdr:col>3</xdr:col>
                    <xdr:colOff>1524000</xdr:colOff>
                    <xdr:row>42</xdr:row>
                    <xdr:rowOff>28575</xdr:rowOff>
                  </to>
                </anchor>
              </controlPr>
            </control>
          </mc:Choice>
        </mc:AlternateContent>
        <mc:AlternateContent xmlns:mc="http://schemas.openxmlformats.org/markup-compatibility/2006">
          <mc:Choice Requires="x14">
            <control shapeId="62596" r:id="rId91" name="Check Box 132">
              <controlPr defaultSize="0" autoFill="0" autoLine="0" autoPict="0">
                <anchor moveWithCells="1">
                  <from>
                    <xdr:col>4</xdr:col>
                    <xdr:colOff>1905000</xdr:colOff>
                    <xdr:row>40</xdr:row>
                    <xdr:rowOff>161925</xdr:rowOff>
                  </from>
                  <to>
                    <xdr:col>4</xdr:col>
                    <xdr:colOff>2209800</xdr:colOff>
                    <xdr:row>42</xdr:row>
                    <xdr:rowOff>0</xdr:rowOff>
                  </to>
                </anchor>
              </controlPr>
            </control>
          </mc:Choice>
        </mc:AlternateContent>
        <mc:AlternateContent xmlns:mc="http://schemas.openxmlformats.org/markup-compatibility/2006">
          <mc:Choice Requires="x14">
            <control shapeId="62597" r:id="rId92" name="Check Box 133">
              <controlPr defaultSize="0" autoFill="0" autoLine="0" autoPict="0">
                <anchor moveWithCells="1">
                  <from>
                    <xdr:col>4</xdr:col>
                    <xdr:colOff>1905000</xdr:colOff>
                    <xdr:row>41</xdr:row>
                    <xdr:rowOff>161925</xdr:rowOff>
                  </from>
                  <to>
                    <xdr:col>4</xdr:col>
                    <xdr:colOff>2209800</xdr:colOff>
                    <xdr:row>43</xdr:row>
                    <xdr:rowOff>0</xdr:rowOff>
                  </to>
                </anchor>
              </controlPr>
            </control>
          </mc:Choice>
        </mc:AlternateContent>
        <mc:AlternateContent xmlns:mc="http://schemas.openxmlformats.org/markup-compatibility/2006">
          <mc:Choice Requires="x14">
            <control shapeId="62598" r:id="rId93" name="Check Box 134">
              <controlPr defaultSize="0" autoFill="0" autoLine="0" autoPict="0">
                <anchor moveWithCells="1">
                  <from>
                    <xdr:col>3</xdr:col>
                    <xdr:colOff>1219200</xdr:colOff>
                    <xdr:row>42</xdr:row>
                    <xdr:rowOff>0</xdr:rowOff>
                  </from>
                  <to>
                    <xdr:col>3</xdr:col>
                    <xdr:colOff>1524000</xdr:colOff>
                    <xdr:row>43</xdr:row>
                    <xdr:rowOff>28575</xdr:rowOff>
                  </to>
                </anchor>
              </controlPr>
            </control>
          </mc:Choice>
        </mc:AlternateContent>
        <mc:AlternateContent xmlns:mc="http://schemas.openxmlformats.org/markup-compatibility/2006">
          <mc:Choice Requires="x14">
            <control shapeId="62599" r:id="rId94" name="Check Box 135">
              <controlPr defaultSize="0" autoFill="0" autoLine="0" autoPict="0">
                <anchor moveWithCells="1">
                  <from>
                    <xdr:col>4</xdr:col>
                    <xdr:colOff>1905000</xdr:colOff>
                    <xdr:row>41</xdr:row>
                    <xdr:rowOff>161925</xdr:rowOff>
                  </from>
                  <to>
                    <xdr:col>4</xdr:col>
                    <xdr:colOff>2209800</xdr:colOff>
                    <xdr:row>43</xdr:row>
                    <xdr:rowOff>0</xdr:rowOff>
                  </to>
                </anchor>
              </controlPr>
            </control>
          </mc:Choice>
        </mc:AlternateContent>
        <mc:AlternateContent xmlns:mc="http://schemas.openxmlformats.org/markup-compatibility/2006">
          <mc:Choice Requires="x14">
            <control shapeId="62600" r:id="rId95" name="Check Box 136">
              <controlPr defaultSize="0" autoFill="0" autoLine="0" autoPict="0">
                <anchor moveWithCells="1">
                  <from>
                    <xdr:col>4</xdr:col>
                    <xdr:colOff>1905000</xdr:colOff>
                    <xdr:row>42</xdr:row>
                    <xdr:rowOff>161925</xdr:rowOff>
                  </from>
                  <to>
                    <xdr:col>4</xdr:col>
                    <xdr:colOff>2209800</xdr:colOff>
                    <xdr:row>44</xdr:row>
                    <xdr:rowOff>0</xdr:rowOff>
                  </to>
                </anchor>
              </controlPr>
            </control>
          </mc:Choice>
        </mc:AlternateContent>
        <mc:AlternateContent xmlns:mc="http://schemas.openxmlformats.org/markup-compatibility/2006">
          <mc:Choice Requires="x14">
            <control shapeId="62601" r:id="rId96" name="Check Box 137">
              <controlPr defaultSize="0" autoFill="0" autoLine="0" autoPict="0">
                <anchor moveWithCells="1">
                  <from>
                    <xdr:col>3</xdr:col>
                    <xdr:colOff>1219200</xdr:colOff>
                    <xdr:row>43</xdr:row>
                    <xdr:rowOff>0</xdr:rowOff>
                  </from>
                  <to>
                    <xdr:col>3</xdr:col>
                    <xdr:colOff>1524000</xdr:colOff>
                    <xdr:row>44</xdr:row>
                    <xdr:rowOff>28575</xdr:rowOff>
                  </to>
                </anchor>
              </controlPr>
            </control>
          </mc:Choice>
        </mc:AlternateContent>
        <mc:AlternateContent xmlns:mc="http://schemas.openxmlformats.org/markup-compatibility/2006">
          <mc:Choice Requires="x14">
            <control shapeId="62602" r:id="rId97" name="Check Box 138">
              <controlPr defaultSize="0" autoFill="0" autoLine="0" autoPict="0">
                <anchor moveWithCells="1">
                  <from>
                    <xdr:col>4</xdr:col>
                    <xdr:colOff>1905000</xdr:colOff>
                    <xdr:row>42</xdr:row>
                    <xdr:rowOff>161925</xdr:rowOff>
                  </from>
                  <to>
                    <xdr:col>4</xdr:col>
                    <xdr:colOff>2209800</xdr:colOff>
                    <xdr:row>44</xdr:row>
                    <xdr:rowOff>0</xdr:rowOff>
                  </to>
                </anchor>
              </controlPr>
            </control>
          </mc:Choice>
        </mc:AlternateContent>
        <mc:AlternateContent xmlns:mc="http://schemas.openxmlformats.org/markup-compatibility/2006">
          <mc:Choice Requires="x14">
            <control shapeId="62603" r:id="rId98" name="Check Box 139">
              <controlPr defaultSize="0" autoFill="0" autoLine="0" autoPict="0">
                <anchor moveWithCells="1">
                  <from>
                    <xdr:col>4</xdr:col>
                    <xdr:colOff>1905000</xdr:colOff>
                    <xdr:row>43</xdr:row>
                    <xdr:rowOff>161925</xdr:rowOff>
                  </from>
                  <to>
                    <xdr:col>4</xdr:col>
                    <xdr:colOff>2209800</xdr:colOff>
                    <xdr:row>45</xdr:row>
                    <xdr:rowOff>0</xdr:rowOff>
                  </to>
                </anchor>
              </controlPr>
            </control>
          </mc:Choice>
        </mc:AlternateContent>
        <mc:AlternateContent xmlns:mc="http://schemas.openxmlformats.org/markup-compatibility/2006">
          <mc:Choice Requires="x14">
            <control shapeId="62604" r:id="rId99" name="Check Box 140">
              <controlPr defaultSize="0" autoFill="0" autoLine="0" autoPict="0">
                <anchor moveWithCells="1">
                  <from>
                    <xdr:col>3</xdr:col>
                    <xdr:colOff>1219200</xdr:colOff>
                    <xdr:row>44</xdr:row>
                    <xdr:rowOff>0</xdr:rowOff>
                  </from>
                  <to>
                    <xdr:col>3</xdr:col>
                    <xdr:colOff>1524000</xdr:colOff>
                    <xdr:row>45</xdr:row>
                    <xdr:rowOff>28575</xdr:rowOff>
                  </to>
                </anchor>
              </controlPr>
            </control>
          </mc:Choice>
        </mc:AlternateContent>
        <mc:AlternateContent xmlns:mc="http://schemas.openxmlformats.org/markup-compatibility/2006">
          <mc:Choice Requires="x14">
            <control shapeId="62605" r:id="rId100" name="Check Box 141">
              <controlPr defaultSize="0" autoFill="0" autoLine="0" autoPict="0">
                <anchor moveWithCells="1">
                  <from>
                    <xdr:col>4</xdr:col>
                    <xdr:colOff>1905000</xdr:colOff>
                    <xdr:row>43</xdr:row>
                    <xdr:rowOff>161925</xdr:rowOff>
                  </from>
                  <to>
                    <xdr:col>4</xdr:col>
                    <xdr:colOff>2209800</xdr:colOff>
                    <xdr:row>45</xdr:row>
                    <xdr:rowOff>0</xdr:rowOff>
                  </to>
                </anchor>
              </controlPr>
            </control>
          </mc:Choice>
        </mc:AlternateContent>
        <mc:AlternateContent xmlns:mc="http://schemas.openxmlformats.org/markup-compatibility/2006">
          <mc:Choice Requires="x14">
            <control shapeId="62606" r:id="rId101" name="Check Box 142">
              <controlPr defaultSize="0" autoFill="0" autoLine="0" autoPict="0">
                <anchor moveWithCells="1">
                  <from>
                    <xdr:col>4</xdr:col>
                    <xdr:colOff>1905000</xdr:colOff>
                    <xdr:row>44</xdr:row>
                    <xdr:rowOff>161925</xdr:rowOff>
                  </from>
                  <to>
                    <xdr:col>4</xdr:col>
                    <xdr:colOff>2209800</xdr:colOff>
                    <xdr:row>46</xdr:row>
                    <xdr:rowOff>0</xdr:rowOff>
                  </to>
                </anchor>
              </controlPr>
            </control>
          </mc:Choice>
        </mc:AlternateContent>
        <mc:AlternateContent xmlns:mc="http://schemas.openxmlformats.org/markup-compatibility/2006">
          <mc:Choice Requires="x14">
            <control shapeId="62607" r:id="rId102" name="Check Box 143">
              <controlPr defaultSize="0" autoFill="0" autoLine="0" autoPict="0">
                <anchor moveWithCells="1">
                  <from>
                    <xdr:col>3</xdr:col>
                    <xdr:colOff>1219200</xdr:colOff>
                    <xdr:row>45</xdr:row>
                    <xdr:rowOff>0</xdr:rowOff>
                  </from>
                  <to>
                    <xdr:col>3</xdr:col>
                    <xdr:colOff>1524000</xdr:colOff>
                    <xdr:row>46</xdr:row>
                    <xdr:rowOff>28575</xdr:rowOff>
                  </to>
                </anchor>
              </controlPr>
            </control>
          </mc:Choice>
        </mc:AlternateContent>
        <mc:AlternateContent xmlns:mc="http://schemas.openxmlformats.org/markup-compatibility/2006">
          <mc:Choice Requires="x14">
            <control shapeId="62608" r:id="rId103" name="Check Box 144">
              <controlPr defaultSize="0" autoFill="0" autoLine="0" autoPict="0">
                <anchor moveWithCells="1">
                  <from>
                    <xdr:col>4</xdr:col>
                    <xdr:colOff>1905000</xdr:colOff>
                    <xdr:row>44</xdr:row>
                    <xdr:rowOff>161925</xdr:rowOff>
                  </from>
                  <to>
                    <xdr:col>4</xdr:col>
                    <xdr:colOff>2209800</xdr:colOff>
                    <xdr:row>46</xdr:row>
                    <xdr:rowOff>0</xdr:rowOff>
                  </to>
                </anchor>
              </controlPr>
            </control>
          </mc:Choice>
        </mc:AlternateContent>
        <mc:AlternateContent xmlns:mc="http://schemas.openxmlformats.org/markup-compatibility/2006">
          <mc:Choice Requires="x14">
            <control shapeId="62609" r:id="rId104" name="Check Box 145">
              <controlPr defaultSize="0" autoFill="0" autoLine="0" autoPict="0">
                <anchor moveWithCells="1">
                  <from>
                    <xdr:col>4</xdr:col>
                    <xdr:colOff>1905000</xdr:colOff>
                    <xdr:row>45</xdr:row>
                    <xdr:rowOff>161925</xdr:rowOff>
                  </from>
                  <to>
                    <xdr:col>4</xdr:col>
                    <xdr:colOff>2209800</xdr:colOff>
                    <xdr:row>47</xdr:row>
                    <xdr:rowOff>0</xdr:rowOff>
                  </to>
                </anchor>
              </controlPr>
            </control>
          </mc:Choice>
        </mc:AlternateContent>
        <mc:AlternateContent xmlns:mc="http://schemas.openxmlformats.org/markup-compatibility/2006">
          <mc:Choice Requires="x14">
            <control shapeId="62610" r:id="rId105" name="Check Box 146">
              <controlPr defaultSize="0" autoFill="0" autoLine="0" autoPict="0">
                <anchor moveWithCells="1">
                  <from>
                    <xdr:col>3</xdr:col>
                    <xdr:colOff>1219200</xdr:colOff>
                    <xdr:row>46</xdr:row>
                    <xdr:rowOff>0</xdr:rowOff>
                  </from>
                  <to>
                    <xdr:col>3</xdr:col>
                    <xdr:colOff>1524000</xdr:colOff>
                    <xdr:row>47</xdr:row>
                    <xdr:rowOff>28575</xdr:rowOff>
                  </to>
                </anchor>
              </controlPr>
            </control>
          </mc:Choice>
        </mc:AlternateContent>
        <mc:AlternateContent xmlns:mc="http://schemas.openxmlformats.org/markup-compatibility/2006">
          <mc:Choice Requires="x14">
            <control shapeId="62611" r:id="rId106" name="Check Box 147">
              <controlPr defaultSize="0" autoFill="0" autoLine="0" autoPict="0">
                <anchor moveWithCells="1">
                  <from>
                    <xdr:col>4</xdr:col>
                    <xdr:colOff>1905000</xdr:colOff>
                    <xdr:row>45</xdr:row>
                    <xdr:rowOff>161925</xdr:rowOff>
                  </from>
                  <to>
                    <xdr:col>4</xdr:col>
                    <xdr:colOff>2209800</xdr:colOff>
                    <xdr:row>47</xdr:row>
                    <xdr:rowOff>0</xdr:rowOff>
                  </to>
                </anchor>
              </controlPr>
            </control>
          </mc:Choice>
        </mc:AlternateContent>
        <mc:AlternateContent xmlns:mc="http://schemas.openxmlformats.org/markup-compatibility/2006">
          <mc:Choice Requires="x14">
            <control shapeId="62613" r:id="rId107" name="Check Box 149">
              <controlPr defaultSize="0" autoFill="0" autoLine="0" autoPict="0">
                <anchor moveWithCells="1">
                  <from>
                    <xdr:col>3</xdr:col>
                    <xdr:colOff>1209675</xdr:colOff>
                    <xdr:row>47</xdr:row>
                    <xdr:rowOff>104775</xdr:rowOff>
                  </from>
                  <to>
                    <xdr:col>3</xdr:col>
                    <xdr:colOff>1514475</xdr:colOff>
                    <xdr:row>47</xdr:row>
                    <xdr:rowOff>323850</xdr:rowOff>
                  </to>
                </anchor>
              </controlPr>
            </control>
          </mc:Choice>
        </mc:AlternateContent>
        <mc:AlternateContent xmlns:mc="http://schemas.openxmlformats.org/markup-compatibility/2006">
          <mc:Choice Requires="x14">
            <control shapeId="62614" r:id="rId108" name="Check Box 150">
              <controlPr defaultSize="0" autoFill="0" autoLine="0" autoPict="0">
                <anchor moveWithCells="1">
                  <from>
                    <xdr:col>4</xdr:col>
                    <xdr:colOff>1914525</xdr:colOff>
                    <xdr:row>47</xdr:row>
                    <xdr:rowOff>76200</xdr:rowOff>
                  </from>
                  <to>
                    <xdr:col>4</xdr:col>
                    <xdr:colOff>2219325</xdr:colOff>
                    <xdr:row>47</xdr:row>
                    <xdr:rowOff>295275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C2D8657B-0A03-415C-8493-E7E7BB637FD7}">
            <xm:f>synthese!$B$67=FALSE</xm:f>
            <x14:dxf>
              <font>
                <color theme="0"/>
              </font>
              <fill>
                <patternFill>
                  <bgColor theme="0"/>
                </patternFill>
              </fill>
              <border>
                <left/>
                <right/>
                <top/>
                <bottom/>
              </border>
            </x14:dxf>
          </x14:cfRule>
          <xm:sqref>A6:H7</xm:sqref>
        </x14:conditionalFormatting>
        <x14:conditionalFormatting xmlns:xm="http://schemas.microsoft.com/office/excel/2006/main">
          <x14:cfRule type="expression" priority="1" id="{D2655F96-9BD3-4FAE-9107-250817D04D3A}">
            <xm:f>synthese!$B$67=FALSE</xm:f>
            <x14:dxf>
              <font>
                <color rgb="FFFF0000"/>
              </font>
              <fill>
                <patternFill>
                  <bgColor rgb="FFFF0000"/>
                </patternFill>
              </fill>
            </x14:dxf>
          </x14:cfRule>
          <xm:sqref>E11:E48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tabColor rgb="FF92D050"/>
  </sheetPr>
  <dimension ref="A1:X50"/>
  <sheetViews>
    <sheetView showGridLines="0" topLeftCell="B4" workbookViewId="0">
      <selection activeCell="F4" sqref="F4"/>
    </sheetView>
  </sheetViews>
  <sheetFormatPr defaultColWidth="9.140625" defaultRowHeight="15" x14ac:dyDescent="0.25"/>
  <cols>
    <col min="1" max="1" width="15.140625" style="127" hidden="1" customWidth="1"/>
    <col min="2" max="2" width="4.85546875" customWidth="1"/>
    <col min="3" max="3" width="44.5703125" bestFit="1" customWidth="1"/>
    <col min="4" max="4" width="20.42578125" bestFit="1" customWidth="1"/>
    <col min="5" max="5" width="50.140625" customWidth="1"/>
    <col min="6" max="6" width="46.28515625" bestFit="1" customWidth="1"/>
    <col min="7" max="7" width="37.140625" customWidth="1"/>
    <col min="8" max="8" width="32.85546875" customWidth="1"/>
    <col min="9" max="9" width="29.7109375" customWidth="1"/>
  </cols>
  <sheetData>
    <row r="1" spans="1:10" ht="21" x14ac:dyDescent="0.35">
      <c r="B1" s="356" t="s">
        <v>10931</v>
      </c>
      <c r="E1" s="49"/>
    </row>
    <row r="2" spans="1:10" s="141" customFormat="1" ht="15.75" thickBot="1" x14ac:dyDescent="0.3">
      <c r="B2" s="357" t="s">
        <v>14</v>
      </c>
    </row>
    <row r="3" spans="1:10" x14ac:dyDescent="0.25">
      <c r="C3" s="383" t="s">
        <v>10860</v>
      </c>
      <c r="D3" s="367" t="s">
        <v>2</v>
      </c>
      <c r="E3" s="365" t="s">
        <v>10861</v>
      </c>
      <c r="F3" s="368" t="s">
        <v>1</v>
      </c>
      <c r="G3" s="365" t="s">
        <v>3</v>
      </c>
      <c r="H3" s="366" t="s">
        <v>10865</v>
      </c>
    </row>
    <row r="4" spans="1:10" ht="109.5" customHeight="1" thickBot="1" x14ac:dyDescent="0.3">
      <c r="A4" s="86" t="s">
        <v>61</v>
      </c>
      <c r="C4" s="392" t="s">
        <v>14</v>
      </c>
      <c r="D4" s="170" t="s">
        <v>15</v>
      </c>
      <c r="E4" s="171" t="s">
        <v>353</v>
      </c>
      <c r="F4" s="172"/>
      <c r="G4" s="190" t="s">
        <v>16</v>
      </c>
      <c r="H4" s="173" t="s">
        <v>64</v>
      </c>
      <c r="I4" s="2"/>
      <c r="J4" s="2"/>
    </row>
    <row r="5" spans="1:10" s="252" customFormat="1" ht="21" x14ac:dyDescent="0.35">
      <c r="A5" s="84"/>
      <c r="B5" s="124"/>
      <c r="E5" s="49"/>
    </row>
    <row r="6" spans="1:10" ht="15.75" thickBot="1" x14ac:dyDescent="0.3">
      <c r="A6" s="84"/>
      <c r="B6" s="360" t="s">
        <v>10949</v>
      </c>
      <c r="C6" s="141"/>
    </row>
    <row r="7" spans="1:10" x14ac:dyDescent="0.25">
      <c r="A7" s="84"/>
      <c r="C7" s="383" t="s">
        <v>10860</v>
      </c>
      <c r="D7" s="362" t="s">
        <v>2</v>
      </c>
      <c r="E7" s="363" t="s">
        <v>10861</v>
      </c>
      <c r="F7" s="364" t="s">
        <v>1</v>
      </c>
      <c r="G7" s="365" t="s">
        <v>3</v>
      </c>
      <c r="H7" s="366" t="s">
        <v>10865</v>
      </c>
    </row>
    <row r="8" spans="1:10" ht="195" x14ac:dyDescent="0.25">
      <c r="A8" s="86" t="s">
        <v>90</v>
      </c>
      <c r="C8" s="405" t="s">
        <v>10929</v>
      </c>
      <c r="D8" s="148" t="s">
        <v>10989</v>
      </c>
      <c r="E8" s="109" t="s">
        <v>11343</v>
      </c>
      <c r="F8" s="473"/>
      <c r="G8" s="335" t="s">
        <v>11212</v>
      </c>
      <c r="H8" s="184" t="s">
        <v>89</v>
      </c>
      <c r="J8" s="2"/>
    </row>
    <row r="9" spans="1:10" s="2" customFormat="1" ht="30" x14ac:dyDescent="0.25">
      <c r="A9" s="86" t="s">
        <v>5743</v>
      </c>
      <c r="C9" s="406" t="s">
        <v>5744</v>
      </c>
      <c r="D9" s="106" t="s">
        <v>10989</v>
      </c>
      <c r="E9" s="98" t="s">
        <v>11211</v>
      </c>
      <c r="F9" s="204"/>
      <c r="G9" s="100" t="s">
        <v>63</v>
      </c>
      <c r="H9" s="161" t="s">
        <v>89</v>
      </c>
    </row>
    <row r="10" spans="1:10" ht="30.75" thickBot="1" x14ac:dyDescent="0.3">
      <c r="A10" s="86" t="s">
        <v>5745</v>
      </c>
      <c r="C10" s="407" t="s">
        <v>5746</v>
      </c>
      <c r="D10" s="182" t="s">
        <v>10989</v>
      </c>
      <c r="E10" s="171" t="s">
        <v>11194</v>
      </c>
      <c r="F10" s="172"/>
      <c r="G10" s="189" t="s">
        <v>5747</v>
      </c>
      <c r="H10" s="173" t="s">
        <v>89</v>
      </c>
      <c r="J10" s="2"/>
    </row>
    <row r="11" spans="1:10" s="252" customFormat="1" x14ac:dyDescent="0.25">
      <c r="A11" s="86"/>
      <c r="C11" s="281"/>
      <c r="D11" s="143"/>
      <c r="E11" s="131"/>
      <c r="F11" s="445"/>
      <c r="G11" s="108"/>
      <c r="H11" s="139"/>
      <c r="J11" s="2"/>
    </row>
    <row r="12" spans="1:10" s="252" customFormat="1" x14ac:dyDescent="0.25">
      <c r="A12" s="84"/>
      <c r="B12" s="357" t="s">
        <v>10933</v>
      </c>
      <c r="E12" s="49"/>
    </row>
    <row r="13" spans="1:10" s="141" customFormat="1" ht="15.75" thickBot="1" x14ac:dyDescent="0.3">
      <c r="A13" s="84"/>
      <c r="C13" s="279" t="s">
        <v>10984</v>
      </c>
    </row>
    <row r="14" spans="1:10" x14ac:dyDescent="0.25">
      <c r="A14" s="280" t="s">
        <v>10916</v>
      </c>
      <c r="C14" s="384" t="s">
        <v>10860</v>
      </c>
      <c r="D14" s="362" t="s">
        <v>2</v>
      </c>
      <c r="E14" s="363" t="s">
        <v>10861</v>
      </c>
      <c r="F14" s="364" t="s">
        <v>11016</v>
      </c>
      <c r="G14" s="368" t="s">
        <v>11017</v>
      </c>
      <c r="H14" s="364" t="s">
        <v>3</v>
      </c>
      <c r="I14" s="366" t="s">
        <v>10865</v>
      </c>
      <c r="J14" s="127"/>
    </row>
    <row r="15" spans="1:10" s="2" customFormat="1" ht="45" x14ac:dyDescent="0.25">
      <c r="A15" s="60" t="s">
        <v>10944</v>
      </c>
      <c r="B15" s="127"/>
      <c r="C15" s="408" t="s">
        <v>10927</v>
      </c>
      <c r="D15" s="148" t="s">
        <v>10989</v>
      </c>
      <c r="E15" s="149" t="s">
        <v>10932</v>
      </c>
      <c r="F15" s="430"/>
      <c r="G15" s="196"/>
      <c r="H15" s="331" t="s">
        <v>11196</v>
      </c>
      <c r="I15" s="164" t="s">
        <v>154</v>
      </c>
      <c r="J15" s="127"/>
    </row>
    <row r="16" spans="1:10" s="2" customFormat="1" ht="45" x14ac:dyDescent="0.25">
      <c r="A16" s="60" t="s">
        <v>10945</v>
      </c>
      <c r="B16" s="27"/>
      <c r="C16" s="386" t="s">
        <v>41</v>
      </c>
      <c r="D16" s="106" t="s">
        <v>10989</v>
      </c>
      <c r="E16" s="146" t="s">
        <v>155</v>
      </c>
      <c r="F16" s="203"/>
      <c r="G16" s="204"/>
      <c r="H16" s="441" t="s">
        <v>443</v>
      </c>
      <c r="I16" s="161" t="s">
        <v>154</v>
      </c>
      <c r="J16" s="127"/>
    </row>
    <row r="17" spans="1:24" s="2" customFormat="1" ht="45" x14ac:dyDescent="0.25">
      <c r="A17" s="60" t="s">
        <v>10946</v>
      </c>
      <c r="B17" s="27"/>
      <c r="C17" s="395" t="s">
        <v>0</v>
      </c>
      <c r="D17" s="34" t="s">
        <v>10989</v>
      </c>
      <c r="E17" s="150" t="s">
        <v>156</v>
      </c>
      <c r="F17" s="430"/>
      <c r="G17" s="430"/>
      <c r="H17" s="442" t="s">
        <v>11198</v>
      </c>
      <c r="I17" s="184" t="s">
        <v>154</v>
      </c>
      <c r="J17" s="127"/>
    </row>
    <row r="18" spans="1:24" ht="45" x14ac:dyDescent="0.25">
      <c r="A18" s="60" t="s">
        <v>10947</v>
      </c>
      <c r="B18" s="27"/>
      <c r="C18" s="386" t="s">
        <v>42</v>
      </c>
      <c r="D18" s="106" t="s">
        <v>10989</v>
      </c>
      <c r="E18" s="147" t="s">
        <v>364</v>
      </c>
      <c r="F18" s="431"/>
      <c r="G18" s="431"/>
      <c r="H18" s="443" t="s">
        <v>11197</v>
      </c>
      <c r="I18" s="161" t="s">
        <v>154</v>
      </c>
      <c r="J18" s="127"/>
    </row>
    <row r="19" spans="1:24" ht="15.75" thickBot="1" x14ac:dyDescent="0.3">
      <c r="A19" s="60" t="s">
        <v>10948</v>
      </c>
      <c r="B19" s="27"/>
      <c r="C19" s="392" t="s">
        <v>43</v>
      </c>
      <c r="D19" s="182" t="s">
        <v>10989</v>
      </c>
      <c r="E19" s="187" t="s">
        <v>157</v>
      </c>
      <c r="F19" s="597" t="s">
        <v>451</v>
      </c>
      <c r="G19" s="597" t="s">
        <v>451</v>
      </c>
      <c r="H19" s="444" t="s">
        <v>451</v>
      </c>
      <c r="I19" s="188"/>
      <c r="J19" s="151"/>
    </row>
    <row r="20" spans="1:24" s="127" customFormat="1" x14ac:dyDescent="0.25">
      <c r="A20" s="60"/>
      <c r="B20" s="27"/>
      <c r="C20" s="130"/>
      <c r="D20" s="143"/>
      <c r="E20" s="131"/>
      <c r="F20" s="57"/>
      <c r="G20" s="57"/>
      <c r="H20" s="57"/>
      <c r="J20" s="142"/>
    </row>
    <row r="21" spans="1:24" ht="12.75" customHeight="1" x14ac:dyDescent="0.25">
      <c r="A21" s="84"/>
      <c r="B21" s="357" t="s">
        <v>10921</v>
      </c>
      <c r="C21" s="252"/>
      <c r="D21" s="252"/>
      <c r="E21" s="252"/>
      <c r="F21" s="252"/>
      <c r="G21" s="252"/>
      <c r="H21" s="252"/>
      <c r="I21" s="252"/>
      <c r="O21" s="127"/>
      <c r="P21" s="127"/>
      <c r="Q21" s="127"/>
      <c r="R21" s="127"/>
      <c r="S21" s="127"/>
      <c r="T21" s="127"/>
      <c r="U21" s="127"/>
      <c r="V21" s="127"/>
      <c r="W21" s="127"/>
      <c r="X21" s="127"/>
    </row>
    <row r="22" spans="1:24" ht="15.75" thickBot="1" x14ac:dyDescent="0.3">
      <c r="A22" s="84"/>
      <c r="B22" s="60"/>
      <c r="C22" s="582" t="s">
        <v>10985</v>
      </c>
      <c r="D22" s="582"/>
      <c r="E22" s="143"/>
      <c r="F22" s="252"/>
      <c r="G22" s="252"/>
      <c r="H22" s="252"/>
      <c r="I22" s="141"/>
      <c r="O22" s="127"/>
      <c r="P22" s="127"/>
      <c r="Q22" s="127"/>
      <c r="R22" s="127"/>
      <c r="S22" s="127"/>
      <c r="T22" s="127"/>
      <c r="U22" s="127"/>
      <c r="V22" s="127"/>
      <c r="W22" s="127"/>
      <c r="X22" s="127"/>
    </row>
    <row r="23" spans="1:24" x14ac:dyDescent="0.25">
      <c r="A23" s="84"/>
      <c r="B23" s="60"/>
      <c r="C23" s="373" t="s">
        <v>10860</v>
      </c>
      <c r="D23" s="362" t="s">
        <v>2</v>
      </c>
      <c r="E23" s="367" t="s">
        <v>10861</v>
      </c>
      <c r="F23" s="364" t="s">
        <v>11016</v>
      </c>
      <c r="G23" s="368" t="s">
        <v>11017</v>
      </c>
      <c r="H23" s="374" t="s">
        <v>3</v>
      </c>
      <c r="I23" s="366" t="s">
        <v>10865</v>
      </c>
      <c r="N23" s="127"/>
      <c r="O23" s="127"/>
      <c r="P23" s="127"/>
      <c r="Q23" s="127"/>
      <c r="R23" s="127"/>
      <c r="S23" s="127"/>
      <c r="T23" s="127"/>
      <c r="U23" s="127"/>
      <c r="V23" s="127"/>
      <c r="W23" s="127"/>
    </row>
    <row r="24" spans="1:24" s="127" customFormat="1" ht="60" x14ac:dyDescent="0.25">
      <c r="A24" s="60" t="s">
        <v>10934</v>
      </c>
      <c r="B24" s="60"/>
      <c r="C24" s="399" t="s">
        <v>10927</v>
      </c>
      <c r="D24" s="148" t="s">
        <v>10989</v>
      </c>
      <c r="E24" s="156" t="s">
        <v>10928</v>
      </c>
      <c r="F24" s="262"/>
      <c r="G24" s="196"/>
      <c r="H24" s="330" t="s">
        <v>11195</v>
      </c>
      <c r="I24" s="179" t="s">
        <v>154</v>
      </c>
    </row>
    <row r="25" spans="1:24" s="127" customFormat="1" ht="45" x14ac:dyDescent="0.25">
      <c r="A25" s="60" t="s">
        <v>10935</v>
      </c>
      <c r="B25" s="60"/>
      <c r="C25" s="386" t="s">
        <v>41</v>
      </c>
      <c r="D25" s="106" t="s">
        <v>10989</v>
      </c>
      <c r="E25" s="98" t="s">
        <v>155</v>
      </c>
      <c r="F25" s="203"/>
      <c r="G25" s="204"/>
      <c r="H25" s="441" t="s">
        <v>443</v>
      </c>
      <c r="I25" s="180" t="s">
        <v>154</v>
      </c>
    </row>
    <row r="26" spans="1:24" s="141" customFormat="1" ht="45" x14ac:dyDescent="0.25">
      <c r="A26" s="60" t="s">
        <v>10936</v>
      </c>
      <c r="B26" s="60"/>
      <c r="C26" s="386" t="s">
        <v>0</v>
      </c>
      <c r="D26" s="34" t="s">
        <v>10989</v>
      </c>
      <c r="E26" s="131" t="s">
        <v>156</v>
      </c>
      <c r="F26" s="419"/>
      <c r="G26" s="430"/>
      <c r="H26" s="332" t="s">
        <v>11199</v>
      </c>
      <c r="I26" s="181" t="s">
        <v>154</v>
      </c>
      <c r="J26" s="142"/>
    </row>
    <row r="27" spans="1:24" s="127" customFormat="1" ht="45" x14ac:dyDescent="0.25">
      <c r="A27" s="60" t="s">
        <v>10937</v>
      </c>
      <c r="B27" s="60"/>
      <c r="C27" s="386" t="s">
        <v>42</v>
      </c>
      <c r="D27" s="106" t="s">
        <v>10989</v>
      </c>
      <c r="E27" s="158" t="s">
        <v>364</v>
      </c>
      <c r="F27" s="204"/>
      <c r="G27" s="431"/>
      <c r="H27" s="101" t="s">
        <v>11200</v>
      </c>
      <c r="I27" s="180" t="s">
        <v>154</v>
      </c>
    </row>
    <row r="28" spans="1:24" s="252" customFormat="1" ht="15.75" thickBot="1" x14ac:dyDescent="0.3">
      <c r="A28" s="60" t="s">
        <v>10938</v>
      </c>
      <c r="B28" s="141"/>
      <c r="C28" s="397" t="s">
        <v>43</v>
      </c>
      <c r="D28" s="182" t="s">
        <v>10989</v>
      </c>
      <c r="E28" s="183" t="s">
        <v>157</v>
      </c>
      <c r="F28" s="597" t="s">
        <v>451</v>
      </c>
      <c r="G28" s="597" t="s">
        <v>451</v>
      </c>
      <c r="H28" s="190" t="s">
        <v>451</v>
      </c>
      <c r="I28" s="198"/>
      <c r="J28" s="151"/>
    </row>
    <row r="29" spans="1:24" s="127" customFormat="1" ht="19.5" customHeight="1" x14ac:dyDescent="0.25">
      <c r="A29" s="60"/>
      <c r="B29" s="252"/>
      <c r="C29" s="140"/>
      <c r="D29" s="140"/>
      <c r="E29" s="143"/>
      <c r="F29" s="353"/>
      <c r="G29" s="191"/>
      <c r="H29" s="191"/>
      <c r="I29" s="140"/>
    </row>
    <row r="30" spans="1:24" ht="12" customHeight="1" x14ac:dyDescent="0.25">
      <c r="A30" s="60"/>
      <c r="B30" s="357" t="s">
        <v>10922</v>
      </c>
      <c r="C30" s="27"/>
      <c r="D30" s="141"/>
      <c r="E30" s="141"/>
      <c r="F30" s="252"/>
      <c r="G30" s="57"/>
      <c r="H30" s="57"/>
      <c r="I30" s="57"/>
      <c r="J30" s="252"/>
      <c r="O30" s="127"/>
      <c r="P30" s="127"/>
      <c r="Q30" s="127"/>
      <c r="R30" s="127"/>
      <c r="S30" s="127"/>
      <c r="T30" s="127"/>
      <c r="U30" s="127"/>
      <c r="V30" s="127"/>
      <c r="W30" s="127"/>
      <c r="X30" s="127"/>
    </row>
    <row r="31" spans="1:24" ht="15.75" thickBot="1" x14ac:dyDescent="0.3">
      <c r="A31" s="84"/>
      <c r="B31" s="60"/>
      <c r="C31" s="583" t="s">
        <v>10925</v>
      </c>
      <c r="D31" s="583"/>
      <c r="E31" s="141"/>
      <c r="F31" s="252"/>
      <c r="G31" s="252"/>
      <c r="H31" s="252"/>
      <c r="I31" s="127"/>
      <c r="O31" s="127"/>
      <c r="P31" s="127"/>
      <c r="Q31" s="127"/>
      <c r="R31" s="127"/>
      <c r="S31" s="127"/>
      <c r="T31" s="127"/>
      <c r="U31" s="127"/>
      <c r="V31" s="127"/>
      <c r="W31" s="127"/>
      <c r="X31" s="127"/>
    </row>
    <row r="32" spans="1:24" x14ac:dyDescent="0.25">
      <c r="A32" s="84"/>
      <c r="B32" s="60"/>
      <c r="C32" s="373" t="s">
        <v>10860</v>
      </c>
      <c r="D32" s="362" t="s">
        <v>2</v>
      </c>
      <c r="E32" s="367" t="s">
        <v>10861</v>
      </c>
      <c r="F32" s="364" t="s">
        <v>11016</v>
      </c>
      <c r="G32" s="368" t="s">
        <v>11017</v>
      </c>
      <c r="H32" s="374" t="s">
        <v>3</v>
      </c>
      <c r="I32" s="366" t="s">
        <v>10865</v>
      </c>
      <c r="N32" s="127"/>
      <c r="O32" s="127"/>
      <c r="P32" s="127"/>
      <c r="Q32" s="127"/>
      <c r="R32" s="127"/>
      <c r="S32" s="127"/>
      <c r="T32" s="127"/>
      <c r="U32" s="127"/>
      <c r="V32" s="127"/>
      <c r="W32" s="127"/>
    </row>
    <row r="33" spans="1:23" ht="75" x14ac:dyDescent="0.25">
      <c r="A33" s="60" t="s">
        <v>10939</v>
      </c>
      <c r="B33" s="60"/>
      <c r="C33" s="399" t="s">
        <v>10927</v>
      </c>
      <c r="D33" s="148" t="s">
        <v>10989</v>
      </c>
      <c r="E33" s="156" t="s">
        <v>10928</v>
      </c>
      <c r="F33" s="262"/>
      <c r="G33" s="432"/>
      <c r="H33" s="330" t="s">
        <v>11202</v>
      </c>
      <c r="I33" s="179" t="s">
        <v>154</v>
      </c>
      <c r="N33" s="127"/>
      <c r="O33" s="127"/>
      <c r="P33" s="127"/>
      <c r="Q33" s="127"/>
      <c r="R33" s="127"/>
      <c r="S33" s="127"/>
      <c r="T33" s="127"/>
      <c r="U33" s="127"/>
      <c r="V33" s="127"/>
      <c r="W33" s="127"/>
    </row>
    <row r="34" spans="1:23" ht="45" x14ac:dyDescent="0.25">
      <c r="A34" s="60" t="s">
        <v>10940</v>
      </c>
      <c r="B34" s="60"/>
      <c r="C34" s="386" t="s">
        <v>41</v>
      </c>
      <c r="D34" s="106" t="s">
        <v>10989</v>
      </c>
      <c r="E34" s="98" t="s">
        <v>155</v>
      </c>
      <c r="F34" s="203"/>
      <c r="G34" s="204"/>
      <c r="H34" s="441" t="s">
        <v>443</v>
      </c>
      <c r="I34" s="180" t="s">
        <v>154</v>
      </c>
      <c r="N34" s="127"/>
      <c r="O34" s="127"/>
      <c r="P34" s="127"/>
      <c r="Q34" s="127"/>
      <c r="R34" s="127"/>
      <c r="S34" s="127"/>
      <c r="T34" s="127"/>
      <c r="U34" s="127"/>
      <c r="V34" s="127"/>
      <c r="W34" s="127"/>
    </row>
    <row r="35" spans="1:23" ht="45" x14ac:dyDescent="0.25">
      <c r="A35" s="60" t="s">
        <v>10941</v>
      </c>
      <c r="B35" s="60"/>
      <c r="C35" s="386" t="s">
        <v>0</v>
      </c>
      <c r="D35" s="34" t="s">
        <v>10989</v>
      </c>
      <c r="E35" s="131" t="s">
        <v>156</v>
      </c>
      <c r="F35" s="419"/>
      <c r="G35" s="196"/>
      <c r="H35" s="332" t="s">
        <v>11201</v>
      </c>
      <c r="I35" s="181" t="s">
        <v>154</v>
      </c>
      <c r="J35" s="81"/>
      <c r="K35" s="81"/>
    </row>
    <row r="36" spans="1:23" ht="60" x14ac:dyDescent="0.25">
      <c r="A36" s="60" t="s">
        <v>10942</v>
      </c>
      <c r="B36" s="141"/>
      <c r="C36" s="386" t="s">
        <v>42</v>
      </c>
      <c r="D36" s="106" t="s">
        <v>10989</v>
      </c>
      <c r="E36" s="158" t="s">
        <v>364</v>
      </c>
      <c r="F36" s="204"/>
      <c r="G36" s="203"/>
      <c r="H36" s="101" t="s">
        <v>11203</v>
      </c>
      <c r="I36" s="180" t="s">
        <v>154</v>
      </c>
      <c r="K36" s="81"/>
      <c r="N36" s="81"/>
      <c r="O36" s="81"/>
    </row>
    <row r="37" spans="1:23" ht="15.75" thickBot="1" x14ac:dyDescent="0.3">
      <c r="A37" s="60" t="s">
        <v>10943</v>
      </c>
      <c r="B37" s="141"/>
      <c r="C37" s="397" t="s">
        <v>43</v>
      </c>
      <c r="D37" s="182" t="s">
        <v>10989</v>
      </c>
      <c r="E37" s="183" t="s">
        <v>157</v>
      </c>
      <c r="F37" s="597" t="s">
        <v>451</v>
      </c>
      <c r="G37" s="597" t="s">
        <v>451</v>
      </c>
      <c r="H37" s="190" t="s">
        <v>451</v>
      </c>
      <c r="I37" s="198"/>
      <c r="J37" s="151"/>
      <c r="K37" s="81"/>
      <c r="N37" s="81"/>
      <c r="O37" s="81"/>
      <c r="P37" s="81"/>
    </row>
    <row r="38" spans="1:23" ht="12.75" customHeight="1" x14ac:dyDescent="0.25">
      <c r="A38" s="84"/>
      <c r="B38" s="141"/>
      <c r="F38" s="252"/>
      <c r="G38" s="252"/>
      <c r="H38" s="252"/>
      <c r="J38" s="81"/>
      <c r="K38" s="81"/>
      <c r="L38" s="81"/>
      <c r="O38" s="81"/>
      <c r="P38" s="81"/>
      <c r="Q38" s="81"/>
    </row>
    <row r="39" spans="1:23" s="252" customFormat="1" ht="12" customHeight="1" x14ac:dyDescent="0.25">
      <c r="A39" s="84"/>
      <c r="B39" s="357" t="s">
        <v>11087</v>
      </c>
      <c r="C39"/>
      <c r="D39"/>
      <c r="E39"/>
      <c r="I39"/>
    </row>
    <row r="40" spans="1:23" s="252" customFormat="1" ht="15.75" thickBot="1" x14ac:dyDescent="0.3">
      <c r="A40" s="84"/>
      <c r="B40" s="60"/>
      <c r="C40" s="583" t="s">
        <v>11088</v>
      </c>
      <c r="D40" s="583"/>
    </row>
    <row r="41" spans="1:23" s="252" customFormat="1" x14ac:dyDescent="0.25">
      <c r="A41" s="84"/>
      <c r="B41" s="60"/>
      <c r="C41" s="373" t="s">
        <v>10860</v>
      </c>
      <c r="D41" s="362" t="s">
        <v>2</v>
      </c>
      <c r="E41" s="367" t="s">
        <v>10861</v>
      </c>
      <c r="F41" s="364" t="s">
        <v>11016</v>
      </c>
      <c r="G41" s="368" t="s">
        <v>11017</v>
      </c>
      <c r="H41" s="374" t="s">
        <v>3</v>
      </c>
      <c r="I41" s="366" t="s">
        <v>10865</v>
      </c>
    </row>
    <row r="42" spans="1:23" s="252" customFormat="1" ht="60" x14ac:dyDescent="0.25">
      <c r="A42" s="60" t="s">
        <v>11089</v>
      </c>
      <c r="B42" s="60"/>
      <c r="C42" s="399" t="s">
        <v>39</v>
      </c>
      <c r="D42" s="148" t="s">
        <v>10989</v>
      </c>
      <c r="E42" s="155" t="s">
        <v>10928</v>
      </c>
      <c r="F42" s="262"/>
      <c r="G42" s="262"/>
      <c r="H42" s="330" t="s">
        <v>11205</v>
      </c>
      <c r="I42" s="179" t="s">
        <v>154</v>
      </c>
    </row>
    <row r="43" spans="1:23" s="252" customFormat="1" ht="45" x14ac:dyDescent="0.25">
      <c r="A43" s="60" t="s">
        <v>11090</v>
      </c>
      <c r="B43" s="60"/>
      <c r="C43" s="386" t="s">
        <v>41</v>
      </c>
      <c r="D43" s="106" t="s">
        <v>10989</v>
      </c>
      <c r="E43" s="98" t="s">
        <v>155</v>
      </c>
      <c r="F43" s="203"/>
      <c r="G43" s="204"/>
      <c r="H43" s="441" t="s">
        <v>443</v>
      </c>
      <c r="I43" s="180" t="s">
        <v>154</v>
      </c>
    </row>
    <row r="44" spans="1:23" s="252" customFormat="1" ht="45" x14ac:dyDescent="0.25">
      <c r="A44" s="60" t="s">
        <v>11091</v>
      </c>
      <c r="B44" s="60"/>
      <c r="C44" s="386" t="s">
        <v>0</v>
      </c>
      <c r="D44" s="34" t="s">
        <v>10989</v>
      </c>
      <c r="E44" s="11" t="s">
        <v>156</v>
      </c>
      <c r="F44" s="419"/>
      <c r="G44" s="419"/>
      <c r="H44" s="333" t="s">
        <v>11204</v>
      </c>
      <c r="I44" s="181" t="s">
        <v>154</v>
      </c>
    </row>
    <row r="45" spans="1:23" s="252" customFormat="1" ht="45" x14ac:dyDescent="0.25">
      <c r="A45" s="60" t="s">
        <v>11092</v>
      </c>
      <c r="C45" s="386" t="s">
        <v>42</v>
      </c>
      <c r="D45" s="106" t="s">
        <v>10989</v>
      </c>
      <c r="E45" s="107" t="s">
        <v>364</v>
      </c>
      <c r="F45" s="204"/>
      <c r="G45" s="204"/>
      <c r="H45" s="101" t="s">
        <v>11206</v>
      </c>
      <c r="I45" s="180" t="s">
        <v>154</v>
      </c>
    </row>
    <row r="46" spans="1:23" ht="15.75" thickBot="1" x14ac:dyDescent="0.3">
      <c r="A46" s="60" t="s">
        <v>11093</v>
      </c>
      <c r="B46" s="252"/>
      <c r="C46" s="397" t="s">
        <v>43</v>
      </c>
      <c r="D46" s="182" t="s">
        <v>10989</v>
      </c>
      <c r="E46" s="171" t="s">
        <v>157</v>
      </c>
      <c r="F46" s="597" t="s">
        <v>451</v>
      </c>
      <c r="G46" s="597" t="s">
        <v>451</v>
      </c>
      <c r="H46" s="190" t="s">
        <v>451</v>
      </c>
      <c r="I46" s="198"/>
      <c r="J46" s="151"/>
      <c r="K46" s="81"/>
      <c r="N46" s="81"/>
    </row>
    <row r="47" spans="1:23" ht="12.75" customHeight="1" x14ac:dyDescent="0.25">
      <c r="A47" s="84"/>
      <c r="B47" s="141"/>
      <c r="H47" s="81"/>
      <c r="J47" s="81"/>
      <c r="K47" s="81"/>
      <c r="L47" s="81"/>
      <c r="M47" s="81"/>
      <c r="N47" s="81"/>
      <c r="O47" s="81"/>
    </row>
    <row r="48" spans="1:23" x14ac:dyDescent="0.25">
      <c r="A48" s="84"/>
    </row>
    <row r="49" spans="1:1" x14ac:dyDescent="0.25">
      <c r="A49" s="84"/>
    </row>
    <row r="50" spans="1:1" x14ac:dyDescent="0.25">
      <c r="A50" s="84"/>
    </row>
  </sheetData>
  <sheetProtection password="D10F" sheet="1" objects="1" scenarios="1" selectLockedCells="1"/>
  <mergeCells count="3">
    <mergeCell ref="C22:D22"/>
    <mergeCell ref="C40:D40"/>
    <mergeCell ref="C31:D31"/>
  </mergeCells>
  <dataValidations count="2">
    <dataValidation type="list" allowBlank="1" showInputMessage="1" showErrorMessage="1" sqref="F10">
      <formula1>Format_vignette</formula1>
    </dataValidation>
    <dataValidation type="list" allowBlank="1" showInputMessage="1" showErrorMessage="1" sqref="F25:G25 F34:G34 F43:G43 F16:G16">
      <formula1>Protocol_distri</formula1>
    </dataValidation>
  </dataValidations>
  <hyperlinks>
    <hyperlink ref="H4" r:id="rId1"/>
    <hyperlink ref="H8" r:id="rId2"/>
    <hyperlink ref="H9" r:id="rId3"/>
    <hyperlink ref="H10" r:id="rId4"/>
    <hyperlink ref="I15" r:id="rId5"/>
    <hyperlink ref="I16" r:id="rId6"/>
    <hyperlink ref="I17" r:id="rId7"/>
    <hyperlink ref="I18" r:id="rId8"/>
    <hyperlink ref="I24" r:id="rId9"/>
    <hyperlink ref="I25" r:id="rId10"/>
    <hyperlink ref="I26" r:id="rId11"/>
    <hyperlink ref="I27" r:id="rId12"/>
    <hyperlink ref="I33" r:id="rId13"/>
    <hyperlink ref="I34" r:id="rId14"/>
    <hyperlink ref="I35" r:id="rId15"/>
    <hyperlink ref="I36" r:id="rId16"/>
    <hyperlink ref="I42" r:id="rId17"/>
    <hyperlink ref="I43" r:id="rId18"/>
    <hyperlink ref="I44" r:id="rId19"/>
    <hyperlink ref="I45" r:id="rId20"/>
    <hyperlink ref="H24" r:id="rId21"/>
    <hyperlink ref="H15" r:id="rId22"/>
    <hyperlink ref="H33" r:id="rId23"/>
    <hyperlink ref="H42" r:id="rId24"/>
  </hyperlinks>
  <pageMargins left="0.7" right="0.7" top="0.75" bottom="0.75" header="0.3" footer="0.3"/>
  <legacyDrawing r:id="rId2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rgb="FFFFFF00"/>
  </sheetPr>
  <dimension ref="A1:BO208"/>
  <sheetViews>
    <sheetView topLeftCell="A122" zoomScale="85" zoomScaleNormal="85" workbookViewId="0">
      <selection activeCell="A137" sqref="A137:E145"/>
    </sheetView>
  </sheetViews>
  <sheetFormatPr defaultColWidth="11.42578125" defaultRowHeight="15" x14ac:dyDescent="0.25"/>
  <cols>
    <col min="1" max="1" width="55.5703125" bestFit="1" customWidth="1"/>
    <col min="2" max="2" width="39.85546875" bestFit="1" customWidth="1"/>
    <col min="3" max="3" width="88.85546875" bestFit="1" customWidth="1"/>
    <col min="4" max="4" width="85.85546875" customWidth="1"/>
    <col min="5" max="5" width="44" customWidth="1"/>
    <col min="6" max="6" width="19.28515625" bestFit="1" customWidth="1"/>
    <col min="7" max="7" width="25.7109375" bestFit="1" customWidth="1"/>
    <col min="8" max="8" width="39.7109375" customWidth="1"/>
    <col min="9" max="9" width="23.7109375" bestFit="1" customWidth="1"/>
    <col min="10" max="10" width="24.42578125" bestFit="1" customWidth="1"/>
    <col min="11" max="11" width="33.85546875" customWidth="1"/>
    <col min="12" max="13" width="35.42578125" bestFit="1" customWidth="1"/>
    <col min="14" max="14" width="18.28515625" bestFit="1" customWidth="1"/>
    <col min="15" max="15" width="32.42578125" bestFit="1" customWidth="1"/>
    <col min="16" max="17" width="27.140625" style="81" customWidth="1"/>
    <col min="18" max="18" width="27.140625" bestFit="1" customWidth="1"/>
    <col min="19" max="19" width="14.28515625" bestFit="1" customWidth="1"/>
    <col min="20" max="20" width="12.5703125" bestFit="1" customWidth="1"/>
    <col min="22" max="22" width="21.85546875" customWidth="1"/>
    <col min="26" max="26" width="15.28515625" bestFit="1" customWidth="1"/>
    <col min="27" max="27" width="21" customWidth="1"/>
    <col min="28" max="28" width="17.42578125" bestFit="1" customWidth="1"/>
    <col min="29" max="29" width="23.5703125" bestFit="1" customWidth="1"/>
    <col min="30" max="30" width="22.140625" customWidth="1"/>
    <col min="31" max="31" width="19.42578125" bestFit="1" customWidth="1"/>
    <col min="32" max="32" width="19.85546875" customWidth="1"/>
    <col min="33" max="33" width="27" customWidth="1"/>
    <col min="34" max="34" width="243.5703125" bestFit="1" customWidth="1"/>
    <col min="35" max="35" width="21" customWidth="1"/>
    <col min="39" max="39" width="20.7109375" customWidth="1"/>
    <col min="41" max="41" width="36.7109375" customWidth="1"/>
    <col min="42" max="42" width="26" bestFit="1" customWidth="1"/>
    <col min="44" max="44" width="26.85546875" bestFit="1" customWidth="1"/>
    <col min="45" max="45" width="19.85546875" customWidth="1"/>
    <col min="46" max="46" width="37" customWidth="1"/>
    <col min="47" max="47" width="51.28515625" customWidth="1"/>
    <col min="48" max="48" width="15.28515625" customWidth="1"/>
    <col min="51" max="51" width="32.42578125" customWidth="1"/>
    <col min="52" max="52" width="15.140625" bestFit="1" customWidth="1"/>
    <col min="58" max="58" width="17.28515625" bestFit="1" customWidth="1"/>
    <col min="59" max="59" width="12.7109375" bestFit="1" customWidth="1"/>
    <col min="60" max="60" width="37" customWidth="1"/>
    <col min="62" max="62" width="17.28515625" bestFit="1" customWidth="1"/>
    <col min="63" max="63" width="14.5703125" bestFit="1" customWidth="1"/>
    <col min="64" max="65" width="17.42578125" bestFit="1" customWidth="1"/>
    <col min="66" max="66" width="14.28515625" bestFit="1" customWidth="1"/>
    <col min="67" max="67" width="49.28515625" bestFit="1" customWidth="1"/>
    <col min="68" max="68" width="110.7109375" bestFit="1" customWidth="1"/>
    <col min="69" max="69" width="33.28515625" bestFit="1" customWidth="1"/>
    <col min="71" max="71" width="23.140625" bestFit="1" customWidth="1"/>
    <col min="72" max="72" width="151.5703125" bestFit="1" customWidth="1"/>
  </cols>
  <sheetData>
    <row r="1" spans="1:67" x14ac:dyDescent="0.25">
      <c r="A1" s="66" t="s">
        <v>5731</v>
      </c>
      <c r="B1" s="67" t="s">
        <v>61</v>
      </c>
      <c r="C1" s="68" t="s">
        <v>335</v>
      </c>
      <c r="D1" s="69" t="s">
        <v>338</v>
      </c>
      <c r="E1" s="67" t="s">
        <v>66</v>
      </c>
      <c r="F1" s="67" t="s">
        <v>67</v>
      </c>
      <c r="G1" s="250" t="s">
        <v>10866</v>
      </c>
      <c r="H1" s="250" t="s">
        <v>10868</v>
      </c>
      <c r="I1" s="250" t="s">
        <v>10867</v>
      </c>
      <c r="J1" s="67" t="s">
        <v>71</v>
      </c>
      <c r="K1" s="67" t="s">
        <v>72</v>
      </c>
      <c r="L1" s="67" t="s">
        <v>73</v>
      </c>
      <c r="M1" s="67" t="s">
        <v>354</v>
      </c>
      <c r="N1" s="67" t="s">
        <v>78</v>
      </c>
      <c r="O1" s="250" t="s">
        <v>11007</v>
      </c>
      <c r="P1" s="67" t="s">
        <v>79</v>
      </c>
      <c r="Q1" s="67" t="s">
        <v>86</v>
      </c>
      <c r="R1" s="67" t="s">
        <v>88</v>
      </c>
      <c r="S1" s="67" t="s">
        <v>90</v>
      </c>
      <c r="T1" s="67" t="s">
        <v>5743</v>
      </c>
      <c r="U1" s="67" t="s">
        <v>5745</v>
      </c>
      <c r="V1" s="67" t="s">
        <v>110</v>
      </c>
      <c r="W1" s="67" t="s">
        <v>136</v>
      </c>
      <c r="X1" s="67" t="s">
        <v>137</v>
      </c>
      <c r="Y1" s="75" t="s">
        <v>5550</v>
      </c>
      <c r="Z1" s="75" t="s">
        <v>5551</v>
      </c>
      <c r="AA1" s="75" t="s">
        <v>160</v>
      </c>
      <c r="AB1" s="75" t="s">
        <v>163</v>
      </c>
      <c r="AC1" s="75" t="s">
        <v>167</v>
      </c>
      <c r="AD1" s="75" t="s">
        <v>170</v>
      </c>
      <c r="AE1" s="75" t="s">
        <v>173</v>
      </c>
      <c r="AF1" s="75" t="s">
        <v>177</v>
      </c>
      <c r="AG1" s="75" t="s">
        <v>178</v>
      </c>
      <c r="AH1" s="75" t="s">
        <v>181</v>
      </c>
      <c r="AI1" s="75" t="s">
        <v>184</v>
      </c>
      <c r="AJ1" s="75" t="s">
        <v>189</v>
      </c>
      <c r="AK1" s="75" t="s">
        <v>190</v>
      </c>
      <c r="AL1" s="75" t="s">
        <v>195</v>
      </c>
      <c r="AM1" s="75" t="s">
        <v>198</v>
      </c>
      <c r="AN1" s="75" t="s">
        <v>202</v>
      </c>
      <c r="AO1" s="78" t="s">
        <v>118</v>
      </c>
      <c r="AP1" s="79" t="s">
        <v>340</v>
      </c>
      <c r="AQ1" s="79" t="s">
        <v>344</v>
      </c>
      <c r="AR1" s="79" t="s">
        <v>54</v>
      </c>
      <c r="AS1" s="78" t="s">
        <v>17</v>
      </c>
      <c r="AT1" s="79" t="s">
        <v>355</v>
      </c>
      <c r="AU1" s="79" t="s">
        <v>5718</v>
      </c>
      <c r="AV1" s="79" t="s">
        <v>57</v>
      </c>
      <c r="AW1" s="79" t="s">
        <v>117</v>
      </c>
      <c r="AX1" s="79" t="s">
        <v>5615</v>
      </c>
      <c r="AY1" s="79" t="s">
        <v>124</v>
      </c>
      <c r="AZ1" s="79" t="s">
        <v>129</v>
      </c>
      <c r="BA1" s="79" t="s">
        <v>130</v>
      </c>
      <c r="BB1" s="79" t="s">
        <v>5582</v>
      </c>
      <c r="BC1" s="79" t="s">
        <v>5583</v>
      </c>
      <c r="BD1" s="79" t="s">
        <v>140</v>
      </c>
      <c r="BE1" s="79" t="s">
        <v>141</v>
      </c>
      <c r="BF1" s="79" t="s">
        <v>349</v>
      </c>
      <c r="BG1" s="15" t="s">
        <v>105</v>
      </c>
      <c r="BH1" s="15" t="s">
        <v>10856</v>
      </c>
      <c r="BI1" s="15" t="s">
        <v>10857</v>
      </c>
      <c r="BJ1" s="15" t="s">
        <v>99</v>
      </c>
      <c r="BK1" s="15" t="s">
        <v>100</v>
      </c>
      <c r="BL1" s="15" t="s">
        <v>10854</v>
      </c>
      <c r="BM1" s="15" t="s">
        <v>10855</v>
      </c>
      <c r="BN1" s="15" t="s">
        <v>10858</v>
      </c>
      <c r="BO1" s="288" t="s">
        <v>11096</v>
      </c>
    </row>
    <row r="2" spans="1:67" x14ac:dyDescent="0.25">
      <c r="A2" s="66">
        <v>1</v>
      </c>
      <c r="B2" s="70" t="str">
        <f>IF('Plus d''info'!F4="","",'Plus d''info'!F4)</f>
        <v/>
      </c>
      <c r="C2" s="70" t="str">
        <f>IF(Identification!F8=0,"",VLOOKUP(Identification!F8,Codelist_ISO!A128:B138,2,FALSE))</f>
        <v/>
      </c>
      <c r="D2" s="85" t="str">
        <f>IF('Valeurs fixes'!D20="","",'Valeurs fixes'!D20)</f>
        <v/>
      </c>
      <c r="E2" s="70" t="str">
        <f>IF(Identification!F3="","",Identification!F3)</f>
        <v/>
      </c>
      <c r="F2" s="70" t="str">
        <f>IF(Identification!F4="","",Identification!F4)</f>
        <v/>
      </c>
      <c r="G2" s="251" t="str">
        <f>IF(Identification!F5="","",Identification!F5)</f>
        <v/>
      </c>
      <c r="H2" s="251" t="str">
        <f>IF(Identification!F6="","",Identification!F6)</f>
        <v/>
      </c>
      <c r="I2" s="251" t="str">
        <f>IF(Identification!F7="","",Identification!F7)</f>
        <v/>
      </c>
      <c r="J2" s="71" t="str">
        <f>IF(Description!G18="","",Description!G18)</f>
        <v/>
      </c>
      <c r="K2" s="71" t="str">
        <f>IF(Description!G42="","",Description!G42)</f>
        <v/>
      </c>
      <c r="L2" s="71" t="str">
        <f>IF(Description!G19="","",Description!G19)</f>
        <v/>
      </c>
      <c r="M2" s="70" t="str">
        <f>IF(Description!G29="",Description!G30&amp;"_"&amp;Description!G31&amp;"_"&amp;Description!G32,Description!G29)</f>
        <v>__</v>
      </c>
      <c r="N2" s="70" t="str">
        <f>IF(Description!G4="","",Description!G4)</f>
        <v/>
      </c>
      <c r="O2" s="251" t="str">
        <f>IF(Description!G5="","",Description!G5)</f>
        <v/>
      </c>
      <c r="P2" s="70" t="str">
        <f>IF(Description!G41="","",VLOOKUP(Description!G41,Codelist_ISO!A84:B90,2,FALSE))</f>
        <v/>
      </c>
      <c r="Q2" s="70" t="str">
        <f>IF(Description!G39="","",VLOOKUP(Description!G39,Codelist_ISO!A71:B82,2,FALSE))</f>
        <v/>
      </c>
      <c r="R2" s="70" t="str">
        <f>IF(Description!G40="","",Description!G40)</f>
        <v/>
      </c>
      <c r="S2" s="70" t="str">
        <f>IF('Plus d''info'!F8="","",'Plus d''info'!F8)</f>
        <v/>
      </c>
      <c r="T2" s="70" t="str">
        <f>IF('Plus d''info'!F9="","",'Plus d''info'!F9)</f>
        <v/>
      </c>
      <c r="U2" s="70" t="str">
        <f>IF('Plus d''info'!F10="","",'Plus d''info'!F10)</f>
        <v/>
      </c>
      <c r="V2" s="70" t="str">
        <f>IF(Description!G34="","",VLOOKUP(Description!G34,Codelist_ISO!A101:B106,2,FALSE))</f>
        <v/>
      </c>
      <c r="W2" s="71" t="str">
        <f>IF(Description!G26="","",Description!G26)</f>
        <v/>
      </c>
      <c r="X2" s="71" t="str">
        <f>IF(Description!G27="","",Description!G27)</f>
        <v/>
      </c>
      <c r="Y2" s="76" t="str">
        <f>IF(Qualité!F8="","",Qualité!F8)</f>
        <v/>
      </c>
      <c r="Z2" s="76" t="str">
        <f>IF(INSPIRE!F7="","",INSPIRE!F7)</f>
        <v/>
      </c>
      <c r="AA2" s="76" t="str">
        <f>IF('Valeurs fixes'!D21="","",'Valeurs fixes'!D21)</f>
        <v>Conformance INSPIRE</v>
      </c>
      <c r="AB2" s="76" t="str">
        <f>IF('Valeurs fixes'!D22="","",'Valeurs fixes'!D22)</f>
        <v>INSPIRE</v>
      </c>
      <c r="AC2" s="76" t="str">
        <f>IF('Valeurs fixes'!D23="","",'Valeurs fixes'!D23)</f>
        <v/>
      </c>
      <c r="AD2" s="76" t="str">
        <f>IF('Valeurs fixes'!D24="","",'Valeurs fixes'!D24)</f>
        <v/>
      </c>
      <c r="AE2" s="76" t="str">
        <f>IF('Valeurs fixes'!D25="","",'Valeurs fixes'!D25)</f>
        <v/>
      </c>
      <c r="AF2" s="76" t="str">
        <f>IF('Valeurs fixes'!D26="","",VLOOKUP('Valeurs fixes'!D26,Codelist_ISO!A26:B28,2,FALSE))</f>
        <v/>
      </c>
      <c r="AG2" s="77" t="str">
        <f>IF('Valeurs fixes'!D27="","",'Valeurs fixes'!D27)</f>
        <v/>
      </c>
      <c r="AH2" s="76" t="str">
        <f>IF('Valeurs fixes'!D28="","",'Valeurs fixes'!D28)</f>
        <v>Règlement (UE) n o 1089/2010 de la Commission du 23 novembre 2010 portant modalités d'application de la directive 2007/2/CE du Parlement européen et du Conseil en ce qui concerne l'interopérabilité des séries et des services de données géographiques</v>
      </c>
      <c r="AI2" s="76" t="str">
        <f>IF('Valeurs fixes'!D29="","",'Valeurs fixes'!D29)</f>
        <v/>
      </c>
      <c r="AJ2" s="76" t="str">
        <f>IF('Valeurs fixes'!D30="","",'Valeurs fixes'!D30)</f>
        <v>2010-12-08</v>
      </c>
      <c r="AK2" s="76" t="str">
        <f>IF('Valeurs fixes'!D31="","",VLOOKUP('Valeurs fixes'!D31,Codelist_ISO!A16:B18,2,FALSE))</f>
        <v>publication</v>
      </c>
      <c r="AL2" s="76" t="str">
        <f>IF('Valeurs fixes'!D32="","",'Valeurs fixes'!D32)</f>
        <v>Veuillez consulter la spécification référencée</v>
      </c>
      <c r="AM2" s="76" t="str">
        <f>IF(INSPIRE!F7="Conforme","True",IF(INSPIRE!F7="Pas Conforme","False","Pas évaluée"))</f>
        <v>Pas évaluée</v>
      </c>
      <c r="AN2" s="76" t="str">
        <f>IF('Valeurs fixes'!D34="","",'Valeurs fixes'!D34)</f>
        <v/>
      </c>
      <c r="AO2" s="80" t="str">
        <f>IF('Valeurs fixes'!D2="","",'Valeurs fixes'!D2)</f>
        <v>utf8</v>
      </c>
      <c r="AP2" s="80" t="str">
        <f>IF('Valeurs fixes'!D3="","",'Valeurs fixes'!D3)</f>
        <v>ISO 19115</v>
      </c>
      <c r="AQ2" s="80" t="str">
        <f>IF('Valeurs fixes'!D4="","",'Valeurs fixes'!D4)</f>
        <v>2003/Cor 1:2006</v>
      </c>
      <c r="AR2" s="80" t="str">
        <f>IF('Valeurs fixes'!D5="","",'Valeurs fixes'!D5)</f>
        <v xml:space="preserve">http://geoportail.wallonie.be/ressources/id/ </v>
      </c>
      <c r="AS2" s="80" t="str">
        <f>IF('Valeurs fixes'!D6="","",'Valeurs fixes'!D6)</f>
        <v>fre</v>
      </c>
      <c r="AT2" s="80" t="str">
        <f>IF(Description!G23="","31370",VLOOKUP(Description!G23,Codelist_ISO!A157:B159,2,FALSE))</f>
        <v>31370</v>
      </c>
      <c r="AU2" s="80" t="str">
        <f>IF('Valeurs fixes'!D8="","",'Valeurs fixes'!D8)</f>
        <v>urn:ogc:def:crs:EPSG</v>
      </c>
      <c r="AV2" s="80" t="str">
        <f>IF('Valeurs fixes'!D9="","",'Valeurs fixes'!D9)</f>
        <v>7.9.8</v>
      </c>
      <c r="AW2" s="80" t="str">
        <f>IF(Description!G21="","fre",VLOOKUP(Description!G21,Codelist_ISO!A146:B148,2,FALSE))</f>
        <v>fre</v>
      </c>
      <c r="AX2" s="80" t="str">
        <f>IF('Valeurs fixes'!D11="","",'Valeurs fixes'!D11)</f>
        <v>utf8</v>
      </c>
      <c r="AY2" s="80" t="str">
        <f>IF(Identification!F7="","",Identification!F7)</f>
        <v/>
      </c>
      <c r="AZ2" s="80" t="str">
        <f>IF('Valeurs fixes'!D13="","",'Valeurs fixes'!D13)</f>
        <v>2.75</v>
      </c>
      <c r="BA2" s="80" t="str">
        <f>IF('Valeurs fixes'!D14="","",'Valeurs fixes'!D14)</f>
        <v>6.5</v>
      </c>
      <c r="BB2" s="80" t="str">
        <f>IF('Valeurs fixes'!D15="","",'Valeurs fixes'!D15)</f>
        <v>49.45</v>
      </c>
      <c r="BC2" s="80" t="str">
        <f>IF('Valeurs fixes'!D16="","",'Valeurs fixes'!D16)</f>
        <v>50.85</v>
      </c>
      <c r="BD2" s="80" t="str">
        <f>IF('Valeurs fixes'!D17="","",'Valeurs fixes'!D17)</f>
        <v>21m</v>
      </c>
      <c r="BE2" s="80" t="str">
        <f>IF('Valeurs fixes'!D18="","",'Valeurs fixes'!D18)</f>
        <v>694m</v>
      </c>
      <c r="BF2" s="80" t="str">
        <f>IF('Valeurs fixes'!D19="","",'Valeurs fixes'!D19)</f>
        <v/>
      </c>
      <c r="BG2" t="str">
        <f>IF('Accès et utilisation'!F13="","",VLOOKUP('Accès et utilisation'!F13,Codelist_ISO!A59:B63,2,FALSE))</f>
        <v/>
      </c>
      <c r="BH2" t="str">
        <f>IF('Accès et utilisation'!F14="","",'Accès et utilisation'!F14)</f>
        <v/>
      </c>
    </row>
    <row r="14" spans="1:67" x14ac:dyDescent="0.25">
      <c r="A14" s="64" t="s">
        <v>26</v>
      </c>
      <c r="B14" s="64" t="s">
        <v>5730</v>
      </c>
      <c r="C14" s="64" t="s">
        <v>38</v>
      </c>
      <c r="D14" s="64" t="s">
        <v>22</v>
      </c>
      <c r="E14" s="64" t="s">
        <v>24</v>
      </c>
      <c r="F14" s="64" t="s">
        <v>28</v>
      </c>
      <c r="G14" s="64" t="s">
        <v>30</v>
      </c>
      <c r="H14" s="64" t="s">
        <v>34</v>
      </c>
      <c r="I14" s="64" t="s">
        <v>35</v>
      </c>
      <c r="J14" s="64" t="s">
        <v>36</v>
      </c>
      <c r="K14" s="64" t="s">
        <v>40</v>
      </c>
      <c r="L14" s="64" t="s">
        <v>44</v>
      </c>
      <c r="M14" s="64" t="s">
        <v>45</v>
      </c>
      <c r="N14" s="64" t="s">
        <v>46</v>
      </c>
      <c r="O14" s="64" t="s">
        <v>47</v>
      </c>
      <c r="P14" s="86"/>
      <c r="Q14" s="86"/>
    </row>
    <row r="15" spans="1:67" x14ac:dyDescent="0.25">
      <c r="A15" s="249" t="str">
        <f>IF(Contacts!E3=0,"",Contacts!E3)</f>
        <v>Point de contact (fiche)</v>
      </c>
      <c r="B15" s="65" t="str">
        <f>IF(Contacts!E4=0,"",Contacts!E4)</f>
        <v/>
      </c>
      <c r="C15" s="249" t="str">
        <f>IF(Contacts!E5=0,"",Contacts!E5)</f>
        <v/>
      </c>
      <c r="D15" s="249" t="str">
        <f>IF(Contacts!E6=0,"",Contacts!E6)</f>
        <v/>
      </c>
      <c r="E15" s="65" t="str">
        <f>IF(Contacts!E7=0,"",Contacts!E7)</f>
        <v/>
      </c>
      <c r="F15" s="65" t="str">
        <f>IF(Contacts!E8=0,"",Contacts!E8)</f>
        <v/>
      </c>
      <c r="G15" s="65" t="str">
        <f>IF(Contacts!E9=0,"",Contacts!E9)</f>
        <v/>
      </c>
      <c r="H15" s="65" t="str">
        <f>IF(Contacts!E10=0,"",Contacts!E10)</f>
        <v/>
      </c>
      <c r="I15" s="65" t="str">
        <f>IF(Contacts!E11=0,"",Contacts!E11)</f>
        <v/>
      </c>
      <c r="J15" s="65" t="str">
        <f>IF(Contacts!E12=0,"",Contacts!E12)</f>
        <v/>
      </c>
      <c r="K15" s="65" t="str">
        <f>IF(Contacts!E13=0,"",Contacts!E13)</f>
        <v/>
      </c>
      <c r="L15" s="65" t="str">
        <f>IF(Contacts!E14=0,"",Contacts!E14)</f>
        <v/>
      </c>
      <c r="M15" s="65" t="str">
        <f>IF(Contacts!E15=0,"",Contacts!E15)</f>
        <v/>
      </c>
      <c r="N15" s="65" t="str">
        <f>IF(Contacts!E16=0,"",Contacts!E16)</f>
        <v/>
      </c>
      <c r="O15" s="65" t="str">
        <f>IF(Contacts!E17=0,"",VLOOKUP(Contacts!E17,Codelist_ISO!A20:B24,2,FALSE))</f>
        <v/>
      </c>
      <c r="P15" s="84"/>
      <c r="Q15" s="84"/>
    </row>
    <row r="16" spans="1:67" x14ac:dyDescent="0.25">
      <c r="A16" t="str">
        <f>IF(Contacts!F3=0,"",Contacts!F3)</f>
        <v>Point de contact (ressource)</v>
      </c>
      <c r="B16" t="str">
        <f>IF(Contacts!F4=0,"",Contacts!F4)</f>
        <v/>
      </c>
      <c r="C16" t="str">
        <f>IF(Contacts!F5=0,"",Contacts!F5)</f>
        <v/>
      </c>
      <c r="D16" t="str">
        <f>IF(Contacts!F6=0,"",Contacts!F6)</f>
        <v/>
      </c>
      <c r="E16" t="str">
        <f>IF(Contacts!F7=0,"",Contacts!F7)</f>
        <v/>
      </c>
      <c r="F16" t="str">
        <f>IF(Contacts!F8=0,"",Contacts!F8)</f>
        <v/>
      </c>
      <c r="G16" t="str">
        <f>IF(Contacts!F9=0,"",Contacts!F9)</f>
        <v/>
      </c>
      <c r="H16" t="str">
        <f>IF(Contacts!F10=0,"",Contacts!F10)</f>
        <v/>
      </c>
      <c r="I16" t="str">
        <f>IF(Contacts!F11=0,"",Contacts!F11)</f>
        <v/>
      </c>
      <c r="J16" t="str">
        <f>IF(Contacts!F12=0,"",Contacts!F12)</f>
        <v/>
      </c>
      <c r="K16" t="str">
        <f>IF(Contacts!F13=0,"",Contacts!F13)</f>
        <v/>
      </c>
      <c r="L16" t="str">
        <f>IF(Contacts!F14=0,"",Contacts!F14)</f>
        <v/>
      </c>
      <c r="M16" t="str">
        <f>IF(Contacts!F15=0,"",Contacts!F15)</f>
        <v/>
      </c>
      <c r="N16" t="str">
        <f>IF(Contacts!F16=0,"",Contacts!F16)</f>
        <v/>
      </c>
      <c r="O16" t="str">
        <f>IF(Contacts!F17=0,"",Contacts!F17)</f>
        <v/>
      </c>
    </row>
    <row r="17" spans="1:17" x14ac:dyDescent="0.25">
      <c r="A17" t="str">
        <f>IF(Contacts!G3=0,"",Contacts!G3)</f>
        <v>Propriétaire</v>
      </c>
      <c r="B17" s="249" t="str">
        <f>IF(Contacts!G4=0,"",Contacts!G4)</f>
        <v>Région wallonne</v>
      </c>
      <c r="C17" s="65" t="str">
        <f>IF(Contacts!G5=0,"",Contacts!G5)</f>
        <v>helpdesk.carto@spw.wallonie.be</v>
      </c>
      <c r="D17" s="65" t="str">
        <f>IF(Contacts!G6=0,"",Contacts!G6)</f>
        <v/>
      </c>
      <c r="E17" s="65" t="str">
        <f>IF(Contacts!G7=0,"",Contacts!G7)</f>
        <v/>
      </c>
      <c r="F17" s="65" t="str">
        <f>IF(Contacts!G8=0,"",Contacts!G8)</f>
        <v/>
      </c>
      <c r="G17" s="65" t="str">
        <f>IF(Contacts!G9=0,"",Contacts!G9)</f>
        <v/>
      </c>
      <c r="H17" s="65" t="str">
        <f>IF(Contacts!G10=0,"",Contacts!G10)</f>
        <v/>
      </c>
      <c r="I17" s="65" t="str">
        <f>IF(Contacts!G11=0,"",Contacts!G11)</f>
        <v/>
      </c>
      <c r="J17" s="65" t="str">
        <f>IF(Contacts!G12=0,"",Contacts!G12)</f>
        <v/>
      </c>
      <c r="K17" s="65" t="str">
        <f>IF(Contacts!G13=0,"",Contacts!G13)</f>
        <v>http://geoportail.wallonie.be</v>
      </c>
      <c r="L17" s="65" t="str">
        <f>IF(Contacts!G14=0,"",Contacts!G14)</f>
        <v>Adresse Internet (http)</v>
      </c>
      <c r="M17" s="65" t="str">
        <f>IF(Contacts!G15=0,"",Contacts!G15)</f>
        <v>Géoportail de la Wallonie</v>
      </c>
      <c r="N17" s="65" t="str">
        <f>IF(Contacts!G16=0,"",Contacts!G16)</f>
        <v/>
      </c>
      <c r="O17" s="65" t="str">
        <f>IF(Contacts!G17=0,"",VLOOKUP(Contacts!G17,Codelist_ISO!A20:B24,2,FALSE))</f>
        <v>information</v>
      </c>
      <c r="P17" s="84"/>
      <c r="Q17" s="84"/>
    </row>
    <row r="18" spans="1:17" s="252" customFormat="1" x14ac:dyDescent="0.25">
      <c r="A18" s="252" t="str">
        <f>IF(Contacts!H3=0,"",Contacts!H3)</f>
        <v>Gestionnaire</v>
      </c>
      <c r="B18" s="84" t="str">
        <f>IF(Contacts!H4=0,"",Contacts!H4)</f>
        <v/>
      </c>
      <c r="C18" s="84" t="str">
        <f>IF(Contacts!H5=0,"",Contacts!H5)</f>
        <v/>
      </c>
      <c r="D18" s="84" t="str">
        <f>IF(Contacts!H6=0,"",Contacts!H6)</f>
        <v/>
      </c>
      <c r="E18" s="84" t="str">
        <f>IF(Contacts!H7=0,"",Contacts!H7)</f>
        <v/>
      </c>
      <c r="F18" s="84" t="str">
        <f>IF(Contacts!H8=0,"",Contacts!H8)</f>
        <v/>
      </c>
      <c r="G18" s="84" t="str">
        <f>IF(Contacts!H9=0,"",Contacts!H9)</f>
        <v/>
      </c>
      <c r="H18" s="84" t="str">
        <f>IF(Contacts!H10=0,"",Contacts!H10)</f>
        <v/>
      </c>
      <c r="I18" s="84" t="str">
        <f>IF(Contacts!H11=0,"",Contacts!H11)</f>
        <v/>
      </c>
      <c r="J18" s="84" t="str">
        <f>IF(Contacts!H12=0,"",Contacts!H12)</f>
        <v/>
      </c>
      <c r="K18" s="84" t="str">
        <f>IF(Contacts!H13=0,"",Contacts!H13)</f>
        <v/>
      </c>
      <c r="L18" s="84" t="str">
        <f>IF(Contacts!H14=0,"",Contacts!H14)</f>
        <v/>
      </c>
      <c r="M18" s="84" t="str">
        <f>IF(Contacts!H15=0,"",Contacts!H15)</f>
        <v/>
      </c>
      <c r="N18" s="84" t="str">
        <f>IF(Contacts!H16=0,"",Contacts!H16)</f>
        <v/>
      </c>
      <c r="O18" s="249" t="str">
        <f>IF(Contacts!H17=0,"",VLOOKUP(Contacts!H17,Codelist_ISO!A21:B25,2,FALSE))</f>
        <v/>
      </c>
      <c r="P18" s="84" t="str">
        <f>IF(Contacts!G18=0,"",VLOOKUP(Contacts!G18,Codelist_ISO!A21:B25,2,FALSE))</f>
        <v/>
      </c>
      <c r="Q18" s="84"/>
    </row>
    <row r="19" spans="1:17" s="252" customFormat="1" x14ac:dyDescent="0.25">
      <c r="A19" s="252" t="str">
        <f>IF(Contacts!I3=0,"",Contacts!I3)</f>
        <v>Distributeur</v>
      </c>
      <c r="B19" s="84" t="str">
        <f>IF(Contacts!I4=0,"",Contacts!I4)</f>
        <v/>
      </c>
      <c r="C19" s="84" t="str">
        <f>IF(Contacts!I5=0,"",Contacts!I5)</f>
        <v/>
      </c>
      <c r="D19" s="84" t="str">
        <f>IF(Contacts!I6=0,"",Contacts!I6)</f>
        <v/>
      </c>
      <c r="E19" s="84" t="str">
        <f>IF(Contacts!I7=0,"",Contacts!I7)</f>
        <v/>
      </c>
      <c r="F19" s="84" t="str">
        <f>IF(Contacts!I8=0,"",Contacts!I8)</f>
        <v/>
      </c>
      <c r="G19" s="84" t="str">
        <f>IF(Contacts!I9=0,"",Contacts!I9)</f>
        <v/>
      </c>
      <c r="H19" s="84" t="str">
        <f>IF(Contacts!I10=0,"",Contacts!I10)</f>
        <v/>
      </c>
      <c r="I19" s="84" t="str">
        <f>IF(Contacts!I11=0,"",Contacts!I11)</f>
        <v/>
      </c>
      <c r="J19" s="84" t="str">
        <f>IF(Contacts!I12=0,"",Contacts!I12)</f>
        <v/>
      </c>
      <c r="K19" s="84" t="str">
        <f>IF(Contacts!I13=0,"",Contacts!I13)</f>
        <v/>
      </c>
      <c r="L19" s="84" t="str">
        <f>IF(Contacts!I14=0,"",Contacts!I14)</f>
        <v/>
      </c>
      <c r="M19" s="84" t="str">
        <f>IF(Contacts!I15=0,"",Contacts!I15)</f>
        <v/>
      </c>
      <c r="N19" s="84" t="str">
        <f>IF(Contacts!I16=0,"",Contacts!I16)</f>
        <v/>
      </c>
      <c r="O19" s="249" t="str">
        <f>IF(Contacts!I17=0,"",VLOOKUP(Contacts!I17,Codelist_ISO!A21:B25,2,FALSE))</f>
        <v/>
      </c>
      <c r="P19" s="84" t="str">
        <f>IF(Contacts!H18=0,"",Contacts!H18)</f>
        <v/>
      </c>
      <c r="Q19" s="84"/>
    </row>
    <row r="20" spans="1:17" s="252" customFormat="1" x14ac:dyDescent="0.25">
      <c r="A20" s="252" t="str">
        <f>IF(Contacts!J3=0,"",Contacts!J3)</f>
        <v/>
      </c>
      <c r="B20" s="84" t="str">
        <f>IF(Contacts!J4=0,"",Contacts!J4)</f>
        <v/>
      </c>
      <c r="C20" s="84" t="str">
        <f>IF(Contacts!J5=0,"",Contacts!J5)</f>
        <v/>
      </c>
      <c r="D20" s="84" t="str">
        <f>IF(Contacts!J6=0,"",Contacts!J6)</f>
        <v/>
      </c>
      <c r="E20" s="84" t="str">
        <f>IF(Contacts!J7=0,"",Contacts!J7)</f>
        <v/>
      </c>
      <c r="F20" s="84" t="str">
        <f>IF(Contacts!J8=0,"",Contacts!J8)</f>
        <v/>
      </c>
      <c r="G20" s="84" t="str">
        <f>IF(Contacts!J9=0,"",Contacts!J9)</f>
        <v/>
      </c>
      <c r="H20" s="84" t="str">
        <f>IF(Contacts!J10=0,"",Contacts!J10)</f>
        <v/>
      </c>
      <c r="I20" s="84" t="str">
        <f>IF(Contacts!J11=0,"",Contacts!J11)</f>
        <v/>
      </c>
      <c r="J20" s="84" t="str">
        <f>IF(Contacts!J12=0,"",Contacts!J12)</f>
        <v/>
      </c>
      <c r="K20" s="84" t="str">
        <f>IF(Contacts!J13=0,"",Contacts!J13)</f>
        <v/>
      </c>
      <c r="L20" s="84" t="str">
        <f>IF(Contacts!J14=0,"",Contacts!J14)</f>
        <v/>
      </c>
      <c r="M20" s="84" t="str">
        <f>IF(Contacts!J15=0,"",Contacts!J15)</f>
        <v/>
      </c>
      <c r="N20" s="84" t="str">
        <f>IF(Contacts!J16=0,"",Contacts!J16)</f>
        <v/>
      </c>
      <c r="O20" s="249" t="str">
        <f>IF(Contacts!J17=0,"",VLOOKUP(Contacts!J17,Codelist_ISO!A21:B25,2,FALSE))</f>
        <v/>
      </c>
      <c r="P20" s="84" t="str">
        <f>IF(Contacts!I18=0,"",Contacts!I18)</f>
        <v/>
      </c>
      <c r="Q20" s="84"/>
    </row>
    <row r="21" spans="1:17" s="252" customFormat="1" x14ac:dyDescent="0.25">
      <c r="A21" s="252" t="str">
        <f>IF(Contacts!K3=0,"",Contacts!K3)</f>
        <v/>
      </c>
      <c r="B21" s="252" t="str">
        <f>IF(Contacts!K4=0,"",Contacts!K4)</f>
        <v/>
      </c>
      <c r="C21" s="84" t="str">
        <f>IF(Contacts!K5=0,"",Contacts!K5)</f>
        <v/>
      </c>
      <c r="D21" s="84" t="str">
        <f>IF(Contacts!K6=0,"",Contacts!K6)</f>
        <v/>
      </c>
      <c r="E21" s="84" t="str">
        <f>IF(Contacts!K7=0,"",Contacts!K7)</f>
        <v/>
      </c>
      <c r="F21" s="84" t="str">
        <f>IF(Contacts!K8=0,"",Contacts!K8)</f>
        <v/>
      </c>
      <c r="G21" s="84" t="str">
        <f>IF(Contacts!K9=0,"",Contacts!K9)</f>
        <v/>
      </c>
      <c r="H21" s="84" t="str">
        <f>IF(Contacts!K10=0,"",Contacts!K10)</f>
        <v/>
      </c>
      <c r="I21" s="84" t="str">
        <f>IF(Contacts!K11=0,"",Contacts!K11)</f>
        <v/>
      </c>
      <c r="J21" s="84" t="str">
        <f>IF(Contacts!K12=0,"",Contacts!K12)</f>
        <v/>
      </c>
      <c r="K21" s="84" t="str">
        <f>IF(Contacts!K13=0,"",Contacts!K13)</f>
        <v/>
      </c>
      <c r="L21" s="84" t="str">
        <f>IF(Contacts!K14=0,"",Contacts!K14)</f>
        <v/>
      </c>
      <c r="M21" s="84" t="str">
        <f>IF(Contacts!K15=0,"",Contacts!K15)</f>
        <v/>
      </c>
      <c r="N21" s="84" t="str">
        <f>IF(Contacts!K16=0,"",Contacts!K16)</f>
        <v/>
      </c>
      <c r="O21" s="249" t="str">
        <f>IF(Contacts!K17=0,"",VLOOKUP(Contacts!K17,Codelist_ISO!A21:B25,2,FALSE))</f>
        <v/>
      </c>
      <c r="P21" s="84" t="str">
        <f>IF(Contacts!J18=0,"",Contacts!J18)</f>
        <v/>
      </c>
      <c r="Q21" s="84"/>
    </row>
    <row r="22" spans="1:17" s="252" customFormat="1" x14ac:dyDescent="0.25">
      <c r="A22" s="84"/>
      <c r="B22" s="84"/>
      <c r="C22" s="84"/>
      <c r="D22" s="84"/>
      <c r="E22" s="84"/>
      <c r="F22" s="84"/>
      <c r="G22" s="84"/>
      <c r="H22" s="84"/>
      <c r="I22" s="84"/>
      <c r="J22" s="84"/>
      <c r="K22" s="84"/>
      <c r="L22" s="84"/>
      <c r="M22" s="84"/>
      <c r="N22" s="84"/>
      <c r="O22" s="84"/>
      <c r="P22" s="84"/>
      <c r="Q22" s="84"/>
    </row>
    <row r="23" spans="1:17" s="252" customFormat="1" x14ac:dyDescent="0.25">
      <c r="A23" s="84"/>
      <c r="B23" s="84"/>
      <c r="C23" s="84"/>
      <c r="D23" s="84"/>
      <c r="E23" s="84"/>
      <c r="F23" s="84"/>
      <c r="G23" s="84"/>
      <c r="H23" s="84"/>
      <c r="I23" s="84"/>
      <c r="J23" s="84"/>
      <c r="K23" s="84"/>
      <c r="L23" s="84"/>
      <c r="M23" s="84"/>
      <c r="N23" s="84"/>
      <c r="O23" s="84"/>
      <c r="P23" s="84"/>
      <c r="Q23" s="84"/>
    </row>
    <row r="24" spans="1:17" s="252" customFormat="1" x14ac:dyDescent="0.25">
      <c r="A24" s="84"/>
      <c r="B24" s="84"/>
      <c r="C24" s="84"/>
      <c r="D24" s="84"/>
      <c r="E24" s="84"/>
      <c r="F24" s="84"/>
      <c r="G24" s="84"/>
      <c r="H24" s="84"/>
      <c r="I24" s="84"/>
      <c r="J24" s="84"/>
      <c r="K24" s="84"/>
      <c r="L24" s="84"/>
      <c r="M24" s="84"/>
      <c r="N24" s="84"/>
      <c r="O24" s="84"/>
      <c r="P24" s="84"/>
      <c r="Q24" s="84"/>
    </row>
    <row r="26" spans="1:17" x14ac:dyDescent="0.25">
      <c r="A26" s="65" t="s">
        <v>5739</v>
      </c>
      <c r="B26" s="65" t="s">
        <v>0</v>
      </c>
      <c r="C26" s="65" t="s">
        <v>1</v>
      </c>
      <c r="D26" s="65" t="s">
        <v>101</v>
      </c>
      <c r="E26" s="65" t="s">
        <v>188</v>
      </c>
    </row>
    <row r="27" spans="1:17" ht="30" x14ac:dyDescent="0.25">
      <c r="A27" s="74" t="s">
        <v>274</v>
      </c>
      <c r="B27" s="248" t="s">
        <v>11006</v>
      </c>
      <c r="C27" s="249"/>
      <c r="D27" s="286" t="s">
        <v>5755</v>
      </c>
      <c r="E27" s="65" t="s">
        <v>5601</v>
      </c>
    </row>
    <row r="28" spans="1:17" x14ac:dyDescent="0.25">
      <c r="A28" s="74" t="s">
        <v>275</v>
      </c>
      <c r="B28" s="65" t="s">
        <v>96</v>
      </c>
      <c r="C28" s="65" t="str">
        <f>IF(Description!G7=0,"",Description!G7)</f>
        <v/>
      </c>
      <c r="D28" s="85" t="s">
        <v>5758</v>
      </c>
      <c r="E28" s="245" t="s">
        <v>5600</v>
      </c>
    </row>
    <row r="29" spans="1:17" x14ac:dyDescent="0.25">
      <c r="A29" s="74" t="s">
        <v>276</v>
      </c>
      <c r="B29" s="249" t="s">
        <v>11321</v>
      </c>
      <c r="C29" s="65" t="str">
        <f>IF(Description!G11=0,"",Description!G11)</f>
        <v/>
      </c>
      <c r="D29" s="287" t="s">
        <v>5756</v>
      </c>
      <c r="E29" s="249" t="s">
        <v>5601</v>
      </c>
    </row>
    <row r="30" spans="1:17" x14ac:dyDescent="0.25">
      <c r="A30" s="74" t="s">
        <v>277</v>
      </c>
      <c r="B30" s="249" t="s">
        <v>11320</v>
      </c>
      <c r="C30" s="65" t="str">
        <f>IF(Description!G10=0,"",Description!G10)</f>
        <v/>
      </c>
      <c r="D30" s="287" t="s">
        <v>5756</v>
      </c>
      <c r="E30" s="249" t="s">
        <v>5601</v>
      </c>
    </row>
    <row r="31" spans="1:17" x14ac:dyDescent="0.25">
      <c r="A31" s="74" t="s">
        <v>11147</v>
      </c>
      <c r="B31" s="65" t="s">
        <v>11356</v>
      </c>
      <c r="C31" s="249" t="str">
        <f>IF(Description!G13=0,"",Description!G13)</f>
        <v/>
      </c>
      <c r="D31" s="71"/>
      <c r="E31" s="65"/>
    </row>
    <row r="32" spans="1:17" x14ac:dyDescent="0.25">
      <c r="A32" s="74" t="s">
        <v>11147</v>
      </c>
      <c r="B32" s="65" t="s">
        <v>11110</v>
      </c>
      <c r="C32" s="249" t="str">
        <f>IF(Description!G14=0,"",Description!G14)</f>
        <v/>
      </c>
      <c r="D32" s="71"/>
      <c r="E32" s="65"/>
    </row>
    <row r="33" spans="1:5" x14ac:dyDescent="0.25">
      <c r="A33" s="74" t="s">
        <v>11147</v>
      </c>
      <c r="B33" s="65" t="s">
        <v>11357</v>
      </c>
      <c r="C33" s="249" t="str">
        <f>IF(Description!G15=0,"",Description!G15)</f>
        <v/>
      </c>
      <c r="D33" s="71"/>
      <c r="E33" s="65"/>
    </row>
    <row r="34" spans="1:5" s="252" customFormat="1" x14ac:dyDescent="0.25">
      <c r="A34" s="293" t="s">
        <v>11150</v>
      </c>
      <c r="B34" s="294" t="s">
        <v>11149</v>
      </c>
      <c r="C34" s="84" t="str">
        <f>IF(B67=TRUE,"Reporting INSPIRE","")</f>
        <v/>
      </c>
      <c r="D34" s="85">
        <v>41816</v>
      </c>
      <c r="E34" s="252" t="s">
        <v>5601</v>
      </c>
    </row>
    <row r="35" spans="1:5" x14ac:dyDescent="0.25">
      <c r="A35" s="293" t="s">
        <v>11151</v>
      </c>
      <c r="B35" s="294" t="s">
        <v>11149</v>
      </c>
      <c r="C35" t="str">
        <f>IF(Description!G16=0,"",Description!G16)</f>
        <v/>
      </c>
      <c r="D35" s="85">
        <v>41816</v>
      </c>
      <c r="E35" t="s">
        <v>5601</v>
      </c>
    </row>
    <row r="38" spans="1:5" x14ac:dyDescent="0.25">
      <c r="A38" s="74" t="s">
        <v>0</v>
      </c>
      <c r="B38" s="65" t="s">
        <v>1</v>
      </c>
    </row>
    <row r="39" spans="1:5" x14ac:dyDescent="0.25">
      <c r="A39" s="72" t="s">
        <v>5740</v>
      </c>
      <c r="B39" s="73" t="str">
        <f xml:space="preserve">  IF(Description!G8="","",Description!G8)</f>
        <v/>
      </c>
    </row>
    <row r="41" spans="1:5" x14ac:dyDescent="0.25">
      <c r="A41" s="88" t="s">
        <v>0</v>
      </c>
      <c r="B41" t="s">
        <v>1</v>
      </c>
    </row>
    <row r="42" spans="1:5" x14ac:dyDescent="0.25">
      <c r="A42" s="67" t="s">
        <v>112</v>
      </c>
      <c r="B42" s="70" t="str">
        <f>IF(Qualité!F3="","",Qualité!F3)</f>
        <v/>
      </c>
    </row>
    <row r="44" spans="1:5" x14ac:dyDescent="0.25">
      <c r="A44" t="s">
        <v>0</v>
      </c>
      <c r="B44" t="s">
        <v>1</v>
      </c>
    </row>
    <row r="45" spans="1:5" x14ac:dyDescent="0.25">
      <c r="A45" s="67" t="s">
        <v>113</v>
      </c>
      <c r="B45" s="70" t="str">
        <f>IF(Qualité!F4="","",Qualité!F4)</f>
        <v/>
      </c>
    </row>
    <row r="50" spans="1:3" x14ac:dyDescent="0.25">
      <c r="A50" t="s">
        <v>0</v>
      </c>
      <c r="B50" t="s">
        <v>1</v>
      </c>
    </row>
    <row r="51" spans="1:3" x14ac:dyDescent="0.25">
      <c r="A51" s="69" t="s">
        <v>338</v>
      </c>
      <c r="B51" s="70" t="str">
        <f>IF('Valeurs fixes'!D20="","",'Valeurs fixes'!D20)</f>
        <v/>
      </c>
    </row>
    <row r="53" spans="1:3" x14ac:dyDescent="0.25">
      <c r="A53" t="s">
        <v>0</v>
      </c>
      <c r="B53" t="s">
        <v>1</v>
      </c>
    </row>
    <row r="54" spans="1:3" x14ac:dyDescent="0.25">
      <c r="A54" s="75" t="s">
        <v>198</v>
      </c>
      <c r="B54" t="str">
        <f>IF(INSPIRE!F7="Conforme","true",IF(INSPIRE!F7="Pas Conforme","false","Pas évaluée"))</f>
        <v>Pas évaluée</v>
      </c>
    </row>
    <row r="57" spans="1:3" x14ac:dyDescent="0.25">
      <c r="A57" t="s">
        <v>11099</v>
      </c>
      <c r="B57" t="s">
        <v>11100</v>
      </c>
      <c r="C57" t="s">
        <v>11101</v>
      </c>
    </row>
    <row r="58" spans="1:3" x14ac:dyDescent="0.25">
      <c r="A58" t="str">
        <f t="array" ref="A58">IF(ISERROR(FIND("Distributeur",Contacts!E3,1))=TRUE,"",Contacts!E4)</f>
        <v/>
      </c>
      <c r="B58" t="b">
        <f>ISERROR(FIND("Distributeur",Contacts!E3,1))</f>
        <v>1</v>
      </c>
      <c r="C58" s="282">
        <f t="array" aca="1" ref="C58" ca="1">IF(ROWS($58:58)&lt;=COUNTIF(Cond,FALSE),INDEX(Champ,SMALL(IF(Cond=FALSE,ROW(INDIRECT("1:"&amp;ROWS(Champ)))),ROWS($58:58))),"")</f>
        <v>0</v>
      </c>
    </row>
    <row r="59" spans="1:3" x14ac:dyDescent="0.25">
      <c r="A59" s="252" t="str">
        <f t="array" ref="A59">IF(ISERROR(FIND("Distributeur",Contacts!F3,1))=TRUE,"",Contacts!F4)</f>
        <v/>
      </c>
      <c r="B59" s="252" t="b">
        <f>ISERROR(FIND("Distributeur",Contacts!F3,1))</f>
        <v>1</v>
      </c>
      <c r="C59" s="282" t="str">
        <f t="array" aca="1" ref="C59" ca="1">IF(ROWS($58:59)&lt;=COUNTIF(Cond,FALSE),INDEX(Champ,SMALL(IF(Cond=FALSE,ROW(INDIRECT("1:"&amp;ROWS(Champ)))),ROWS($58:59))),"")</f>
        <v/>
      </c>
    </row>
    <row r="60" spans="1:3" x14ac:dyDescent="0.25">
      <c r="A60" s="252" t="str">
        <f t="array" ref="A60">IF(ISERROR(FIND("Distributeur",Contacts!G3,1))=TRUE,"",Contacts!G4)</f>
        <v/>
      </c>
      <c r="B60" s="252" t="b">
        <f>ISERROR(FIND("Distributeur",Contacts!G3,1))</f>
        <v>1</v>
      </c>
      <c r="C60" s="282" t="str">
        <f t="array" aca="1" ref="C60" ca="1">IF(ROWS($58:60)&lt;=COUNTIF(Cond,FALSE),INDEX(Champ,SMALL(IF(Cond=FALSE,ROW(INDIRECT("1:"&amp;ROWS(Champ)))),ROWS($58:60))),"")</f>
        <v/>
      </c>
    </row>
    <row r="61" spans="1:3" x14ac:dyDescent="0.25">
      <c r="A61" s="252" t="str">
        <f t="array" ref="A61">IF(ISERROR(FIND("Distributeur",Contacts!H3,1))=TRUE,"",Contacts!H4)</f>
        <v/>
      </c>
      <c r="B61" s="252" t="b">
        <f>ISERROR(FIND("Distributeur",Contacts!H3,1))</f>
        <v>1</v>
      </c>
      <c r="C61" s="282" t="str">
        <f t="array" aca="1" ref="C61" ca="1">IF(ROWS($58:61)&lt;=COUNTIF(Cond,FALSE),INDEX(Champ,SMALL(IF(Cond=FALSE,ROW(INDIRECT("1:"&amp;ROWS(Champ)))),ROWS($58:61))),"")</f>
        <v/>
      </c>
    </row>
    <row r="62" spans="1:3" x14ac:dyDescent="0.25">
      <c r="A62" s="252">
        <f t="array" ref="A62">IF(ISERROR(FIND("Distributeur",Contacts!I3,1))=TRUE,"",Contacts!I4)</f>
        <v>0</v>
      </c>
      <c r="B62" s="252" t="b">
        <f>ISERROR(FIND("Distributeur",Contacts!I3,1))</f>
        <v>0</v>
      </c>
      <c r="C62" s="282" t="str">
        <f t="array" aca="1" ref="C62" ca="1">IF(ROWS($58:62)&lt;=COUNTIF(Cond,FALSE),INDEX(Champ,SMALL(IF(Cond=FALSE,ROW(INDIRECT("1:"&amp;ROWS(Champ)))),ROWS($58:62))),"")</f>
        <v/>
      </c>
    </row>
    <row r="63" spans="1:3" x14ac:dyDescent="0.25">
      <c r="A63" s="252" t="str">
        <f>IF(ISERROR(FIND("Distributeur",Contacts!J3,1))=TRUE,"",Contacts!J4)</f>
        <v/>
      </c>
      <c r="B63" s="252" t="b">
        <f>ISERROR(FIND("Distributeur",Contacts!J3,1))</f>
        <v>1</v>
      </c>
      <c r="C63" s="282" t="str">
        <f t="array" aca="1" ref="C63" ca="1">IF(ROWS($58:63)&lt;=COUNTIF(Cond,FALSE),INDEX(Champ,SMALL(IF(Cond=FALSE,ROW(INDIRECT("1:"&amp;ROWS(Champ)))),ROWS($58:63))),"")</f>
        <v/>
      </c>
    </row>
    <row r="64" spans="1:3" x14ac:dyDescent="0.25">
      <c r="A64" s="252" t="str">
        <f t="array" ref="A64">IF(ISERROR(FIND("Distributeur",Contacts!K3,1))=TRUE,"",Contacts!K4)</f>
        <v/>
      </c>
      <c r="B64" s="252" t="b">
        <f>ISERROR(FIND("Distributeur",Contacts!K3,1))</f>
        <v>1</v>
      </c>
      <c r="C64" s="282" t="str">
        <f t="array" aca="1" ref="C64" ca="1">IF(ROWS($58:64)&lt;=COUNTIF(Cond,FALSE),INDEX(Champ,SMALL(IF(Cond=FALSE,ROW(INDIRECT("1:"&amp;ROWS(Champ)))),ROWS($58:64))),"")</f>
        <v/>
      </c>
    </row>
    <row r="65" spans="1:6" x14ac:dyDescent="0.25">
      <c r="B65" s="252"/>
    </row>
    <row r="66" spans="1:6" x14ac:dyDescent="0.25">
      <c r="A66" t="s">
        <v>0</v>
      </c>
      <c r="B66" t="s">
        <v>1</v>
      </c>
    </row>
    <row r="67" spans="1:6" x14ac:dyDescent="0.25">
      <c r="A67" t="s">
        <v>11109</v>
      </c>
      <c r="B67" t="b">
        <v>0</v>
      </c>
      <c r="C67" s="295"/>
    </row>
    <row r="70" spans="1:6" x14ac:dyDescent="0.25">
      <c r="A70" s="244" t="s">
        <v>0</v>
      </c>
      <c r="B70" t="s">
        <v>11106</v>
      </c>
      <c r="C70" t="s">
        <v>11107</v>
      </c>
      <c r="D70" t="s">
        <v>11108</v>
      </c>
      <c r="E70" t="s">
        <v>101</v>
      </c>
    </row>
    <row r="71" spans="1:6" x14ac:dyDescent="0.25">
      <c r="A71" s="163" t="s">
        <v>214</v>
      </c>
      <c r="B71" t="b">
        <v>0</v>
      </c>
      <c r="C71" t="b">
        <v>0</v>
      </c>
      <c r="D71" s="252" t="s">
        <v>11115</v>
      </c>
      <c r="E71" s="292">
        <v>41746</v>
      </c>
    </row>
    <row r="72" spans="1:6" x14ac:dyDescent="0.25">
      <c r="A72" s="186" t="s">
        <v>220</v>
      </c>
      <c r="B72" t="b">
        <v>0</v>
      </c>
      <c r="C72" t="b">
        <v>0</v>
      </c>
      <c r="D72" t="s">
        <v>11122</v>
      </c>
      <c r="E72" s="292">
        <v>41746</v>
      </c>
      <c r="F72" s="252"/>
    </row>
    <row r="73" spans="1:6" x14ac:dyDescent="0.25">
      <c r="A73" s="163" t="s">
        <v>223</v>
      </c>
      <c r="B73" t="b">
        <v>0</v>
      </c>
      <c r="C73" t="b">
        <v>0</v>
      </c>
      <c r="D73" s="252" t="s">
        <v>11117</v>
      </c>
      <c r="E73" s="292">
        <v>41746</v>
      </c>
      <c r="F73" s="252"/>
    </row>
    <row r="74" spans="1:6" x14ac:dyDescent="0.25">
      <c r="A74" s="186" t="s">
        <v>229</v>
      </c>
      <c r="B74" t="b">
        <v>0</v>
      </c>
      <c r="C74" t="b">
        <v>0</v>
      </c>
      <c r="D74" t="s">
        <v>11116</v>
      </c>
      <c r="E74" s="292">
        <v>41746</v>
      </c>
      <c r="F74" s="252"/>
    </row>
    <row r="75" spans="1:6" x14ac:dyDescent="0.25">
      <c r="A75" s="186" t="s">
        <v>230</v>
      </c>
      <c r="B75" t="b">
        <v>0</v>
      </c>
      <c r="C75" t="b">
        <v>0</v>
      </c>
      <c r="D75" t="s">
        <v>11120</v>
      </c>
      <c r="E75" s="292">
        <v>41746</v>
      </c>
      <c r="F75" s="252"/>
    </row>
    <row r="76" spans="1:6" x14ac:dyDescent="0.25">
      <c r="A76" s="186" t="s">
        <v>235</v>
      </c>
      <c r="B76" t="b">
        <v>0</v>
      </c>
      <c r="C76" t="b">
        <v>0</v>
      </c>
      <c r="D76" s="252" t="s">
        <v>11121</v>
      </c>
      <c r="E76" s="292">
        <v>41746</v>
      </c>
      <c r="F76" s="252"/>
    </row>
    <row r="77" spans="1:6" x14ac:dyDescent="0.25">
      <c r="A77" s="186" t="s">
        <v>239</v>
      </c>
      <c r="B77" t="b">
        <v>0</v>
      </c>
      <c r="C77" t="b">
        <v>0</v>
      </c>
      <c r="D77" s="252" t="s">
        <v>11118</v>
      </c>
      <c r="E77" s="292">
        <v>41746</v>
      </c>
      <c r="F77" s="252"/>
    </row>
    <row r="78" spans="1:6" x14ac:dyDescent="0.25">
      <c r="A78" s="186" t="s">
        <v>241</v>
      </c>
      <c r="B78" t="b">
        <v>0</v>
      </c>
      <c r="C78" t="b">
        <v>0</v>
      </c>
      <c r="D78" t="s">
        <v>11123</v>
      </c>
      <c r="E78" s="292">
        <v>41746</v>
      </c>
      <c r="F78" s="252"/>
    </row>
    <row r="79" spans="1:6" x14ac:dyDescent="0.25">
      <c r="A79" s="186" t="s">
        <v>242</v>
      </c>
      <c r="B79" t="b">
        <v>0</v>
      </c>
      <c r="C79" t="b">
        <v>0</v>
      </c>
      <c r="D79" s="252" t="s">
        <v>11119</v>
      </c>
      <c r="E79" s="292">
        <v>41746</v>
      </c>
      <c r="F79" s="252"/>
    </row>
    <row r="80" spans="1:6" x14ac:dyDescent="0.25">
      <c r="A80" s="186" t="s">
        <v>215</v>
      </c>
      <c r="B80" t="b">
        <v>0</v>
      </c>
      <c r="C80" t="b">
        <v>0</v>
      </c>
      <c r="D80" t="s">
        <v>11124</v>
      </c>
      <c r="E80" s="292">
        <v>41618</v>
      </c>
      <c r="F80" s="252"/>
    </row>
    <row r="81" spans="1:6" x14ac:dyDescent="0.25">
      <c r="A81" s="186" t="s">
        <v>221</v>
      </c>
      <c r="B81" t="b">
        <v>0</v>
      </c>
      <c r="C81" t="b">
        <v>0</v>
      </c>
      <c r="D81" s="252" t="s">
        <v>11125</v>
      </c>
      <c r="E81" s="292">
        <v>41618</v>
      </c>
      <c r="F81" s="252"/>
    </row>
    <row r="82" spans="1:6" x14ac:dyDescent="0.25">
      <c r="A82" s="186" t="s">
        <v>227</v>
      </c>
      <c r="B82" t="b">
        <v>0</v>
      </c>
      <c r="C82" t="b">
        <v>0</v>
      </c>
      <c r="D82" s="252" t="s">
        <v>11126</v>
      </c>
      <c r="E82" s="292">
        <v>41618</v>
      </c>
      <c r="F82" s="252"/>
    </row>
    <row r="83" spans="1:6" x14ac:dyDescent="0.25">
      <c r="A83" s="186" t="s">
        <v>228</v>
      </c>
      <c r="B83" t="b">
        <v>0</v>
      </c>
      <c r="C83" t="b">
        <v>0</v>
      </c>
      <c r="D83" s="252" t="s">
        <v>11127</v>
      </c>
      <c r="E83" s="292">
        <v>41618</v>
      </c>
      <c r="F83" s="252"/>
    </row>
    <row r="84" spans="1:6" x14ac:dyDescent="0.25">
      <c r="A84" s="186" t="s">
        <v>216</v>
      </c>
      <c r="B84" t="b">
        <v>0</v>
      </c>
      <c r="C84" t="b">
        <v>0</v>
      </c>
      <c r="D84" s="252" t="s">
        <v>11145</v>
      </c>
      <c r="E84" s="292">
        <v>41618</v>
      </c>
      <c r="F84" s="252"/>
    </row>
    <row r="85" spans="1:6" x14ac:dyDescent="0.25">
      <c r="A85" s="186" t="s">
        <v>217</v>
      </c>
      <c r="B85" t="b">
        <v>0</v>
      </c>
      <c r="C85" t="b">
        <v>0</v>
      </c>
      <c r="D85" s="252" t="s">
        <v>11129</v>
      </c>
      <c r="E85" s="292">
        <v>41618</v>
      </c>
      <c r="F85" s="252"/>
    </row>
    <row r="86" spans="1:6" x14ac:dyDescent="0.25">
      <c r="A86" s="186" t="s">
        <v>218</v>
      </c>
      <c r="B86" t="b">
        <v>0</v>
      </c>
      <c r="C86" t="b">
        <v>0</v>
      </c>
      <c r="D86" s="252" t="s">
        <v>11130</v>
      </c>
      <c r="E86" s="292">
        <v>41618</v>
      </c>
      <c r="F86" s="252"/>
    </row>
    <row r="87" spans="1:6" x14ac:dyDescent="0.25">
      <c r="A87" s="186" t="s">
        <v>219</v>
      </c>
      <c r="B87" t="b">
        <v>0</v>
      </c>
      <c r="C87" t="b">
        <v>0</v>
      </c>
      <c r="D87" s="252" t="s">
        <v>11129</v>
      </c>
      <c r="E87" s="292">
        <v>41618</v>
      </c>
      <c r="F87" s="252"/>
    </row>
    <row r="88" spans="1:6" x14ac:dyDescent="0.25">
      <c r="A88" s="186" t="s">
        <v>222</v>
      </c>
      <c r="B88" t="b">
        <v>0</v>
      </c>
      <c r="C88" t="b">
        <v>0</v>
      </c>
      <c r="D88" s="252" t="s">
        <v>11131</v>
      </c>
      <c r="E88" s="292">
        <v>41618</v>
      </c>
      <c r="F88" s="252"/>
    </row>
    <row r="89" spans="1:6" x14ac:dyDescent="0.25">
      <c r="A89" s="186" t="s">
        <v>224</v>
      </c>
      <c r="B89" t="b">
        <v>0</v>
      </c>
      <c r="C89" t="b">
        <v>0</v>
      </c>
      <c r="D89" s="252" t="s">
        <v>11132</v>
      </c>
      <c r="E89" s="292">
        <v>41618</v>
      </c>
      <c r="F89" s="252"/>
    </row>
    <row r="90" spans="1:6" x14ac:dyDescent="0.25">
      <c r="A90" s="186" t="s">
        <v>225</v>
      </c>
      <c r="B90" t="b">
        <v>0</v>
      </c>
      <c r="C90" t="b">
        <v>0</v>
      </c>
      <c r="D90" s="252" t="s">
        <v>11128</v>
      </c>
      <c r="E90" s="292">
        <v>41618</v>
      </c>
      <c r="F90" s="252"/>
    </row>
    <row r="91" spans="1:6" x14ac:dyDescent="0.25">
      <c r="A91" s="186" t="s">
        <v>226</v>
      </c>
      <c r="B91" t="b">
        <v>0</v>
      </c>
      <c r="C91" t="b">
        <v>0</v>
      </c>
      <c r="D91" s="252" t="s">
        <v>11134</v>
      </c>
      <c r="E91" s="292">
        <v>41618</v>
      </c>
      <c r="F91" s="252"/>
    </row>
    <row r="92" spans="1:6" x14ac:dyDescent="0.25">
      <c r="A92" s="186" t="s">
        <v>231</v>
      </c>
      <c r="B92" t="b">
        <v>0</v>
      </c>
      <c r="C92" t="b">
        <v>0</v>
      </c>
      <c r="D92" s="252" t="s">
        <v>11135</v>
      </c>
      <c r="E92" s="292">
        <v>41618</v>
      </c>
      <c r="F92" s="252"/>
    </row>
    <row r="93" spans="1:6" x14ac:dyDescent="0.25">
      <c r="A93" s="186" t="s">
        <v>232</v>
      </c>
      <c r="B93" t="b">
        <v>0</v>
      </c>
      <c r="C93" t="b">
        <v>0</v>
      </c>
      <c r="D93" s="252" t="s">
        <v>11136</v>
      </c>
      <c r="E93" s="292">
        <v>41618</v>
      </c>
      <c r="F93" s="252"/>
    </row>
    <row r="94" spans="1:6" x14ac:dyDescent="0.25">
      <c r="A94" s="186" t="s">
        <v>233</v>
      </c>
      <c r="B94" t="b">
        <v>0</v>
      </c>
      <c r="C94" t="b">
        <v>0</v>
      </c>
      <c r="D94" s="252" t="s">
        <v>11137</v>
      </c>
      <c r="E94" s="292">
        <v>41618</v>
      </c>
      <c r="F94" s="252"/>
    </row>
    <row r="95" spans="1:6" x14ac:dyDescent="0.25">
      <c r="A95" s="186" t="s">
        <v>234</v>
      </c>
      <c r="B95" t="b">
        <v>0</v>
      </c>
      <c r="C95" t="b">
        <v>0</v>
      </c>
      <c r="D95" s="252" t="s">
        <v>11138</v>
      </c>
      <c r="E95" s="292">
        <v>41618</v>
      </c>
      <c r="F95" s="252"/>
    </row>
    <row r="96" spans="1:6" x14ac:dyDescent="0.25">
      <c r="A96" s="186" t="s">
        <v>236</v>
      </c>
      <c r="B96" t="b">
        <v>0</v>
      </c>
      <c r="C96" t="b">
        <v>0</v>
      </c>
      <c r="D96" s="252" t="s">
        <v>11139</v>
      </c>
      <c r="E96" s="292">
        <v>41618</v>
      </c>
      <c r="F96" s="252"/>
    </row>
    <row r="97" spans="1:11" x14ac:dyDescent="0.25">
      <c r="A97" s="186" t="s">
        <v>237</v>
      </c>
      <c r="B97" t="b">
        <v>0</v>
      </c>
      <c r="C97" t="b">
        <v>0</v>
      </c>
      <c r="D97" s="252" t="s">
        <v>11140</v>
      </c>
      <c r="E97" s="292">
        <v>41618</v>
      </c>
      <c r="F97" s="252"/>
    </row>
    <row r="98" spans="1:11" x14ac:dyDescent="0.25">
      <c r="A98" s="186" t="s">
        <v>238</v>
      </c>
      <c r="B98" t="b">
        <v>0</v>
      </c>
      <c r="C98" t="b">
        <v>0</v>
      </c>
      <c r="D98" s="252" t="s">
        <v>11146</v>
      </c>
      <c r="E98" s="292">
        <v>41618</v>
      </c>
      <c r="F98" s="252"/>
    </row>
    <row r="99" spans="1:11" x14ac:dyDescent="0.25">
      <c r="A99" s="186" t="s">
        <v>91</v>
      </c>
      <c r="B99" t="b">
        <v>0</v>
      </c>
      <c r="C99" t="b">
        <v>0</v>
      </c>
      <c r="D99" s="252" t="s">
        <v>11141</v>
      </c>
      <c r="E99" s="292">
        <v>41618</v>
      </c>
      <c r="F99" s="252"/>
    </row>
    <row r="100" spans="1:11" x14ac:dyDescent="0.25">
      <c r="A100" s="186" t="s">
        <v>240</v>
      </c>
      <c r="B100" t="b">
        <v>0</v>
      </c>
      <c r="C100" t="b">
        <v>0</v>
      </c>
      <c r="D100" s="252" t="s">
        <v>11142</v>
      </c>
      <c r="E100" s="292">
        <v>41618</v>
      </c>
      <c r="F100" s="252"/>
    </row>
    <row r="101" spans="1:11" x14ac:dyDescent="0.25">
      <c r="A101" s="186" t="s">
        <v>243</v>
      </c>
      <c r="B101" t="b">
        <v>0</v>
      </c>
      <c r="C101" t="b">
        <v>0</v>
      </c>
      <c r="D101" s="252" t="s">
        <v>11143</v>
      </c>
      <c r="E101" s="292">
        <v>41618</v>
      </c>
      <c r="F101" s="252"/>
    </row>
    <row r="102" spans="1:11" x14ac:dyDescent="0.25">
      <c r="A102" s="186" t="s">
        <v>244</v>
      </c>
      <c r="B102" t="b">
        <v>0</v>
      </c>
      <c r="C102" t="b">
        <v>0</v>
      </c>
      <c r="D102" s="252" t="s">
        <v>11126</v>
      </c>
      <c r="E102" s="292">
        <v>41618</v>
      </c>
      <c r="F102" s="252"/>
    </row>
    <row r="103" spans="1:11" x14ac:dyDescent="0.25">
      <c r="A103" s="186" t="s">
        <v>245</v>
      </c>
      <c r="B103" t="b">
        <v>0</v>
      </c>
      <c r="C103" t="b">
        <v>0</v>
      </c>
      <c r="D103" s="252" t="s">
        <v>11144</v>
      </c>
      <c r="E103" s="292">
        <v>41618</v>
      </c>
      <c r="F103" s="252"/>
    </row>
    <row r="104" spans="1:11" ht="30.75" thickBot="1" x14ac:dyDescent="0.3">
      <c r="A104" s="185" t="s">
        <v>246</v>
      </c>
      <c r="B104" t="b">
        <v>0</v>
      </c>
      <c r="C104" t="b">
        <v>0</v>
      </c>
      <c r="D104" s="252" t="s">
        <v>11133</v>
      </c>
      <c r="E104" s="292">
        <v>41618</v>
      </c>
      <c r="F104" s="252"/>
    </row>
    <row r="108" spans="1:11" x14ac:dyDescent="0.25">
      <c r="A108" s="290" t="s">
        <v>8</v>
      </c>
      <c r="B108" s="64" t="s">
        <v>11033</v>
      </c>
      <c r="C108" s="64" t="s">
        <v>11043</v>
      </c>
      <c r="D108" s="291" t="s">
        <v>360</v>
      </c>
      <c r="E108" s="290" t="s">
        <v>11044</v>
      </c>
      <c r="F108" s="64" t="s">
        <v>11047</v>
      </c>
      <c r="G108" s="290" t="s">
        <v>11048</v>
      </c>
    </row>
    <row r="109" spans="1:11" x14ac:dyDescent="0.25">
      <c r="A109" s="249" t="str">
        <f>IF(Distribution!F32="","",Distribution!F32)</f>
        <v/>
      </c>
      <c r="B109" s="249" t="str">
        <f>IF(Distribution!F33="","",Distribution!F33)</f>
        <v/>
      </c>
      <c r="C109" s="249" t="str">
        <f>IF(Distribution!F34="","",Distribution!F34)</f>
        <v/>
      </c>
      <c r="D109" s="155" t="str">
        <f>IF(Distribution!F35="","",Distribution!F35)</f>
        <v/>
      </c>
      <c r="E109" s="249" t="str">
        <f>IF(Distribution!F36="","",Distribution!F36)</f>
        <v/>
      </c>
      <c r="F109" s="249" t="str">
        <f>IF(Distribution!F37="","",Distribution!F37)</f>
        <v/>
      </c>
      <c r="G109" s="249" t="str">
        <f>IF(Distribution!F38="","",VLOOKUP(Distribution!F38,Codelist_ISO!$A$150:$B$153,2,FALSE))</f>
        <v/>
      </c>
    </row>
    <row r="110" spans="1:11" x14ac:dyDescent="0.25">
      <c r="A110" s="249" t="str">
        <f>IF(Distribution!G32="","",Distribution!G32)</f>
        <v/>
      </c>
      <c r="B110" s="249" t="str">
        <f>IF(Distribution!G33="","",Distribution!G33)</f>
        <v/>
      </c>
      <c r="C110" s="249" t="str">
        <f>IF(Distribution!G34="","",Distribution!G34)</f>
        <v/>
      </c>
      <c r="D110" s="98" t="str">
        <f>IF(Distribution!G35="","",Distribution!G35)</f>
        <v/>
      </c>
      <c r="E110" s="249" t="str">
        <f>IF(Distribution!G36="","",Distribution!G36)</f>
        <v/>
      </c>
      <c r="F110" s="249" t="str">
        <f>IF(Distribution!G37="","",Distribution!G37)</f>
        <v/>
      </c>
      <c r="G110" s="249" t="str">
        <f>IF(Distribution!G38="","",VLOOKUP(Distribution!G38,Codelist_ISO!$A$150:$B$153,2,FALSE))</f>
        <v/>
      </c>
    </row>
    <row r="111" spans="1:11" x14ac:dyDescent="0.25">
      <c r="D111" s="11"/>
    </row>
    <row r="112" spans="1:11" x14ac:dyDescent="0.25">
      <c r="A112" s="296" t="s">
        <v>8</v>
      </c>
      <c r="B112" s="296" t="s">
        <v>11021</v>
      </c>
      <c r="C112" s="296" t="s">
        <v>11034</v>
      </c>
      <c r="D112" s="297" t="s">
        <v>358</v>
      </c>
      <c r="E112" s="296" t="s">
        <v>11036</v>
      </c>
      <c r="F112" s="296" t="s">
        <v>10905</v>
      </c>
      <c r="G112" s="296" t="s">
        <v>10906</v>
      </c>
      <c r="H112" s="296" t="s">
        <v>10907</v>
      </c>
      <c r="I112" s="296" t="s">
        <v>10908</v>
      </c>
      <c r="J112" s="296" t="s">
        <v>10909</v>
      </c>
      <c r="K112" s="296" t="s">
        <v>11111</v>
      </c>
    </row>
    <row r="113" spans="1:11" x14ac:dyDescent="0.25">
      <c r="A113" s="74" t="str">
        <f>IF(Distribution!F6="","",Distribution!F6)</f>
        <v/>
      </c>
      <c r="B113" s="74" t="str">
        <f>IF(Distribution!F7="","",Distribution!F7)</f>
        <v/>
      </c>
      <c r="C113" s="74" t="str">
        <f>IF(Distribution!F8="","",Distribution!F8)</f>
        <v/>
      </c>
      <c r="D113" s="74"/>
      <c r="E113" s="74" t="str">
        <f>IF(Distribution!F10="","",Distribution!F10)</f>
        <v/>
      </c>
      <c r="F113" s="74" t="str">
        <f>IF(Distribution!F11="","",Distribution!F11)</f>
        <v/>
      </c>
      <c r="G113" s="74" t="str">
        <f>IF(Distribution!F12="","",Distribution!F12)</f>
        <v/>
      </c>
      <c r="H113" s="74" t="str">
        <f>IF(Distribution!F13="","",Distribution!F13)</f>
        <v/>
      </c>
      <c r="I113" s="74" t="str">
        <f>IF(Distribution!F14="","",Distribution!F14)</f>
        <v>Accès en téléchargement direct</v>
      </c>
      <c r="J113" s="74" t="str">
        <f>IF(Distribution!F15=0,"",VLOOKUP(Distribution!F15,Codelist_ISO!$A$21:$B$25,2,FALSE))</f>
        <v>download</v>
      </c>
      <c r="K113" s="289"/>
    </row>
    <row r="114" spans="1:11" x14ac:dyDescent="0.25">
      <c r="A114" s="74" t="str">
        <f>IF(Distribution!G6="","",Distribution!G6)</f>
        <v/>
      </c>
      <c r="B114" s="74" t="str">
        <f>IF(Distribution!G7="","",Distribution!G7)</f>
        <v/>
      </c>
      <c r="C114" s="74" t="str">
        <f>IF(Distribution!G8="","",Distribution!G8)</f>
        <v/>
      </c>
      <c r="D114" s="74" t="str">
        <f>IF(Distribution!G9="","",Distribution!G9)</f>
        <v/>
      </c>
      <c r="E114" s="74" t="str">
        <f>IF(Distribution!G10="","",Distribution!G10)</f>
        <v/>
      </c>
      <c r="F114" s="74" t="str">
        <f>IF(Distribution!G11="","",Distribution!G11)</f>
        <v/>
      </c>
      <c r="G114" s="74" t="str">
        <f>IF(Distribution!G12="","",Distribution!G12)</f>
        <v/>
      </c>
      <c r="H114" s="74" t="str">
        <f>IF(Distribution!G13="","",Distribution!G13)</f>
        <v/>
      </c>
      <c r="I114" s="74" t="str">
        <f>IF(Distribution!G14="","",Distribution!G14)</f>
        <v>Accès en téléchargement direct</v>
      </c>
      <c r="J114" s="74" t="str">
        <f>IF(Distribution!G15=0,"",VLOOKUP(Distribution!G15,Codelist_ISO!$A$21:$B$25,2,FALSE))</f>
        <v>download</v>
      </c>
      <c r="K114" s="289"/>
    </row>
    <row r="115" spans="1:11" x14ac:dyDescent="0.25">
      <c r="A115" s="74" t="str">
        <f>IF(Distribution!F19="","",Distribution!F19)</f>
        <v/>
      </c>
      <c r="B115" s="289" t="str">
        <f>IF(Distribution!F20="","",Distribution!F20)</f>
        <v/>
      </c>
      <c r="C115" s="289" t="str">
        <f>IF(Distribution!F21="","",Distribution!F21)</f>
        <v/>
      </c>
      <c r="D115" s="289" t="str">
        <f>IF(Distribution!F22="","",Distribution!F22)</f>
        <v/>
      </c>
      <c r="E115" s="289" t="str">
        <f>IF(Distribution!F23="","",Distribution!F23)</f>
        <v/>
      </c>
      <c r="F115" s="289" t="str">
        <f>IF(Distribution!F24="","",Distribution!F24)</f>
        <v/>
      </c>
      <c r="G115" s="289" t="str">
        <f>IF(Distribution!F25="","",Distribution!F25)</f>
        <v/>
      </c>
      <c r="H115" s="289" t="str">
        <f>IF(Distribution!F26="","",Distribution!F26)</f>
        <v/>
      </c>
      <c r="I115" s="289" t="str">
        <f>IF(Distribution!F27="","",Distribution!F27)</f>
        <v>Téléchargement après extraction</v>
      </c>
      <c r="J115" s="289" t="str">
        <f>IF(Distribution!F28=0,"",VLOOKUP(Distribution!F28,Codelist_ISO!$A$21:$B$25,2,FALSE))</f>
        <v>download</v>
      </c>
      <c r="K115" s="289"/>
    </row>
    <row r="116" spans="1:11" x14ac:dyDescent="0.25">
      <c r="A116" s="74" t="str">
        <f>IF(Distribution!G19="","",Distribution!G19)</f>
        <v/>
      </c>
      <c r="B116" s="289" t="str">
        <f>IF(Distribution!G20="","",Distribution!G20)</f>
        <v/>
      </c>
      <c r="C116" s="289" t="str">
        <f>IF(Distribution!G21="","",Distribution!G21)</f>
        <v/>
      </c>
      <c r="D116" s="289" t="str">
        <f>IF(Distribution!G22="","",Distribution!G22)</f>
        <v/>
      </c>
      <c r="E116" s="289" t="str">
        <f>IF(Distribution!G23="","",Distribution!G23)</f>
        <v/>
      </c>
      <c r="F116" s="289" t="str">
        <f>IF(Distribution!G24="","",Distribution!G24)</f>
        <v/>
      </c>
      <c r="G116" s="289" t="str">
        <f>IF(Distribution!G25="","",Distribution!G25)</f>
        <v/>
      </c>
      <c r="H116" s="289" t="str">
        <f>IF(Distribution!G26="","",Distribution!G26)</f>
        <v/>
      </c>
      <c r="I116" s="289" t="str">
        <f>IF(Distribution!G27="","",Distribution!G27)</f>
        <v>Téléchargement après extraction</v>
      </c>
      <c r="J116" s="289" t="str">
        <f>IF(Distribution!G28=0,"",VLOOKUP(Distribution!G28,Codelist_ISO!$A$21:$B$25,2,FALSE))</f>
        <v>download</v>
      </c>
      <c r="K116" s="289"/>
    </row>
    <row r="117" spans="1:11" x14ac:dyDescent="0.25">
      <c r="A117" s="74" t="str">
        <f>IF(Distribution!F55="","",Distribution!F55)</f>
        <v/>
      </c>
      <c r="B117" s="289" t="str">
        <f>IF(Distribution!F56="","",Distribution!F56)</f>
        <v/>
      </c>
      <c r="C117" s="289" t="str">
        <f>IF(Distribution!F57="","",Distribution!F57)</f>
        <v/>
      </c>
      <c r="D117" s="289" t="str">
        <f>IF(Distribution!F58="","",Distribution!F58)</f>
        <v/>
      </c>
      <c r="E117" s="289" t="str">
        <f>IF(Distribution!F59="","",Distribution!F59)</f>
        <v/>
      </c>
      <c r="F117" s="289" t="str">
        <f>IF(Distribution!F60="","",Distribution!F60)</f>
        <v/>
      </c>
      <c r="G117" s="289" t="str">
        <f>IF(Distribution!F61="","",Distribution!F61)</f>
        <v/>
      </c>
      <c r="H117" s="289" t="str">
        <f>IF(Distribution!F62="","",Distribution!F62)</f>
        <v/>
      </c>
      <c r="I117" s="289" t="str">
        <f>IF(Distribution!F63="","",Distribution!F63)</f>
        <v>Service de téléchargement</v>
      </c>
      <c r="J117" s="289" t="str">
        <f>IF(Distribution!F64=0,"",VLOOKUP(Distribution!F64,Codelist_ISO!$A$21:$B$25,2,FALSE))</f>
        <v>download</v>
      </c>
      <c r="K117" s="289" t="str">
        <f>IF(Distribution!F65="","",Distribution!F65)</f>
        <v/>
      </c>
    </row>
    <row r="118" spans="1:11" x14ac:dyDescent="0.25">
      <c r="A118" s="74" t="str">
        <f>IF(Distribution!G55="","",Distribution!G55)</f>
        <v/>
      </c>
      <c r="B118" s="289" t="str">
        <f>IF(Distribution!G56="","",Distribution!G56)</f>
        <v/>
      </c>
      <c r="C118" s="289" t="str">
        <f>IF(Distribution!G57="","",Distribution!G57)</f>
        <v/>
      </c>
      <c r="D118" s="289" t="str">
        <f>IF(Distribution!G58="","",Distribution!G58)</f>
        <v/>
      </c>
      <c r="E118" s="289" t="str">
        <f>IF(Distribution!G59="","",Distribution!G59)</f>
        <v/>
      </c>
      <c r="F118" s="289" t="str">
        <f>IF(Distribution!G60="","",Distribution!G60)</f>
        <v/>
      </c>
      <c r="G118" s="289" t="str">
        <f>IF(Distribution!G61="","",Distribution!G61)</f>
        <v/>
      </c>
      <c r="H118" s="289" t="str">
        <f>IF(Distribution!G62="","",Distribution!G62)</f>
        <v/>
      </c>
      <c r="I118" s="289" t="str">
        <f>IF(Distribution!G63="","",Distribution!G63)</f>
        <v>Service de téléchargement</v>
      </c>
      <c r="J118" s="289" t="str">
        <f>IF(Distribution!G64=0,"",VLOOKUP(Distribution!G64,Codelist_ISO!$A$21:$B$25,2,FALSE))</f>
        <v>download</v>
      </c>
      <c r="K118" s="289" t="str">
        <f>IF(Distribution!G65="","",Distribution!G65)</f>
        <v/>
      </c>
    </row>
    <row r="120" spans="1:11" x14ac:dyDescent="0.25">
      <c r="A120" s="64" t="s">
        <v>10900</v>
      </c>
      <c r="B120" s="64" t="s">
        <v>10901</v>
      </c>
      <c r="C120" s="64" t="s">
        <v>10902</v>
      </c>
      <c r="D120" s="64" t="s">
        <v>10903</v>
      </c>
      <c r="E120" s="64" t="s">
        <v>10904</v>
      </c>
      <c r="F120" s="74" t="s">
        <v>11111</v>
      </c>
    </row>
    <row r="121" spans="1:11" x14ac:dyDescent="0.25">
      <c r="A121" s="249" t="str">
        <f>IF(Distribution!F70="","",Distribution!F70)</f>
        <v/>
      </c>
      <c r="B121" s="249" t="str">
        <f>IF(Distribution!F71="","",Distribution!F71)</f>
        <v/>
      </c>
      <c r="C121" s="249" t="str">
        <f>IF(Distribution!F72="","",Distribution!F72)</f>
        <v/>
      </c>
      <c r="D121" s="249" t="str">
        <f>IF(Distribution!F73="","",Distribution!F73)</f>
        <v/>
      </c>
      <c r="E121" s="249" t="str">
        <f>IF(Distribution!F74=0,"",VLOOKUP(Distribution!F74,Codelist_ISO!$A$21:$B$25,2,FALSE))</f>
        <v/>
      </c>
      <c r="F121" s="249" t="str">
        <f>IF(Distribution!F75="","",Distribution!F75)</f>
        <v/>
      </c>
    </row>
    <row r="122" spans="1:11" x14ac:dyDescent="0.25">
      <c r="A122" s="249" t="str">
        <f>IF(Distribution!G70="","",Distribution!G70)</f>
        <v/>
      </c>
      <c r="B122" s="249" t="str">
        <f>IF(Distribution!G71="","",Distribution!G71)</f>
        <v/>
      </c>
      <c r="C122" s="249" t="str">
        <f>IF(Distribution!G72="","",Distribution!G72)</f>
        <v/>
      </c>
      <c r="D122" s="249" t="str">
        <f>IF(Distribution!G73="","",Distribution!G73)</f>
        <v/>
      </c>
      <c r="E122" s="249" t="str">
        <f>IF(Distribution!G74=0,"",VLOOKUP(Distribution!G74,Codelist_ISO!$A$21:$B$25,2,FALSE))</f>
        <v/>
      </c>
      <c r="F122" s="249" t="str">
        <f>IF(Distribution!G75="","",Distribution!G75)</f>
        <v/>
      </c>
    </row>
    <row r="123" spans="1:11" x14ac:dyDescent="0.25">
      <c r="A123" s="249" t="str">
        <f>IF(Distribution!F79="","",Distribution!F79)</f>
        <v/>
      </c>
      <c r="B123" s="249" t="str">
        <f>IF(Distribution!F80="","",Distribution!F80)</f>
        <v/>
      </c>
      <c r="C123" s="249" t="str">
        <f>IF(Distribution!F81="","",Distribution!F81)</f>
        <v/>
      </c>
      <c r="D123" s="249" t="str">
        <f>IF(Distribution!F82="","",Distribution!F82)</f>
        <v/>
      </c>
      <c r="E123" s="249" t="str">
        <f>IF(Distribution!F83=0,"",VLOOKUP(Distribution!F83,Codelist_ISO!$A$21:$B$25,2,FALSE))</f>
        <v/>
      </c>
      <c r="F123" s="249" t="str">
        <f>IF(Distribution!F84="","",Distribution!F84)</f>
        <v/>
      </c>
    </row>
    <row r="124" spans="1:11" x14ac:dyDescent="0.25">
      <c r="A124" s="249" t="str">
        <f>IF(Distribution!G79="","",Distribution!F79)</f>
        <v/>
      </c>
      <c r="B124" s="249" t="str">
        <f>IF(Distribution!G80="","",Distribution!G80)</f>
        <v/>
      </c>
      <c r="C124" s="249" t="str">
        <f>IF(Distribution!G81="","",Distribution!G81)</f>
        <v/>
      </c>
      <c r="D124" s="249" t="str">
        <f>IF(Distribution!G82="","",Distribution!G82)</f>
        <v/>
      </c>
      <c r="E124" s="249" t="str">
        <f>IF(Distribution!G83=0,"",VLOOKUP(Distribution!F83,Codelist_ISO!$A$21:$B$25,2,FALSE))</f>
        <v/>
      </c>
      <c r="F124" s="249" t="str">
        <f>IF(Distribution!G84="","",Distribution!G84)</f>
        <v/>
      </c>
    </row>
    <row r="125" spans="1:11" x14ac:dyDescent="0.25">
      <c r="A125" s="252"/>
      <c r="B125" s="252"/>
      <c r="C125" s="252"/>
      <c r="D125" s="252"/>
      <c r="E125" s="252"/>
      <c r="F125" s="252"/>
    </row>
    <row r="127" spans="1:11" x14ac:dyDescent="0.25">
      <c r="A127" s="249" t="s">
        <v>11112</v>
      </c>
      <c r="B127" s="249" t="s">
        <v>11113</v>
      </c>
      <c r="C127" s="249" t="s">
        <v>11114</v>
      </c>
    </row>
    <row r="128" spans="1:11" x14ac:dyDescent="0.25">
      <c r="A128" s="249" t="str">
        <f>IF(Distribution!F88="","",Distribution!F88)</f>
        <v>A remplir par la DIG</v>
      </c>
      <c r="B128" s="249" t="str">
        <f>IF(Distribution!F89="","",Distribution!F89)</f>
        <v>A remplir par la DIG</v>
      </c>
      <c r="C128" s="249" t="str">
        <f>IF(Distribution!F90="","",Distribution!F90)</f>
        <v>A remplir par la DIG</v>
      </c>
    </row>
    <row r="129" spans="1:5" x14ac:dyDescent="0.25">
      <c r="A129" s="249" t="str">
        <f>IF(Distribution!G88="","",Distribution!G88)</f>
        <v>A remplir par la DIG</v>
      </c>
      <c r="B129" s="249" t="str">
        <f>IF(Distribution!G89="","",Distribution!G89)</f>
        <v>A remplir par la DIG</v>
      </c>
      <c r="C129" s="249" t="str">
        <f>IF(Distribution!G90="","",Distribution!G90)</f>
        <v>A remplir par la DIG</v>
      </c>
    </row>
    <row r="131" spans="1:5" x14ac:dyDescent="0.25">
      <c r="A131" s="249" t="s">
        <v>5759</v>
      </c>
      <c r="B131" s="249" t="s">
        <v>1</v>
      </c>
    </row>
    <row r="132" spans="1:5" x14ac:dyDescent="0.25">
      <c r="A132" s="249" t="str">
        <f>Qualité!C14</f>
        <v>Précision planimétrique</v>
      </c>
      <c r="B132" s="249" t="str">
        <f>IF(Qualité!G14="","",Qualité!G14)</f>
        <v>A remplir par la DIG</v>
      </c>
    </row>
    <row r="133" spans="1:5" x14ac:dyDescent="0.25">
      <c r="A133" s="249" t="str">
        <f>Qualité!C15</f>
        <v>Précison altimétrique</v>
      </c>
      <c r="B133" s="249" t="str">
        <f>IF(Qualité!G15="","",Qualité!G15)</f>
        <v>A remplir par la DIG</v>
      </c>
    </row>
    <row r="134" spans="1:5" x14ac:dyDescent="0.25">
      <c r="A134" s="249" t="str">
        <f>Qualité!C16</f>
        <v>Exhaustivité</v>
      </c>
      <c r="B134" s="249" t="str">
        <f>IF(Qualité!G16="","",Qualité!G16)</f>
        <v>A remplir par la DIG</v>
      </c>
    </row>
    <row r="135" spans="1:5" x14ac:dyDescent="0.25">
      <c r="A135" s="249" t="str">
        <f>Qualité!C17</f>
        <v>Complétude</v>
      </c>
      <c r="B135" s="249" t="str">
        <f>IF(Qualité!G17="","",Qualité!G17)</f>
        <v>A remplir par la DIG</v>
      </c>
    </row>
    <row r="137" spans="1:5" x14ac:dyDescent="0.25">
      <c r="A137" s="64" t="s">
        <v>10944</v>
      </c>
      <c r="B137" s="64" t="s">
        <v>10945</v>
      </c>
      <c r="C137" s="64" t="s">
        <v>10946</v>
      </c>
      <c r="D137" s="64" t="s">
        <v>10947</v>
      </c>
      <c r="E137" s="64" t="s">
        <v>10948</v>
      </c>
    </row>
    <row r="138" spans="1:5" x14ac:dyDescent="0.25">
      <c r="A138" s="249" t="str">
        <f>IF('Plus d''info'!F15="","",'Plus d''info'!F15)</f>
        <v/>
      </c>
      <c r="B138" s="249" t="str">
        <f>IF('Plus d''info'!F16="","",'Plus d''info'!F16)</f>
        <v/>
      </c>
      <c r="C138" s="249" t="str">
        <f>IF('Plus d''info'!F17="","",'Plus d''info'!F17)</f>
        <v/>
      </c>
      <c r="D138" s="249" t="str">
        <f>IF('Plus d''info'!F18="","",'Plus d''info'!F18)</f>
        <v/>
      </c>
      <c r="E138" s="249" t="str">
        <f>IF('Plus d''info'!F19=0,"",VLOOKUP('Plus d''info'!F19,Codelist_ISO!$A$21:$B$25,2,FALSE))</f>
        <v>information</v>
      </c>
    </row>
    <row r="139" spans="1:5" x14ac:dyDescent="0.25">
      <c r="A139" s="249" t="str">
        <f>IF('Plus d''info'!G15="","",'Plus d''info'!G15)</f>
        <v/>
      </c>
      <c r="B139" s="249" t="str">
        <f>IF('Plus d''info'!G16="","",'Plus d''info'!G16)</f>
        <v/>
      </c>
      <c r="C139" s="249" t="str">
        <f>IF('Plus d''info'!G17="","",'Plus d''info'!G17)</f>
        <v/>
      </c>
      <c r="D139" s="249" t="str">
        <f>IF('Plus d''info'!G18="","",'Plus d''info'!G18)</f>
        <v/>
      </c>
      <c r="E139" s="249" t="str">
        <f>IF('Plus d''info'!G19=0,"",VLOOKUP('Plus d''info'!G19,Codelist_ISO!$A$21:$B$25,2,FALSE))</f>
        <v>information</v>
      </c>
    </row>
    <row r="140" spans="1:5" x14ac:dyDescent="0.25">
      <c r="A140" s="249" t="str">
        <f>IF('Plus d''info'!F24="","",'Plus d''info'!F24)</f>
        <v/>
      </c>
      <c r="B140" s="249" t="str">
        <f>IF('Plus d''info'!F25="","",'Plus d''info'!F25)</f>
        <v/>
      </c>
      <c r="C140" s="249" t="str">
        <f>IF('Plus d''info'!F26="","",'Plus d''info'!F26)</f>
        <v/>
      </c>
      <c r="D140" s="249" t="str">
        <f>IF('Plus d''info'!F27="","",'Plus d''info'!F27)</f>
        <v/>
      </c>
      <c r="E140" s="249" t="str">
        <f>IF('Plus d''info'!F28=0,"",VLOOKUP('Plus d''info'!F28,Codelist_ISO!$A$21:$B$25,2,FALSE))</f>
        <v>information</v>
      </c>
    </row>
    <row r="141" spans="1:5" x14ac:dyDescent="0.25">
      <c r="A141" s="249" t="str">
        <f>IF('Plus d''info'!G24="","",'Plus d''info'!G24)</f>
        <v/>
      </c>
      <c r="B141" s="249" t="str">
        <f>IF('Plus d''info'!G25="","",'Plus d''info'!G25)</f>
        <v/>
      </c>
      <c r="C141" s="249" t="str">
        <f>IF('Plus d''info'!G26="","",'Plus d''info'!G26)</f>
        <v/>
      </c>
      <c r="D141" s="249" t="str">
        <f>IF('Plus d''info'!G27="","",'Plus d''info'!G27)</f>
        <v/>
      </c>
      <c r="E141" s="249" t="str">
        <f>IF('Plus d''info'!G28=0,"",VLOOKUP('Plus d''info'!G28,Codelist_ISO!$A$21:$B$25,2,FALSE))</f>
        <v>information</v>
      </c>
    </row>
    <row r="142" spans="1:5" x14ac:dyDescent="0.25">
      <c r="A142" s="249" t="str">
        <f>IF('Plus d''info'!F33="","",'Plus d''info'!F33)</f>
        <v/>
      </c>
      <c r="B142" s="249" t="str">
        <f>IF('Plus d''info'!F34="","",'Plus d''info'!F34)</f>
        <v/>
      </c>
      <c r="C142" s="249" t="str">
        <f>IF('Plus d''info'!F35="","",'Plus d''info'!F35)</f>
        <v/>
      </c>
      <c r="D142" s="249" t="str">
        <f>IF('Plus d''info'!F36="","",'Plus d''info'!F36)</f>
        <v/>
      </c>
      <c r="E142" s="249" t="str">
        <f>IF('Plus d''info'!F37=0,"",VLOOKUP('Plus d''info'!F37,Codelist_ISO!$A$21:$B$25,2,FALSE))</f>
        <v>information</v>
      </c>
    </row>
    <row r="143" spans="1:5" x14ac:dyDescent="0.25">
      <c r="A143" s="249" t="str">
        <f>IF('Plus d''info'!G33="","",'Plus d''info'!G33)</f>
        <v/>
      </c>
      <c r="B143" s="249" t="str">
        <f>IF('Plus d''info'!G34="","",'Plus d''info'!G34)</f>
        <v/>
      </c>
      <c r="C143" s="249" t="str">
        <f>IF('Plus d''info'!G35="","",'Plus d''info'!G35)</f>
        <v/>
      </c>
      <c r="D143" s="249" t="str">
        <f>IF('Plus d''info'!G36="","",'Plus d''info'!G36)</f>
        <v/>
      </c>
      <c r="E143" s="249" t="str">
        <f>IF('Plus d''info'!G37=0,"",VLOOKUP('Plus d''info'!G37,Codelist_ISO!$A$21:$B$25,2,FALSE))</f>
        <v>information</v>
      </c>
    </row>
    <row r="144" spans="1:5" x14ac:dyDescent="0.25">
      <c r="A144" s="249" t="str">
        <f>IF('Plus d''info'!F42="","",'Plus d''info'!F42)</f>
        <v/>
      </c>
      <c r="B144" s="249" t="str">
        <f>IF('Plus d''info'!F43="","",'Plus d''info'!F43)</f>
        <v/>
      </c>
      <c r="C144" s="249" t="str">
        <f>IF('Plus d''info'!F44="","",'Plus d''info'!F44)</f>
        <v/>
      </c>
      <c r="D144" s="249" t="str">
        <f>IF('Plus d''info'!F45="","",'Plus d''info'!F45)</f>
        <v/>
      </c>
      <c r="E144" s="249" t="str">
        <f>IF('Plus d''info'!F46=0,"",VLOOKUP('Plus d''info'!F46,Codelist_ISO!$A$21:$B$25,2,FALSE))</f>
        <v>information</v>
      </c>
    </row>
    <row r="145" spans="1:5" x14ac:dyDescent="0.25">
      <c r="A145" s="249" t="str">
        <f>IF('Plus d''info'!G42="","",'Plus d''info'!G42)</f>
        <v/>
      </c>
      <c r="B145" s="249" t="str">
        <f>IF('Plus d''info'!G43="","",'Plus d''info'!G43)</f>
        <v/>
      </c>
      <c r="C145" s="249" t="str">
        <f>IF('Plus d''info'!G44="","",'Plus d''info'!G44)</f>
        <v/>
      </c>
      <c r="D145" s="249" t="str">
        <f>IF('Plus d''info'!G45="","",'Plus d''info'!G45)</f>
        <v/>
      </c>
      <c r="E145" s="249" t="str">
        <f>IF('Plus d''info'!G46=0,"",VLOOKUP('Plus d''info'!G46,Codelist_ISO!$A$21:$B$25,2,FALSE))</f>
        <v>information</v>
      </c>
    </row>
    <row r="146" spans="1:5" s="252" customFormat="1" x14ac:dyDescent="0.25">
      <c r="A146" s="84"/>
      <c r="B146" s="84"/>
      <c r="C146" s="84"/>
      <c r="D146" s="84"/>
      <c r="E146" s="84"/>
    </row>
    <row r="147" spans="1:5" x14ac:dyDescent="0.25">
      <c r="A147" t="s">
        <v>11207</v>
      </c>
    </row>
    <row r="148" spans="1:5" x14ac:dyDescent="0.25">
      <c r="A148" s="249" t="s">
        <v>11275</v>
      </c>
      <c r="B148" s="249" t="s">
        <v>11276</v>
      </c>
      <c r="C148" s="249" t="s">
        <v>11277</v>
      </c>
      <c r="D148" s="249" t="s">
        <v>1</v>
      </c>
    </row>
    <row r="149" spans="1:5" x14ac:dyDescent="0.25">
      <c r="A149" s="249" t="b">
        <v>0</v>
      </c>
      <c r="B149" s="249" t="s">
        <v>5676</v>
      </c>
      <c r="C149" s="166" t="s">
        <v>11236</v>
      </c>
      <c r="D149" s="249"/>
    </row>
    <row r="150" spans="1:5" x14ac:dyDescent="0.25">
      <c r="A150" s="249" t="b">
        <v>0</v>
      </c>
      <c r="B150" s="249" t="s">
        <v>5676</v>
      </c>
      <c r="C150" s="233" t="s">
        <v>11237</v>
      </c>
      <c r="D150" s="249"/>
    </row>
    <row r="151" spans="1:5" ht="30" x14ac:dyDescent="0.25">
      <c r="A151" s="249" t="b">
        <v>0</v>
      </c>
      <c r="B151" s="249" t="s">
        <v>5676</v>
      </c>
      <c r="C151" s="166" t="s">
        <v>11238</v>
      </c>
      <c r="D151" s="249"/>
    </row>
    <row r="152" spans="1:5" x14ac:dyDescent="0.25">
      <c r="A152" s="249" t="b">
        <v>0</v>
      </c>
      <c r="B152" s="249" t="s">
        <v>5676</v>
      </c>
      <c r="C152" s="166" t="s">
        <v>11240</v>
      </c>
      <c r="D152" s="249"/>
    </row>
    <row r="153" spans="1:5" x14ac:dyDescent="0.25">
      <c r="A153" s="249" t="b">
        <v>0</v>
      </c>
      <c r="B153" s="249" t="s">
        <v>5641</v>
      </c>
      <c r="C153" s="350" t="s">
        <v>11280</v>
      </c>
      <c r="D153" s="249" t="str">
        <f>IF('Accès et utilisation'!G7="","",'Accès et utilisation'!G7)</f>
        <v/>
      </c>
    </row>
    <row r="154" spans="1:5" x14ac:dyDescent="0.25">
      <c r="A154" s="249" t="b">
        <v>0</v>
      </c>
      <c r="B154" s="249" t="s">
        <v>5641</v>
      </c>
      <c r="C154" s="350" t="s">
        <v>11278</v>
      </c>
      <c r="D154" s="249" t="str">
        <f>IF('Accès et utilisation'!G8="","",'Accès et utilisation'!G8)</f>
        <v/>
      </c>
    </row>
    <row r="155" spans="1:5" x14ac:dyDescent="0.25">
      <c r="A155" s="249" t="str">
        <f>IF('Accès et utilisation'!E9="","FALSE","TRUE")</f>
        <v>FALSE</v>
      </c>
      <c r="B155" s="249" t="str">
        <f>IF('Accès et utilisation'!E9="","",'Accès et utilisation'!E9)</f>
        <v/>
      </c>
      <c r="C155" s="350" t="s">
        <v>11279</v>
      </c>
      <c r="D155" s="249" t="str">
        <f>IF('Accès et utilisation'!G9="","",'Accès et utilisation'!G9)</f>
        <v/>
      </c>
    </row>
    <row r="157" spans="1:5" x14ac:dyDescent="0.25">
      <c r="A157" t="s">
        <v>11281</v>
      </c>
    </row>
    <row r="158" spans="1:5" x14ac:dyDescent="0.25">
      <c r="A158" s="249" t="s">
        <v>11275</v>
      </c>
      <c r="B158" s="249" t="s">
        <v>1</v>
      </c>
    </row>
    <row r="159" spans="1:5" x14ac:dyDescent="0.25">
      <c r="A159" s="249" t="b">
        <v>0</v>
      </c>
      <c r="B159" s="249" t="str">
        <f>IF('Accès et utilisation'!G18="","",'Accès et utilisation'!G18)</f>
        <v>Aucune restriction d'accès public au service de visualisation</v>
      </c>
    </row>
    <row r="160" spans="1:5" x14ac:dyDescent="0.25">
      <c r="A160" s="249" t="b">
        <v>0</v>
      </c>
      <c r="B160" s="249" t="str">
        <f>IF('Accès et utilisation'!G19="","",'Accès et utilisation'!G19)</f>
        <v>Aucune restriction d'accès public à l'application de visualisation</v>
      </c>
    </row>
    <row r="162" spans="1:6" x14ac:dyDescent="0.25">
      <c r="A162" s="252" t="s">
        <v>11208</v>
      </c>
    </row>
    <row r="163" spans="1:6" x14ac:dyDescent="0.25">
      <c r="A163" s="249" t="s">
        <v>11275</v>
      </c>
      <c r="B163" s="249" t="s">
        <v>11282</v>
      </c>
      <c r="C163" s="249" t="s">
        <v>11288</v>
      </c>
      <c r="D163" s="249" t="s">
        <v>11283</v>
      </c>
      <c r="E163" s="249" t="s">
        <v>11287</v>
      </c>
      <c r="F163" s="249" t="s">
        <v>11017</v>
      </c>
    </row>
    <row r="164" spans="1:6" x14ac:dyDescent="0.25">
      <c r="A164" s="249" t="b">
        <v>0</v>
      </c>
      <c r="B164" s="249" t="s">
        <v>5674</v>
      </c>
      <c r="C164" s="166" t="s">
        <v>11284</v>
      </c>
      <c r="D164" s="249" t="str">
        <f>IF('Accès et utilisation'!G23="","",'Accès et utilisation'!G23)</f>
        <v/>
      </c>
      <c r="E164" s="249" t="s">
        <v>11295</v>
      </c>
      <c r="F164" s="249" t="str">
        <f>IF('Accès et utilisation'!H23="","",'Accès et utilisation'!H23)</f>
        <v/>
      </c>
    </row>
    <row r="165" spans="1:6" ht="45" x14ac:dyDescent="0.25">
      <c r="A165" s="249" t="b">
        <v>0</v>
      </c>
      <c r="B165" s="249" t="s">
        <v>5674</v>
      </c>
      <c r="C165" s="351" t="s">
        <v>11252</v>
      </c>
      <c r="D165" s="351"/>
      <c r="E165" s="249"/>
      <c r="F165" s="249"/>
    </row>
    <row r="166" spans="1:6" x14ac:dyDescent="0.25">
      <c r="A166" s="249" t="b">
        <v>0</v>
      </c>
      <c r="B166" s="249" t="s">
        <v>5674</v>
      </c>
      <c r="C166" s="166" t="s">
        <v>11284</v>
      </c>
      <c r="D166" s="249" t="str">
        <f>IF('Accès et utilisation'!G25="","",'Accès et utilisation'!G25)</f>
        <v/>
      </c>
      <c r="E166" s="249" t="s">
        <v>11295</v>
      </c>
      <c r="F166" s="249" t="str">
        <f>IF('Accès et utilisation'!H25="","",'Accès et utilisation'!H25)</f>
        <v/>
      </c>
    </row>
    <row r="167" spans="1:6" x14ac:dyDescent="0.25">
      <c r="A167" s="249" t="b">
        <v>0</v>
      </c>
      <c r="B167" s="249" t="s">
        <v>5676</v>
      </c>
      <c r="C167" s="166" t="s">
        <v>11293</v>
      </c>
      <c r="D167" s="249" t="str">
        <f>IF('Accès et utilisation'!G26="","",'Accès et utilisation'!G26)</f>
        <v/>
      </c>
      <c r="E167" s="249" t="s">
        <v>11295</v>
      </c>
      <c r="F167" s="249" t="str">
        <f>IF('Accès et utilisation'!H26="","",'Accès et utilisation'!H26)</f>
        <v/>
      </c>
    </row>
    <row r="168" spans="1:6" x14ac:dyDescent="0.25">
      <c r="A168" s="249" t="b">
        <v>0</v>
      </c>
      <c r="B168" s="249" t="s">
        <v>5676</v>
      </c>
      <c r="C168" s="166" t="s">
        <v>11285</v>
      </c>
      <c r="D168" s="249" t="str">
        <f>IF('Accès et utilisation'!G27="","",'Accès et utilisation'!G27)</f>
        <v/>
      </c>
      <c r="E168" s="249"/>
      <c r="F168" s="249"/>
    </row>
    <row r="169" spans="1:6" ht="30" x14ac:dyDescent="0.25">
      <c r="A169" s="249" t="b">
        <v>0</v>
      </c>
      <c r="B169" s="249" t="s">
        <v>5676</v>
      </c>
      <c r="C169" s="166" t="s">
        <v>11294</v>
      </c>
      <c r="D169" s="249" t="str">
        <f>IF('Accès et utilisation'!G28="","",'Accès et utilisation'!G28)</f>
        <v/>
      </c>
      <c r="E169" s="249"/>
      <c r="F169" s="249"/>
    </row>
    <row r="170" spans="1:6" x14ac:dyDescent="0.25">
      <c r="A170" s="249" t="b">
        <v>0</v>
      </c>
      <c r="B170" s="289" t="s">
        <v>5676</v>
      </c>
      <c r="C170" s="166" t="s">
        <v>11268</v>
      </c>
      <c r="D170" s="249"/>
      <c r="E170" s="249"/>
      <c r="F170" s="249"/>
    </row>
    <row r="172" spans="1:6" x14ac:dyDescent="0.25">
      <c r="A172" s="249" t="s">
        <v>11286</v>
      </c>
    </row>
    <row r="173" spans="1:6" x14ac:dyDescent="0.25">
      <c r="A173" s="249" t="str">
        <f>IF('Accès et utilisation'!C34="","",'Accès et utilisation'!C34)</f>
        <v/>
      </c>
    </row>
    <row r="174" spans="1:6" x14ac:dyDescent="0.25">
      <c r="A174" s="249" t="str">
        <f>IF('Accès et utilisation'!C35="","",'Accès et utilisation'!C35)</f>
        <v/>
      </c>
    </row>
    <row r="175" spans="1:6" x14ac:dyDescent="0.25">
      <c r="A175" s="249" t="str">
        <f>IF('Accès et utilisation'!C39="","",'Accès et utilisation'!C39)</f>
        <v/>
      </c>
    </row>
    <row r="176" spans="1:6" x14ac:dyDescent="0.25">
      <c r="A176" s="249" t="str">
        <f>IF('Accès et utilisation'!C40="","",'Accès et utilisation'!C40)</f>
        <v/>
      </c>
    </row>
    <row r="177" spans="1:17" x14ac:dyDescent="0.25">
      <c r="A177" s="249" t="str">
        <f>IF('Accès et utilisation'!C44="","",'Accès et utilisation'!C44)</f>
        <v/>
      </c>
    </row>
    <row r="178" spans="1:17" x14ac:dyDescent="0.25">
      <c r="A178" s="249" t="str">
        <f>IF('Accès et utilisation'!C45="","",'Accès et utilisation'!C45)</f>
        <v/>
      </c>
    </row>
    <row r="180" spans="1:17" x14ac:dyDescent="0.25">
      <c r="A180" t="s">
        <v>11289</v>
      </c>
    </row>
    <row r="181" spans="1:17" x14ac:dyDescent="0.25">
      <c r="A181" s="249" t="s">
        <v>11290</v>
      </c>
      <c r="B181" s="249" t="s">
        <v>11283</v>
      </c>
      <c r="C181" s="249" t="s">
        <v>11291</v>
      </c>
      <c r="D181" s="249" t="s">
        <v>11292</v>
      </c>
    </row>
    <row r="182" spans="1:17" x14ac:dyDescent="0.25">
      <c r="A182" s="249">
        <v>2</v>
      </c>
      <c r="B182" s="249" t="str">
        <f>IF(Description!G29="","",Description!G29)</f>
        <v/>
      </c>
      <c r="C182" s="249"/>
      <c r="D182" s="249"/>
    </row>
    <row r="183" spans="1:17" x14ac:dyDescent="0.25">
      <c r="A183" s="249">
        <v>3</v>
      </c>
      <c r="B183" s="249" t="str">
        <f>IF(Description!G30="","",Description!G30)</f>
        <v/>
      </c>
      <c r="C183" s="249" t="str">
        <f>IF(Description!G31="","",Description!G31)</f>
        <v/>
      </c>
      <c r="D183" s="249" t="str">
        <f>IF(Description!G32="","",Description!G32)</f>
        <v/>
      </c>
    </row>
    <row r="186" spans="1:17" s="252" customFormat="1" x14ac:dyDescent="0.25">
      <c r="A186" s="296" t="s">
        <v>8</v>
      </c>
      <c r="B186" s="296" t="s">
        <v>11021</v>
      </c>
      <c r="C186" s="296" t="s">
        <v>11034</v>
      </c>
      <c r="D186" s="297" t="s">
        <v>358</v>
      </c>
      <c r="E186" s="296" t="s">
        <v>11036</v>
      </c>
      <c r="F186" s="296" t="s">
        <v>10905</v>
      </c>
      <c r="G186" s="296" t="s">
        <v>10906</v>
      </c>
      <c r="H186" s="296" t="s">
        <v>10907</v>
      </c>
      <c r="I186" s="296" t="s">
        <v>10908</v>
      </c>
      <c r="J186" s="296" t="s">
        <v>10909</v>
      </c>
      <c r="K186" s="296" t="s">
        <v>11111</v>
      </c>
    </row>
    <row r="187" spans="1:17" s="252" customFormat="1" x14ac:dyDescent="0.25">
      <c r="A187" s="74" t="str">
        <f>IF(Distribution!F42="","",Distribution!F42)</f>
        <v/>
      </c>
      <c r="B187" s="289" t="str">
        <f>IF(Distribution!F43="","",Distribution!F43)</f>
        <v/>
      </c>
      <c r="C187" s="289" t="str">
        <f>IF(Distribution!F44="","",Distribution!F44)</f>
        <v/>
      </c>
      <c r="D187" s="289" t="str">
        <f>IF(Distribution!F45="","",Distribution!F45)</f>
        <v/>
      </c>
      <c r="E187" s="289" t="str">
        <f>IF(Distribution!F46="","",Distribution!F46)</f>
        <v/>
      </c>
      <c r="F187" s="289" t="str">
        <f>IF(Distribution!F47="","",Distribution!F47)</f>
        <v/>
      </c>
      <c r="G187" s="289" t="str">
        <f>IF(Distribution!F48="","",Distribution!F48)</f>
        <v/>
      </c>
      <c r="H187" s="289" t="str">
        <f>IF(Distribution!F49="","",Distribution!F49)</f>
        <v/>
      </c>
      <c r="I187" s="289" t="str">
        <f>IF(Distribution!F50="","",Distribution!F50)</f>
        <v>Connexion à une base de données</v>
      </c>
      <c r="J187" s="289" t="str">
        <f>IF(Distribution!F51=0,"",VLOOKUP(Distribution!F51,Codelist_ISO!$A$21:$B$25,2,FALSE))</f>
        <v>download</v>
      </c>
      <c r="K187" s="289" t="str">
        <f>IF(Distribution!F52="","",Distribution!F52)</f>
        <v/>
      </c>
    </row>
    <row r="188" spans="1:17" s="252" customFormat="1" x14ac:dyDescent="0.25">
      <c r="A188" s="74" t="str">
        <f>IF(Distribution!G42="","",Distribution!G42)</f>
        <v/>
      </c>
      <c r="B188" s="289" t="str">
        <f>IF(Distribution!G43="","",Distribution!G43)</f>
        <v/>
      </c>
      <c r="C188" s="289" t="str">
        <f>IF(Distribution!G44="","",Distribution!G44)</f>
        <v/>
      </c>
      <c r="D188" s="289" t="str">
        <f>IF(Distribution!G45="","",Distribution!G45)</f>
        <v/>
      </c>
      <c r="E188" s="289" t="str">
        <f>IF(Distribution!G46="","",Distribution!G46)</f>
        <v/>
      </c>
      <c r="F188" s="289" t="str">
        <f>IF(Distribution!G47="","",Distribution!G47)</f>
        <v/>
      </c>
      <c r="G188" s="289" t="str">
        <f>IF(Distribution!G48="","",Distribution!G48)</f>
        <v/>
      </c>
      <c r="H188" s="289" t="str">
        <f>IF(Distribution!G49="","",Distribution!G49)</f>
        <v/>
      </c>
      <c r="I188" s="289" t="str">
        <f>IF(Distribution!G50="","",Distribution!G50)</f>
        <v>Connexion à une base de données</v>
      </c>
      <c r="J188" s="289" t="str">
        <f>IF(Distribution!G51=0,"",VLOOKUP(Distribution!G51,Codelist_ISO!$A$21:$B$25,2,FALSE))</f>
        <v>download</v>
      </c>
      <c r="K188" s="289" t="str">
        <f>IF(Distribution!G52="","",Distribution!G52)</f>
        <v/>
      </c>
    </row>
    <row r="189" spans="1:17" x14ac:dyDescent="0.25">
      <c r="A189" s="74" t="str">
        <f>IF(Distribution!H6="","",Distribution!H6)</f>
        <v/>
      </c>
      <c r="B189" s="289" t="str">
        <f>IF(Distribution!H7="","",Distribution!GH7)</f>
        <v/>
      </c>
      <c r="C189" s="74" t="str">
        <f>IF(Distribution!H8="","",Distribution!H8)</f>
        <v/>
      </c>
      <c r="D189" s="289" t="str">
        <f>IF(Distribution!H9="","",Distribution!H9)</f>
        <v/>
      </c>
      <c r="E189" s="289" t="str">
        <f>IF(Distribution!H10="","",Distribution!H10)</f>
        <v/>
      </c>
      <c r="F189" s="289" t="str">
        <f>IF(Distribution!H11="","",Distribution!H11)</f>
        <v/>
      </c>
      <c r="G189" s="289" t="str">
        <f>IF(Distribution!H12="","",Distribution!H12)</f>
        <v/>
      </c>
      <c r="H189" s="289" t="str">
        <f>IF(Distribution!H13="","",Distribution!H13)</f>
        <v/>
      </c>
      <c r="I189" s="289" t="str">
        <f>IF(Distribution!H14="","",Distribution!H14)</f>
        <v>Accès en téléchargement direct</v>
      </c>
      <c r="J189" s="289" t="str">
        <f>IF(Distribution!H15=0,"",VLOOKUP(Distribution!H15,Codelist_ISO!$A$21:$B$25,2,FALSE))</f>
        <v>download</v>
      </c>
      <c r="K189" s="289"/>
    </row>
    <row r="190" spans="1:17" x14ac:dyDescent="0.25">
      <c r="A190" s="74" t="str">
        <f>IF(Distribution!I6="","",Distribution!I6)</f>
        <v/>
      </c>
      <c r="B190" s="289" t="str">
        <f>IF(Distribution!I7="","",Distribution!I7)</f>
        <v/>
      </c>
      <c r="C190" s="74" t="str">
        <f>IF(Distribution!I8="","",Distribution!I8)</f>
        <v/>
      </c>
      <c r="D190" s="289" t="str">
        <f>IF(Distribution!I9="","",Distribution!I9)</f>
        <v/>
      </c>
      <c r="E190" s="289" t="str">
        <f>IF(Distribution!I10="","",Distribution!I10)</f>
        <v/>
      </c>
      <c r="F190" s="289" t="str">
        <f>IF(Distribution!I11="","",Distribution!I11)</f>
        <v/>
      </c>
      <c r="G190" s="289" t="str">
        <f>IF(Distribution!I12="","",Distribution!I12)</f>
        <v/>
      </c>
      <c r="H190" s="289" t="str">
        <f>IF(Distribution!I13="","",Distribution!I13)</f>
        <v/>
      </c>
      <c r="I190" s="289" t="str">
        <f>IF(Distribution!I14="","",Distribution!I14)</f>
        <v>Accès en téléchargement direct</v>
      </c>
      <c r="J190" s="289" t="str">
        <f>IF(Distribution!I15=0,"",VLOOKUP(Distribution!I15,Codelist_ISO!$A$21:$B$25,2,FALSE))</f>
        <v>download</v>
      </c>
      <c r="P190"/>
      <c r="Q190"/>
    </row>
    <row r="191" spans="1:17" x14ac:dyDescent="0.25">
      <c r="A191" s="74" t="str">
        <f>IF(Distribution!J6="","",Distribution!J6)</f>
        <v/>
      </c>
      <c r="B191" s="289" t="str">
        <f>IF(Distribution!J7="","",Distribution!J7)</f>
        <v/>
      </c>
      <c r="C191" s="74" t="str">
        <f>IF(Distribution!J8="","",Distribution!J8)</f>
        <v/>
      </c>
      <c r="D191" s="289" t="str">
        <f>IF(Distribution!J9="","",Distribution!J9)</f>
        <v/>
      </c>
      <c r="E191" s="289" t="str">
        <f>IF(Distribution!J10="","",Distribution!J10)</f>
        <v/>
      </c>
      <c r="F191" s="289" t="str">
        <f>IF(Distribution!J11="","",Distribution!J11)</f>
        <v/>
      </c>
      <c r="G191" s="289" t="str">
        <f>IF(Distribution!J12="","",Distribution!J12)</f>
        <v/>
      </c>
      <c r="H191" s="289" t="str">
        <f>IF(Distribution!J13="","",Distribution!J13)</f>
        <v/>
      </c>
      <c r="I191" s="289" t="str">
        <f>IF(Distribution!J14="","",Distribution!J14)</f>
        <v>Accès en téléchargement direct</v>
      </c>
      <c r="J191" s="289" t="str">
        <f>IF(Distribution!J15=0,"",VLOOKUP(Distribution!J15,Codelist_ISO!$A$21:$B$25,2,FALSE))</f>
        <v>download</v>
      </c>
      <c r="P191"/>
      <c r="Q191"/>
    </row>
    <row r="192" spans="1:17" x14ac:dyDescent="0.25">
      <c r="A192" s="74" t="str">
        <f>IF(Distribution!K6="","",Distribution!K6)</f>
        <v/>
      </c>
      <c r="B192" s="289" t="str">
        <f>IF(Distribution!K7="","",Distribution!K7)</f>
        <v/>
      </c>
      <c r="C192" s="74" t="str">
        <f>IF(Distribution!K8="","",Distribution!K8)</f>
        <v/>
      </c>
      <c r="D192" s="289" t="str">
        <f>IF(Distribution!K9="","",Distribution!K9)</f>
        <v/>
      </c>
      <c r="E192" s="289" t="str">
        <f>IF(Distribution!K10="","",Distribution!K10)</f>
        <v/>
      </c>
      <c r="F192" s="289" t="str">
        <f>IF(Distribution!K11="","",Distribution!K11)</f>
        <v/>
      </c>
      <c r="G192" s="289" t="str">
        <f>IF(Distribution!K12="","",Distribution!K12)</f>
        <v/>
      </c>
      <c r="H192" s="289" t="str">
        <f>IF(Distribution!K13="","",Distribution!K13)</f>
        <v/>
      </c>
      <c r="I192" s="289" t="str">
        <f>IF(Distribution!K14="","",Distribution!K14)</f>
        <v>Accès en téléchargement direct</v>
      </c>
      <c r="J192" s="289" t="str">
        <f>IF(Distribution!K15=0,"",VLOOKUP(Distribution!K15,Codelist_ISO!$A$21:$B$25,2,FALSE))</f>
        <v>download</v>
      </c>
      <c r="P192"/>
      <c r="Q192"/>
    </row>
    <row r="193" spans="1:17" x14ac:dyDescent="0.25">
      <c r="A193" s="74" t="str">
        <f>IF(Distribution!H19="","",Distribution!H19)</f>
        <v/>
      </c>
      <c r="B193" s="289" t="str">
        <f>IF(Distribution!H20="","",Distribution!GH20)</f>
        <v/>
      </c>
      <c r="C193" s="74" t="str">
        <f>IF(Distribution!H21="","",Distribution!H21)</f>
        <v/>
      </c>
      <c r="D193" s="289" t="str">
        <f>IF(Distribution!H22="","",Distribution!H2)</f>
        <v/>
      </c>
      <c r="E193" s="289" t="str">
        <f>IF(Distribution!H23="","",Distribution!H23)</f>
        <v/>
      </c>
      <c r="F193" s="289" t="str">
        <f>IF(Distribution!H24="","",Distribution!H24)</f>
        <v/>
      </c>
      <c r="G193" s="289" t="str">
        <f>IF(Distribution!H25="","",Distribution!H25)</f>
        <v/>
      </c>
      <c r="H193" s="289" t="str">
        <f>IF(Distribution!H26="","",Distribution!H26)</f>
        <v/>
      </c>
      <c r="I193" s="289" t="str">
        <f>IF(Distribution!H27="","",Distribution!H27)</f>
        <v>Téléchargement après extraction</v>
      </c>
      <c r="J193" s="289" t="str">
        <f>IF(Distribution!H28=0,"",VLOOKUP(Distribution!H28,Codelist_ISO!$A$21:$B$25,2,FALSE))</f>
        <v>download</v>
      </c>
      <c r="P193"/>
      <c r="Q193"/>
    </row>
    <row r="194" spans="1:17" x14ac:dyDescent="0.25">
      <c r="A194" s="74" t="str">
        <f>IF(Distribution!I19="","",Distribution!I19)</f>
        <v/>
      </c>
      <c r="B194" s="289" t="str">
        <f>IF(Distribution!I20="","",Distribution!I20)</f>
        <v/>
      </c>
      <c r="C194" s="74" t="str">
        <f>IF(Distribution!I21="","",Distribution!I21)</f>
        <v/>
      </c>
      <c r="D194" s="289" t="str">
        <f>IF(Distribution!I22="","",Distribution!I22)</f>
        <v/>
      </c>
      <c r="E194" s="289" t="str">
        <f>IF(Distribution!I23="","",Distribution!I23)</f>
        <v/>
      </c>
      <c r="F194" s="289" t="str">
        <f>IF(Distribution!I24="","",Distribution!I24)</f>
        <v/>
      </c>
      <c r="G194" s="289" t="str">
        <f>IF(Distribution!I25="","",Distribution!I25)</f>
        <v/>
      </c>
      <c r="H194" s="289" t="str">
        <f>IF(Distribution!I26="","",Distribution!I26)</f>
        <v/>
      </c>
      <c r="I194" s="289" t="str">
        <f>IF(Distribution!I27="","",Distribution!I27)</f>
        <v>Téléchargement après extraction</v>
      </c>
      <c r="J194" s="289" t="str">
        <f>IF(Distribution!I28=0,"",VLOOKUP(Distribution!I28,Codelist_ISO!$A$21:$B$25,2,FALSE))</f>
        <v>download</v>
      </c>
      <c r="P194"/>
      <c r="Q194"/>
    </row>
    <row r="195" spans="1:17" x14ac:dyDescent="0.25">
      <c r="A195" s="74" t="str">
        <f>IF(Distribution!J19="","",Distribution!J19)</f>
        <v/>
      </c>
      <c r="B195" s="289" t="str">
        <f>IF(Distribution!J20="","",Distribution!J20)</f>
        <v/>
      </c>
      <c r="C195" s="74" t="str">
        <f>IF(Distribution!J21="","",Distribution!J21)</f>
        <v/>
      </c>
      <c r="D195" s="289" t="str">
        <f>IF(Distribution!J22="","",Distribution!J22)</f>
        <v/>
      </c>
      <c r="E195" s="289" t="str">
        <f>IF(Distribution!J23="","",Distribution!J23)</f>
        <v/>
      </c>
      <c r="F195" s="289" t="str">
        <f>IF(Distribution!J24="","",Distribution!J24)</f>
        <v/>
      </c>
      <c r="G195" s="289" t="str">
        <f>IF(Distribution!J25="","",Distribution!J25)</f>
        <v/>
      </c>
      <c r="H195" s="289" t="str">
        <f>IF(Distribution!J26="","",Distribution!J26)</f>
        <v/>
      </c>
      <c r="I195" s="289" t="str">
        <f>IF(Distribution!J27="","",Distribution!J27)</f>
        <v>Téléchargement après extraction</v>
      </c>
      <c r="J195" s="289" t="str">
        <f>IF(Distribution!J28=0,"",VLOOKUP(Distribution!J28,Codelist_ISO!$A$21:$B$25,2,FALSE))</f>
        <v>download</v>
      </c>
      <c r="P195"/>
      <c r="Q195"/>
    </row>
    <row r="196" spans="1:17" x14ac:dyDescent="0.25">
      <c r="A196" s="74" t="str">
        <f>IF(Distribution!K19="","",Distribution!K19)</f>
        <v/>
      </c>
      <c r="B196" s="289" t="str">
        <f>IF(Distribution!K20="","",Distribution!K20)</f>
        <v/>
      </c>
      <c r="C196" s="74" t="str">
        <f>IF(Distribution!K21="","",Distribution!K21)</f>
        <v/>
      </c>
      <c r="D196" s="289" t="str">
        <f>IF(Distribution!K22="","",Distribution!K22)</f>
        <v/>
      </c>
      <c r="E196" s="289" t="str">
        <f>IF(Distribution!K23="","",Distribution!K23)</f>
        <v/>
      </c>
      <c r="F196" s="289" t="str">
        <f>IF(Distribution!K24="","",Distribution!K24)</f>
        <v/>
      </c>
      <c r="G196" s="289" t="str">
        <f>IF(Distribution!K25="","",Distribution!K25)</f>
        <v/>
      </c>
      <c r="H196" s="289" t="str">
        <f>IF(Distribution!K26="","",Distribution!K26)</f>
        <v/>
      </c>
      <c r="I196" s="289" t="str">
        <f>IF(Distribution!K27="","",Distribution!K27)</f>
        <v>Téléchargement après extraction</v>
      </c>
      <c r="J196" s="289" t="str">
        <f>IF(Distribution!K28=0,"",VLOOKUP(Distribution!K28,Codelist_ISO!$A$21:$B$25,2,FALSE))</f>
        <v>download</v>
      </c>
      <c r="P196"/>
      <c r="Q196"/>
    </row>
    <row r="198" spans="1:17" x14ac:dyDescent="0.25">
      <c r="A198" s="290" t="s">
        <v>8</v>
      </c>
      <c r="B198" s="64" t="s">
        <v>11033</v>
      </c>
      <c r="C198" s="64" t="s">
        <v>11043</v>
      </c>
      <c r="D198" s="291" t="s">
        <v>360</v>
      </c>
      <c r="E198" s="290" t="s">
        <v>11044</v>
      </c>
      <c r="F198" s="64" t="s">
        <v>11047</v>
      </c>
      <c r="G198" s="290" t="s">
        <v>11048</v>
      </c>
    </row>
    <row r="199" spans="1:17" x14ac:dyDescent="0.25">
      <c r="A199" s="249" t="str">
        <f>IF(Distribution!H32="","",Distribution!H32)</f>
        <v/>
      </c>
      <c r="B199" s="249" t="str">
        <f>IF(Distribution!H33="","",Distribution!H33)</f>
        <v/>
      </c>
      <c r="C199" s="249" t="str">
        <f>IF(Distribution!H34="","",Distribution!H34)</f>
        <v/>
      </c>
      <c r="D199" s="155" t="str">
        <f>IF(Distribution!H35="","",Distribution!H35)</f>
        <v/>
      </c>
      <c r="E199" s="249" t="str">
        <f>IF(Distribution!H36="","",Distribution!H36)</f>
        <v/>
      </c>
      <c r="F199" s="249" t="str">
        <f>IF(Distribution!H37="","",Distribution!H37)</f>
        <v/>
      </c>
      <c r="G199" s="249" t="str">
        <f>IF(Distribution!H38="","",VLOOKUP(Distribution!H38,Codelist_ISO!$A$150:$B$153,2,FALSE))</f>
        <v/>
      </c>
    </row>
    <row r="200" spans="1:17" x14ac:dyDescent="0.25">
      <c r="A200" s="249" t="str">
        <f>IF(Distribution!I32="","",Distribution!I32)</f>
        <v/>
      </c>
      <c r="B200" s="249" t="str">
        <f>IF(Distribution!I33="","",Distribution!I33)</f>
        <v/>
      </c>
      <c r="C200" s="249" t="str">
        <f>IF(Distribution!I34="","",Distribution!I34)</f>
        <v/>
      </c>
      <c r="D200" s="155" t="str">
        <f>IF(Distribution!I35="","",Distribution!I35)</f>
        <v/>
      </c>
      <c r="E200" s="249" t="str">
        <f>IF(Distribution!I36="","",Distribution!I36)</f>
        <v/>
      </c>
      <c r="F200" s="249" t="str">
        <f>IF(Distribution!I37="","",Distribution!I37)</f>
        <v/>
      </c>
      <c r="G200" s="249" t="str">
        <f>IF(Distribution!I38="","",VLOOKUP(Distribution!I38,Codelist_ISO!$A$150:$B$153,2,FALSE))</f>
        <v/>
      </c>
    </row>
    <row r="201" spans="1:17" x14ac:dyDescent="0.25">
      <c r="A201" s="249" t="str">
        <f>IF(Distribution!J32="","",Distribution!J32)</f>
        <v/>
      </c>
      <c r="B201" s="249" t="str">
        <f>IF(Distribution!J33="","",Distribution!J33)</f>
        <v/>
      </c>
      <c r="C201" s="249" t="str">
        <f>IF(Distribution!J34="","",Distribution!J34)</f>
        <v/>
      </c>
      <c r="D201" s="155" t="str">
        <f>IF(Distribution!J35="","",Distribution!J35)</f>
        <v/>
      </c>
      <c r="E201" s="249" t="str">
        <f>IF(Distribution!J36="","",Distribution!J36)</f>
        <v/>
      </c>
      <c r="F201" s="249" t="str">
        <f>IF(Distribution!J37="","",Distribution!J37)</f>
        <v/>
      </c>
      <c r="G201" s="249" t="str">
        <f>IF(Distribution!J38="","",VLOOKUP(Distribution!J38,Codelist_ISO!$A$150:$B$153,2,FALSE))</f>
        <v/>
      </c>
    </row>
    <row r="202" spans="1:17" x14ac:dyDescent="0.25">
      <c r="A202" s="249" t="str">
        <f>IF(Distribution!K32="","",Distribution!K32)</f>
        <v/>
      </c>
      <c r="B202" s="249" t="str">
        <f>IF(Distribution!K33="","",Distribution!K33)</f>
        <v/>
      </c>
      <c r="C202" s="249" t="str">
        <f>IF(Distribution!K34="","",Distribution!K34)</f>
        <v/>
      </c>
      <c r="D202" s="155" t="str">
        <f>IF(Distribution!K35="","",Distribution!K35)</f>
        <v/>
      </c>
      <c r="E202" s="249" t="str">
        <f>IF(Distribution!K36="","",Distribution!K36)</f>
        <v/>
      </c>
      <c r="F202" s="249" t="str">
        <f>IF(Distribution!K37="","",Distribution!K37)</f>
        <v/>
      </c>
      <c r="G202" s="249" t="str">
        <f>IF(Distribution!K38="","",VLOOKUP(Distribution!K38,Codelist_ISO!$A$150:$B$153,2,FALSE))</f>
        <v/>
      </c>
    </row>
    <row r="207" spans="1:17" x14ac:dyDescent="0.25">
      <c r="A207" t="s">
        <v>5759</v>
      </c>
      <c r="B207" t="s">
        <v>1</v>
      </c>
    </row>
    <row r="208" spans="1:17" x14ac:dyDescent="0.25">
      <c r="A208" t="s">
        <v>11372</v>
      </c>
      <c r="B208" t="b">
        <v>0</v>
      </c>
    </row>
  </sheetData>
  <conditionalFormatting sqref="A6:H7">
    <cfRule type="expression" priority="1">
      <formula>"SI(synthese!$B$73=FAUX)"</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0000"/>
  </sheetPr>
  <dimension ref="A1:G34"/>
  <sheetViews>
    <sheetView workbookViewId="0">
      <pane ySplit="1" topLeftCell="A2" activePane="bottomLeft" state="frozen"/>
      <selection activeCell="B30" sqref="B30"/>
      <selection pane="bottomLeft" activeCell="D19" sqref="D19"/>
    </sheetView>
  </sheetViews>
  <sheetFormatPr defaultColWidth="9.140625" defaultRowHeight="15" x14ac:dyDescent="0.25"/>
  <cols>
    <col min="1" max="1" width="26.42578125" style="1" customWidth="1"/>
    <col min="2" max="2" width="52" customWidth="1"/>
    <col min="3" max="3" width="18.140625" customWidth="1"/>
    <col min="4" max="4" width="53.85546875" customWidth="1"/>
    <col min="5" max="5" width="78.5703125" bestFit="1" customWidth="1"/>
    <col min="6" max="6" width="38.28515625" customWidth="1"/>
    <col min="7" max="7" width="68.85546875" bestFit="1" customWidth="1"/>
  </cols>
  <sheetData>
    <row r="1" spans="1:7" x14ac:dyDescent="0.25">
      <c r="A1" s="23" t="s">
        <v>6</v>
      </c>
      <c r="B1" s="14" t="s">
        <v>0</v>
      </c>
      <c r="C1" s="14" t="s">
        <v>2</v>
      </c>
      <c r="D1" s="36" t="s">
        <v>1</v>
      </c>
      <c r="E1" s="14" t="s">
        <v>4</v>
      </c>
      <c r="F1" s="16" t="s">
        <v>3</v>
      </c>
      <c r="G1" s="18" t="s">
        <v>5</v>
      </c>
    </row>
    <row r="2" spans="1:7" s="32" customFormat="1" x14ac:dyDescent="0.25">
      <c r="A2" s="43" t="s">
        <v>118</v>
      </c>
      <c r="B2" s="44" t="s">
        <v>332</v>
      </c>
      <c r="C2" s="33" t="s">
        <v>12</v>
      </c>
      <c r="D2" s="45" t="s">
        <v>5614</v>
      </c>
      <c r="E2" s="44" t="s">
        <v>333</v>
      </c>
      <c r="F2" s="27" t="s">
        <v>120</v>
      </c>
      <c r="G2" s="46" t="s">
        <v>334</v>
      </c>
    </row>
    <row r="3" spans="1:7" s="2" customFormat="1" x14ac:dyDescent="0.25">
      <c r="A3" s="37" t="s">
        <v>340</v>
      </c>
      <c r="B3" s="9" t="s">
        <v>342</v>
      </c>
      <c r="C3" s="33" t="s">
        <v>12</v>
      </c>
      <c r="D3" s="38" t="str">
        <f>IF(OR(Identification!F8="Géoservice",Identification!F8="Application"),"ISO19119","ISO 19115")</f>
        <v>ISO 19115</v>
      </c>
      <c r="E3" s="9" t="s">
        <v>341</v>
      </c>
      <c r="F3" s="39" t="s">
        <v>5764</v>
      </c>
      <c r="G3" s="40" t="s">
        <v>343</v>
      </c>
    </row>
    <row r="4" spans="1:7" s="2" customFormat="1" x14ac:dyDescent="0.25">
      <c r="A4" s="37" t="s">
        <v>344</v>
      </c>
      <c r="B4" s="9" t="s">
        <v>346</v>
      </c>
      <c r="C4" s="33" t="s">
        <v>12</v>
      </c>
      <c r="D4" s="38" t="str">
        <f>IF(OR(Identification!F8="Géoservice",Identification!F8="Application"),"2005/Amd. 1:2008","2003/Cor 1:2006")</f>
        <v>2003/Cor 1:2006</v>
      </c>
      <c r="E4" s="9" t="s">
        <v>345</v>
      </c>
      <c r="F4" s="39" t="s">
        <v>347</v>
      </c>
      <c r="G4" s="40" t="s">
        <v>348</v>
      </c>
    </row>
    <row r="5" spans="1:7" s="2" customFormat="1" x14ac:dyDescent="0.25">
      <c r="A5" s="37" t="s">
        <v>54</v>
      </c>
      <c r="B5" s="9" t="s">
        <v>350</v>
      </c>
      <c r="C5" s="33" t="s">
        <v>12</v>
      </c>
      <c r="D5" s="38" t="s">
        <v>351</v>
      </c>
      <c r="E5" s="9" t="s">
        <v>350</v>
      </c>
      <c r="F5" s="38" t="s">
        <v>351</v>
      </c>
      <c r="G5" s="40" t="s">
        <v>75</v>
      </c>
    </row>
    <row r="6" spans="1:7" s="2" customFormat="1" x14ac:dyDescent="0.25">
      <c r="A6" s="47" t="s">
        <v>17</v>
      </c>
      <c r="B6" s="9" t="s">
        <v>9</v>
      </c>
      <c r="C6" s="33" t="s">
        <v>12</v>
      </c>
      <c r="D6" s="45" t="s">
        <v>5729</v>
      </c>
      <c r="E6" s="9" t="s">
        <v>11</v>
      </c>
      <c r="F6" s="27" t="s">
        <v>10</v>
      </c>
      <c r="G6" s="40" t="s">
        <v>13</v>
      </c>
    </row>
    <row r="8" spans="1:7" s="2" customFormat="1" ht="30" x14ac:dyDescent="0.25">
      <c r="A8" s="60" t="s">
        <v>5718</v>
      </c>
      <c r="B8" s="9" t="s">
        <v>58</v>
      </c>
      <c r="C8" s="33" t="s">
        <v>12</v>
      </c>
      <c r="D8" s="45" t="s">
        <v>55</v>
      </c>
      <c r="E8" s="11" t="s">
        <v>56</v>
      </c>
      <c r="F8" s="27" t="s">
        <v>55</v>
      </c>
      <c r="G8" s="48"/>
    </row>
    <row r="9" spans="1:7" s="2" customFormat="1" x14ac:dyDescent="0.25">
      <c r="A9" s="41" t="s">
        <v>57</v>
      </c>
      <c r="B9" s="9" t="s">
        <v>57</v>
      </c>
      <c r="C9" s="33" t="s">
        <v>19</v>
      </c>
      <c r="D9" s="45" t="s">
        <v>60</v>
      </c>
      <c r="E9" s="9" t="s">
        <v>59</v>
      </c>
      <c r="F9" s="27" t="s">
        <v>60</v>
      </c>
      <c r="G9" s="48"/>
    </row>
    <row r="11" spans="1:7" s="2" customFormat="1" x14ac:dyDescent="0.25">
      <c r="A11" s="60" t="s">
        <v>5615</v>
      </c>
      <c r="B11" s="44" t="s">
        <v>332</v>
      </c>
      <c r="C11" s="33" t="s">
        <v>62</v>
      </c>
      <c r="D11" s="45" t="s">
        <v>5614</v>
      </c>
      <c r="E11" s="9" t="s">
        <v>119</v>
      </c>
      <c r="F11" s="27" t="s">
        <v>120</v>
      </c>
      <c r="G11" s="40" t="s">
        <v>121</v>
      </c>
    </row>
    <row r="13" spans="1:7" s="2" customFormat="1" ht="45" x14ac:dyDescent="0.25">
      <c r="A13" s="41" t="s">
        <v>129</v>
      </c>
      <c r="B13" s="9" t="s">
        <v>125</v>
      </c>
      <c r="C13" s="33" t="s">
        <v>62</v>
      </c>
      <c r="D13" s="45" t="s">
        <v>11379</v>
      </c>
      <c r="E13" s="11" t="s">
        <v>131</v>
      </c>
      <c r="F13" s="27">
        <v>2.75</v>
      </c>
      <c r="G13" s="40" t="s">
        <v>132</v>
      </c>
    </row>
    <row r="14" spans="1:7" s="2" customFormat="1" ht="45" x14ac:dyDescent="0.25">
      <c r="A14" s="41" t="s">
        <v>130</v>
      </c>
      <c r="B14" s="9" t="s">
        <v>126</v>
      </c>
      <c r="C14" s="33" t="s">
        <v>62</v>
      </c>
      <c r="D14" s="45" t="s">
        <v>11380</v>
      </c>
      <c r="E14" s="11" t="s">
        <v>133</v>
      </c>
      <c r="F14" s="27">
        <v>6.5</v>
      </c>
      <c r="G14" s="40" t="s">
        <v>132</v>
      </c>
    </row>
    <row r="15" spans="1:7" s="2" customFormat="1" ht="45" x14ac:dyDescent="0.25">
      <c r="A15" s="41" t="s">
        <v>5582</v>
      </c>
      <c r="B15" s="9" t="s">
        <v>127</v>
      </c>
      <c r="C15" s="33" t="s">
        <v>62</v>
      </c>
      <c r="D15" s="45" t="s">
        <v>11381</v>
      </c>
      <c r="E15" s="11" t="s">
        <v>134</v>
      </c>
      <c r="F15" s="27">
        <v>49.45</v>
      </c>
      <c r="G15" s="40" t="s">
        <v>132</v>
      </c>
    </row>
    <row r="16" spans="1:7" s="2" customFormat="1" ht="45" x14ac:dyDescent="0.25">
      <c r="A16" s="41" t="s">
        <v>5583</v>
      </c>
      <c r="B16" s="9" t="s">
        <v>128</v>
      </c>
      <c r="C16" s="33" t="s">
        <v>62</v>
      </c>
      <c r="D16" s="45" t="s">
        <v>11382</v>
      </c>
      <c r="E16" s="11" t="s">
        <v>135</v>
      </c>
      <c r="F16" s="27">
        <v>50.85</v>
      </c>
      <c r="G16" s="40" t="s">
        <v>132</v>
      </c>
    </row>
    <row r="17" spans="1:7" s="2" customFormat="1" ht="30" x14ac:dyDescent="0.25">
      <c r="A17" s="41" t="s">
        <v>140</v>
      </c>
      <c r="B17" s="9" t="s">
        <v>138</v>
      </c>
      <c r="C17" s="33" t="s">
        <v>80</v>
      </c>
      <c r="D17" s="45" t="s">
        <v>139</v>
      </c>
      <c r="E17" s="11" t="s">
        <v>144</v>
      </c>
      <c r="F17" s="27" t="s">
        <v>139</v>
      </c>
      <c r="G17" s="48"/>
    </row>
    <row r="18" spans="1:7" s="2" customFormat="1" ht="30" x14ac:dyDescent="0.25">
      <c r="A18" s="41" t="s">
        <v>141</v>
      </c>
      <c r="B18" s="9" t="s">
        <v>142</v>
      </c>
      <c r="C18" s="33" t="s">
        <v>80</v>
      </c>
      <c r="D18" s="45" t="s">
        <v>143</v>
      </c>
      <c r="E18" s="11" t="s">
        <v>145</v>
      </c>
      <c r="F18" s="27" t="s">
        <v>143</v>
      </c>
      <c r="G18" s="48"/>
    </row>
    <row r="19" spans="1:7" s="2" customFormat="1" ht="30" x14ac:dyDescent="0.25">
      <c r="A19" s="37" t="s">
        <v>349</v>
      </c>
      <c r="B19" s="11" t="s">
        <v>352</v>
      </c>
      <c r="C19" s="33" t="s">
        <v>62</v>
      </c>
      <c r="D19" s="38" t="str">
        <f>IF(Identification!F8="","",VLOOKUP(Identification!F8,Codelist_ISO!A128:B138,2,FALSE))</f>
        <v/>
      </c>
      <c r="E19" s="11" t="s">
        <v>366</v>
      </c>
      <c r="F19" s="39" t="s">
        <v>336</v>
      </c>
      <c r="G19" s="40"/>
    </row>
    <row r="20" spans="1:7" x14ac:dyDescent="0.25">
      <c r="A20" s="1" t="s">
        <v>338</v>
      </c>
      <c r="B20" s="30" t="s">
        <v>339</v>
      </c>
      <c r="C20" s="33" t="s">
        <v>15</v>
      </c>
      <c r="D20" s="83" t="str">
        <f>IF(OR(D19="Jeu de données ou géodonnées",D19="Séries de jeux de données",D19="Jeu de données non géographiques"),D19,"")</f>
        <v/>
      </c>
      <c r="E20" s="31" t="s">
        <v>5751</v>
      </c>
    </row>
    <row r="21" spans="1:7" s="2" customFormat="1" ht="105" x14ac:dyDescent="0.25">
      <c r="A21" s="15" t="s">
        <v>160</v>
      </c>
      <c r="B21" s="7" t="s">
        <v>158</v>
      </c>
      <c r="C21" s="34" t="s">
        <v>368</v>
      </c>
      <c r="D21" s="83" t="s">
        <v>5760</v>
      </c>
      <c r="E21" s="11" t="s">
        <v>5544</v>
      </c>
      <c r="F21" s="12" t="s">
        <v>159</v>
      </c>
    </row>
    <row r="22" spans="1:7" s="2" customFormat="1" x14ac:dyDescent="0.25">
      <c r="A22" s="58" t="s">
        <v>163</v>
      </c>
      <c r="B22" s="7" t="s">
        <v>161</v>
      </c>
      <c r="C22" s="33" t="s">
        <v>15</v>
      </c>
      <c r="D22" s="83" t="s">
        <v>5761</v>
      </c>
      <c r="E22" s="11" t="s">
        <v>162</v>
      </c>
      <c r="F22" s="12" t="s">
        <v>367</v>
      </c>
    </row>
    <row r="23" spans="1:7" s="2" customFormat="1" x14ac:dyDescent="0.25">
      <c r="A23" s="58" t="s">
        <v>167</v>
      </c>
      <c r="B23" s="7" t="s">
        <v>164</v>
      </c>
      <c r="C23" s="33" t="s">
        <v>80</v>
      </c>
      <c r="D23" s="83"/>
      <c r="E23" s="11" t="s">
        <v>165</v>
      </c>
      <c r="F23" s="12" t="s">
        <v>166</v>
      </c>
    </row>
    <row r="24" spans="1:7" s="2" customFormat="1" x14ac:dyDescent="0.25">
      <c r="A24" s="58" t="s">
        <v>170</v>
      </c>
      <c r="B24" s="7" t="s">
        <v>74</v>
      </c>
      <c r="C24" s="33" t="s">
        <v>15</v>
      </c>
      <c r="D24" s="83"/>
      <c r="E24" s="11" t="s">
        <v>168</v>
      </c>
      <c r="F24" s="12" t="s">
        <v>169</v>
      </c>
    </row>
    <row r="25" spans="1:7" s="2" customFormat="1" ht="30" x14ac:dyDescent="0.25">
      <c r="A25" s="58" t="s">
        <v>173</v>
      </c>
      <c r="B25" s="7" t="s">
        <v>42</v>
      </c>
      <c r="C25" s="33" t="s">
        <v>80</v>
      </c>
      <c r="D25" s="82"/>
      <c r="E25" s="9" t="s">
        <v>171</v>
      </c>
      <c r="F25" s="13" t="s">
        <v>172</v>
      </c>
    </row>
    <row r="26" spans="1:7" s="2" customFormat="1" x14ac:dyDescent="0.25">
      <c r="A26" s="15" t="s">
        <v>177</v>
      </c>
      <c r="B26" s="7" t="s">
        <v>174</v>
      </c>
      <c r="C26" s="33" t="s">
        <v>80</v>
      </c>
      <c r="D26" s="82"/>
      <c r="E26" s="11" t="s">
        <v>175</v>
      </c>
      <c r="F26" s="12"/>
    </row>
    <row r="27" spans="1:7" s="2" customFormat="1" x14ac:dyDescent="0.25">
      <c r="A27" s="15" t="s">
        <v>178</v>
      </c>
      <c r="B27" s="7" t="s">
        <v>176</v>
      </c>
      <c r="C27" s="33" t="s">
        <v>80</v>
      </c>
      <c r="D27" s="89"/>
      <c r="E27" s="11" t="s">
        <v>179</v>
      </c>
      <c r="F27" s="12"/>
    </row>
    <row r="28" spans="1:7" s="2" customFormat="1" ht="105" x14ac:dyDescent="0.25">
      <c r="A28" s="58" t="s">
        <v>181</v>
      </c>
      <c r="B28" s="8" t="s">
        <v>185</v>
      </c>
      <c r="C28" s="33" t="s">
        <v>15</v>
      </c>
      <c r="D28" s="82" t="s">
        <v>5762</v>
      </c>
      <c r="E28" s="11" t="s">
        <v>180</v>
      </c>
      <c r="F28" s="82" t="s">
        <v>5762</v>
      </c>
    </row>
    <row r="29" spans="1:7" s="2" customFormat="1" x14ac:dyDescent="0.25">
      <c r="A29" s="58" t="s">
        <v>184</v>
      </c>
      <c r="B29" s="7" t="s">
        <v>182</v>
      </c>
      <c r="C29" s="33" t="s">
        <v>80</v>
      </c>
      <c r="D29" s="82"/>
      <c r="E29" s="11" t="s">
        <v>183</v>
      </c>
      <c r="F29" s="12"/>
    </row>
    <row r="30" spans="1:7" s="2" customFormat="1" x14ac:dyDescent="0.25">
      <c r="A30" s="58" t="s">
        <v>189</v>
      </c>
      <c r="B30" s="7" t="s">
        <v>101</v>
      </c>
      <c r="C30" s="33" t="s">
        <v>15</v>
      </c>
      <c r="D30" s="87" t="s">
        <v>5763</v>
      </c>
      <c r="E30" s="11" t="s">
        <v>187</v>
      </c>
      <c r="F30" s="87" t="s">
        <v>5763</v>
      </c>
    </row>
    <row r="31" spans="1:7" s="2" customFormat="1" x14ac:dyDescent="0.25">
      <c r="A31" s="58" t="s">
        <v>190</v>
      </c>
      <c r="B31" s="7" t="s">
        <v>188</v>
      </c>
      <c r="C31" s="33" t="s">
        <v>15</v>
      </c>
      <c r="D31" s="83" t="s">
        <v>94</v>
      </c>
      <c r="E31" s="11" t="s">
        <v>192</v>
      </c>
      <c r="F31" s="12" t="s">
        <v>94</v>
      </c>
    </row>
    <row r="32" spans="1:7" s="2" customFormat="1" x14ac:dyDescent="0.25">
      <c r="A32" s="58" t="s">
        <v>195</v>
      </c>
      <c r="B32" s="7" t="s">
        <v>191</v>
      </c>
      <c r="C32" s="33" t="s">
        <v>15</v>
      </c>
      <c r="D32" s="83" t="s">
        <v>194</v>
      </c>
      <c r="E32" s="11" t="s">
        <v>193</v>
      </c>
      <c r="F32" s="12" t="s">
        <v>194</v>
      </c>
    </row>
    <row r="33" spans="1:6" s="2" customFormat="1" x14ac:dyDescent="0.25">
      <c r="A33" s="58" t="s">
        <v>198</v>
      </c>
      <c r="B33" s="7" t="s">
        <v>196</v>
      </c>
      <c r="C33" s="33" t="s">
        <v>15</v>
      </c>
      <c r="D33" s="83" t="e">
        <f>IF(INSPIRE!#REF!="Conforme",1,IF(INSPIRE!#REF!="Pas Conforme",0,""))</f>
        <v>#REF!</v>
      </c>
      <c r="E33" s="11" t="s">
        <v>197</v>
      </c>
      <c r="F33" s="12">
        <v>1</v>
      </c>
    </row>
    <row r="34" spans="1:6" s="2" customFormat="1" x14ac:dyDescent="0.25">
      <c r="A34" s="58" t="s">
        <v>202</v>
      </c>
      <c r="B34" s="7" t="s">
        <v>199</v>
      </c>
      <c r="C34" s="33" t="s">
        <v>15</v>
      </c>
      <c r="D34" s="83"/>
      <c r="E34" s="11" t="s">
        <v>200</v>
      </c>
      <c r="F34" s="12" t="s">
        <v>5557</v>
      </c>
    </row>
  </sheetData>
  <dataValidations disablePrompts="1" count="1">
    <dataValidation type="list" allowBlank="1" showInputMessage="1" showErrorMessage="1" sqref="D26">
      <formula1>Methode_evaluation</formula1>
    </dataValidation>
  </dataValidations>
  <hyperlinks>
    <hyperlink ref="G6" r:id="rId1"/>
    <hyperlink ref="G11" r:id="rId2"/>
    <hyperlink ref="G13" r:id="rId3"/>
    <hyperlink ref="G14" r:id="rId4"/>
    <hyperlink ref="G15" r:id="rId5"/>
    <hyperlink ref="G16" r:id="rId6"/>
    <hyperlink ref="G2" r:id="rId7"/>
    <hyperlink ref="G3" r:id="rId8"/>
    <hyperlink ref="G4" r:id="rId9"/>
    <hyperlink ref="G5" r:id="rId10"/>
  </hyperlinks>
  <pageMargins left="0.7" right="0.7" top="0.75" bottom="0.75" header="0.3" footer="0.3"/>
  <pageSetup paperSize="9" orientation="portrait" r:id="rId11"/>
  <legacyDrawing r:id="rId1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rgb="FFFF0000"/>
  </sheetPr>
  <dimension ref="A1:B159"/>
  <sheetViews>
    <sheetView workbookViewId="0">
      <selection activeCell="B92" sqref="B92"/>
    </sheetView>
  </sheetViews>
  <sheetFormatPr defaultColWidth="9.140625" defaultRowHeight="15" x14ac:dyDescent="0.25"/>
  <cols>
    <col min="1" max="1" width="47.5703125" bestFit="1" customWidth="1"/>
    <col min="2" max="2" width="24.7109375" bestFit="1" customWidth="1"/>
  </cols>
  <sheetData>
    <row r="1" spans="1:2" x14ac:dyDescent="0.25">
      <c r="A1" s="63" t="s">
        <v>5584</v>
      </c>
      <c r="B1" s="63" t="s">
        <v>5585</v>
      </c>
    </row>
    <row r="2" spans="1:2" x14ac:dyDescent="0.25">
      <c r="A2" s="586" t="s">
        <v>5596</v>
      </c>
      <c r="B2" s="586"/>
    </row>
    <row r="3" spans="1:2" x14ac:dyDescent="0.25">
      <c r="A3" t="s">
        <v>5732</v>
      </c>
      <c r="B3" t="s">
        <v>5586</v>
      </c>
    </row>
    <row r="4" spans="1:2" x14ac:dyDescent="0.25">
      <c r="A4" t="s">
        <v>7</v>
      </c>
      <c r="B4" t="s">
        <v>5587</v>
      </c>
    </row>
    <row r="5" spans="1:2" x14ac:dyDescent="0.25">
      <c r="A5" t="s">
        <v>5738</v>
      </c>
      <c r="B5" t="s">
        <v>5588</v>
      </c>
    </row>
    <row r="6" spans="1:2" x14ac:dyDescent="0.25">
      <c r="A6" t="s">
        <v>8</v>
      </c>
      <c r="B6" t="s">
        <v>5589</v>
      </c>
    </row>
    <row r="7" spans="1:2" x14ac:dyDescent="0.25">
      <c r="A7" t="s">
        <v>5733</v>
      </c>
      <c r="B7" t="s">
        <v>5590</v>
      </c>
    </row>
    <row r="8" spans="1:2" x14ac:dyDescent="0.25">
      <c r="A8" t="s">
        <v>11097</v>
      </c>
      <c r="B8" t="s">
        <v>5591</v>
      </c>
    </row>
    <row r="9" spans="1:2" s="252" customFormat="1" x14ac:dyDescent="0.25">
      <c r="A9" s="252" t="s">
        <v>11098</v>
      </c>
      <c r="B9" s="252" t="s">
        <v>5591</v>
      </c>
    </row>
    <row r="10" spans="1:2" x14ac:dyDescent="0.25">
      <c r="A10" t="s">
        <v>5734</v>
      </c>
      <c r="B10" t="s">
        <v>5592</v>
      </c>
    </row>
    <row r="11" spans="1:2" x14ac:dyDescent="0.25">
      <c r="A11" t="s">
        <v>5735</v>
      </c>
      <c r="B11" t="s">
        <v>5593</v>
      </c>
    </row>
    <row r="12" spans="1:2" x14ac:dyDescent="0.25">
      <c r="A12" t="s">
        <v>5736</v>
      </c>
      <c r="B12" t="s">
        <v>5594</v>
      </c>
    </row>
    <row r="13" spans="1:2" x14ac:dyDescent="0.25">
      <c r="A13" s="50" t="s">
        <v>102</v>
      </c>
      <c r="B13" t="s">
        <v>5595</v>
      </c>
    </row>
    <row r="14" spans="1:2" x14ac:dyDescent="0.25">
      <c r="A14" t="s">
        <v>5737</v>
      </c>
      <c r="B14" t="s">
        <v>5597</v>
      </c>
    </row>
    <row r="15" spans="1:2" x14ac:dyDescent="0.25">
      <c r="A15" s="586" t="s">
        <v>5598</v>
      </c>
      <c r="B15" s="586"/>
    </row>
    <row r="16" spans="1:2" x14ac:dyDescent="0.25">
      <c r="A16" t="s">
        <v>97</v>
      </c>
      <c r="B16" t="s">
        <v>5600</v>
      </c>
    </row>
    <row r="17" spans="1:2" x14ac:dyDescent="0.25">
      <c r="A17" t="s">
        <v>94</v>
      </c>
      <c r="B17" t="s">
        <v>5601</v>
      </c>
    </row>
    <row r="18" spans="1:2" x14ac:dyDescent="0.25">
      <c r="A18" t="s">
        <v>5599</v>
      </c>
      <c r="B18" t="s">
        <v>5602</v>
      </c>
    </row>
    <row r="19" spans="1:2" x14ac:dyDescent="0.25">
      <c r="A19" s="586" t="s">
        <v>5603</v>
      </c>
      <c r="B19" s="586"/>
    </row>
    <row r="20" spans="1:2" x14ac:dyDescent="0.25">
      <c r="A20" s="55" t="s">
        <v>449</v>
      </c>
      <c r="B20" t="s">
        <v>5606</v>
      </c>
    </row>
    <row r="21" spans="1:2" x14ac:dyDescent="0.25">
      <c r="A21" s="55" t="s">
        <v>450</v>
      </c>
      <c r="B21" t="s">
        <v>5605</v>
      </c>
    </row>
    <row r="22" spans="1:2" x14ac:dyDescent="0.25">
      <c r="A22" s="55" t="s">
        <v>451</v>
      </c>
      <c r="B22" t="s">
        <v>253</v>
      </c>
    </row>
    <row r="23" spans="1:2" x14ac:dyDescent="0.25">
      <c r="A23" s="55" t="s">
        <v>452</v>
      </c>
      <c r="B23" t="s">
        <v>5607</v>
      </c>
    </row>
    <row r="24" spans="1:2" x14ac:dyDescent="0.25">
      <c r="A24" s="55" t="s">
        <v>365</v>
      </c>
      <c r="B24" t="s">
        <v>5604</v>
      </c>
    </row>
    <row r="25" spans="1:2" x14ac:dyDescent="0.25">
      <c r="A25" s="587" t="s">
        <v>174</v>
      </c>
      <c r="B25" s="587"/>
    </row>
    <row r="26" spans="1:2" x14ac:dyDescent="0.25">
      <c r="A26" s="55" t="s">
        <v>5559</v>
      </c>
      <c r="B26" t="s">
        <v>5609</v>
      </c>
    </row>
    <row r="27" spans="1:2" x14ac:dyDescent="0.25">
      <c r="A27" s="55" t="s">
        <v>5560</v>
      </c>
      <c r="B27" t="s">
        <v>5608</v>
      </c>
    </row>
    <row r="28" spans="1:2" x14ac:dyDescent="0.25">
      <c r="A28" s="55" t="s">
        <v>5561</v>
      </c>
      <c r="B28" t="s">
        <v>5610</v>
      </c>
    </row>
    <row r="29" spans="1:2" x14ac:dyDescent="0.25">
      <c r="A29" s="586" t="s">
        <v>116</v>
      </c>
      <c r="B29" s="586"/>
    </row>
    <row r="30" spans="1:2" x14ac:dyDescent="0.25">
      <c r="A30" t="s">
        <v>5611</v>
      </c>
      <c r="B30" t="s">
        <v>5611</v>
      </c>
    </row>
    <row r="31" spans="1:2" x14ac:dyDescent="0.25">
      <c r="A31" t="s">
        <v>5612</v>
      </c>
      <c r="B31" t="s">
        <v>5612</v>
      </c>
    </row>
    <row r="32" spans="1:2" x14ac:dyDescent="0.25">
      <c r="A32" t="s">
        <v>5613</v>
      </c>
      <c r="B32" t="s">
        <v>5613</v>
      </c>
    </row>
    <row r="33" spans="1:2" x14ac:dyDescent="0.25">
      <c r="A33" t="s">
        <v>5614</v>
      </c>
      <c r="B33" t="s">
        <v>5614</v>
      </c>
    </row>
    <row r="34" spans="1:2" x14ac:dyDescent="0.25">
      <c r="A34" t="s">
        <v>5616</v>
      </c>
      <c r="B34" t="s">
        <v>5616</v>
      </c>
    </row>
    <row r="35" spans="1:2" x14ac:dyDescent="0.25">
      <c r="A35" t="s">
        <v>5617</v>
      </c>
      <c r="B35" t="s">
        <v>5617</v>
      </c>
    </row>
    <row r="36" spans="1:2" x14ac:dyDescent="0.25">
      <c r="A36" t="s">
        <v>5618</v>
      </c>
      <c r="B36" t="s">
        <v>5618</v>
      </c>
    </row>
    <row r="37" spans="1:2" x14ac:dyDescent="0.25">
      <c r="A37" t="s">
        <v>5619</v>
      </c>
      <c r="B37" t="s">
        <v>5619</v>
      </c>
    </row>
    <row r="38" spans="1:2" x14ac:dyDescent="0.25">
      <c r="A38" t="s">
        <v>5620</v>
      </c>
      <c r="B38" t="s">
        <v>5620</v>
      </c>
    </row>
    <row r="39" spans="1:2" x14ac:dyDescent="0.25">
      <c r="A39" t="s">
        <v>5621</v>
      </c>
      <c r="B39" t="s">
        <v>5621</v>
      </c>
    </row>
    <row r="40" spans="1:2" x14ac:dyDescent="0.25">
      <c r="A40" t="s">
        <v>5622</v>
      </c>
      <c r="B40" t="s">
        <v>5622</v>
      </c>
    </row>
    <row r="41" spans="1:2" x14ac:dyDescent="0.25">
      <c r="A41" t="s">
        <v>5623</v>
      </c>
      <c r="B41" t="s">
        <v>5623</v>
      </c>
    </row>
    <row r="42" spans="1:2" x14ac:dyDescent="0.25">
      <c r="A42" t="s">
        <v>5624</v>
      </c>
      <c r="B42" t="s">
        <v>5624</v>
      </c>
    </row>
    <row r="43" spans="1:2" x14ac:dyDescent="0.25">
      <c r="A43" t="s">
        <v>5625</v>
      </c>
      <c r="B43" t="s">
        <v>5625</v>
      </c>
    </row>
    <row r="44" spans="1:2" x14ac:dyDescent="0.25">
      <c r="A44" t="s">
        <v>5626</v>
      </c>
      <c r="B44" t="s">
        <v>5626</v>
      </c>
    </row>
    <row r="45" spans="1:2" x14ac:dyDescent="0.25">
      <c r="A45" t="s">
        <v>5627</v>
      </c>
      <c r="B45" t="s">
        <v>5627</v>
      </c>
    </row>
    <row r="46" spans="1:2" x14ac:dyDescent="0.25">
      <c r="A46" t="s">
        <v>5628</v>
      </c>
      <c r="B46" t="s">
        <v>5628</v>
      </c>
    </row>
    <row r="47" spans="1:2" x14ac:dyDescent="0.25">
      <c r="A47" t="s">
        <v>5629</v>
      </c>
      <c r="B47" t="s">
        <v>5629</v>
      </c>
    </row>
    <row r="48" spans="1:2" x14ac:dyDescent="0.25">
      <c r="A48" t="s">
        <v>5630</v>
      </c>
      <c r="B48" t="s">
        <v>5630</v>
      </c>
    </row>
    <row r="49" spans="1:2" x14ac:dyDescent="0.25">
      <c r="A49" t="s">
        <v>5631</v>
      </c>
      <c r="B49" t="s">
        <v>5631</v>
      </c>
    </row>
    <row r="50" spans="1:2" x14ac:dyDescent="0.25">
      <c r="A50" t="s">
        <v>5632</v>
      </c>
      <c r="B50" t="s">
        <v>5632</v>
      </c>
    </row>
    <row r="51" spans="1:2" x14ac:dyDescent="0.25">
      <c r="A51" t="s">
        <v>5633</v>
      </c>
      <c r="B51" t="s">
        <v>5633</v>
      </c>
    </row>
    <row r="52" spans="1:2" x14ac:dyDescent="0.25">
      <c r="A52" t="s">
        <v>5634</v>
      </c>
      <c r="B52" t="s">
        <v>5634</v>
      </c>
    </row>
    <row r="53" spans="1:2" x14ac:dyDescent="0.25">
      <c r="A53" t="s">
        <v>5635</v>
      </c>
      <c r="B53" t="s">
        <v>5635</v>
      </c>
    </row>
    <row r="54" spans="1:2" x14ac:dyDescent="0.25">
      <c r="A54" t="s">
        <v>5636</v>
      </c>
      <c r="B54" t="s">
        <v>5636</v>
      </c>
    </row>
    <row r="55" spans="1:2" x14ac:dyDescent="0.25">
      <c r="A55" t="s">
        <v>5637</v>
      </c>
      <c r="B55" t="s">
        <v>5637</v>
      </c>
    </row>
    <row r="56" spans="1:2" x14ac:dyDescent="0.25">
      <c r="A56" t="s">
        <v>5638</v>
      </c>
      <c r="B56" t="s">
        <v>5638</v>
      </c>
    </row>
    <row r="57" spans="1:2" x14ac:dyDescent="0.25">
      <c r="A57" t="s">
        <v>5639</v>
      </c>
      <c r="B57" t="s">
        <v>5639</v>
      </c>
    </row>
    <row r="58" spans="1:2" x14ac:dyDescent="0.25">
      <c r="A58" s="584" t="s">
        <v>5545</v>
      </c>
      <c r="B58" s="584"/>
    </row>
    <row r="59" spans="1:2" x14ac:dyDescent="0.25">
      <c r="A59" s="92" t="s">
        <v>10853</v>
      </c>
      <c r="B59" t="s">
        <v>5640</v>
      </c>
    </row>
    <row r="60" spans="1:2" x14ac:dyDescent="0.25">
      <c r="A60" s="92" t="s">
        <v>5569</v>
      </c>
      <c r="B60" t="s">
        <v>5641</v>
      </c>
    </row>
    <row r="61" spans="1:2" x14ac:dyDescent="0.25">
      <c r="A61" s="92" t="s">
        <v>10852</v>
      </c>
      <c r="B61" t="s">
        <v>5642</v>
      </c>
    </row>
    <row r="62" spans="1:2" x14ac:dyDescent="0.25">
      <c r="A62" s="92" t="s">
        <v>10851</v>
      </c>
      <c r="B62" t="s">
        <v>5643</v>
      </c>
    </row>
    <row r="63" spans="1:2" x14ac:dyDescent="0.25">
      <c r="A63" s="92" t="s">
        <v>106</v>
      </c>
      <c r="B63" t="s">
        <v>5644</v>
      </c>
    </row>
    <row r="64" spans="1:2" x14ac:dyDescent="0.25">
      <c r="A64" s="586" t="s">
        <v>357</v>
      </c>
      <c r="B64" s="586"/>
    </row>
    <row r="65" spans="1:2" x14ac:dyDescent="0.25">
      <c r="A65" t="s">
        <v>377</v>
      </c>
      <c r="B65" t="s">
        <v>5645</v>
      </c>
    </row>
    <row r="66" spans="1:2" x14ac:dyDescent="0.25">
      <c r="A66" t="s">
        <v>292</v>
      </c>
      <c r="B66" t="s">
        <v>5646</v>
      </c>
    </row>
    <row r="67" spans="1:2" x14ac:dyDescent="0.25">
      <c r="A67" t="s">
        <v>378</v>
      </c>
      <c r="B67" t="s">
        <v>5647</v>
      </c>
    </row>
    <row r="68" spans="1:2" x14ac:dyDescent="0.25">
      <c r="A68" t="s">
        <v>379</v>
      </c>
      <c r="B68" t="s">
        <v>5648</v>
      </c>
    </row>
    <row r="69" spans="1:2" x14ac:dyDescent="0.25">
      <c r="A69" t="s">
        <v>380</v>
      </c>
      <c r="B69" t="s">
        <v>5649</v>
      </c>
    </row>
    <row r="70" spans="1:2" x14ac:dyDescent="0.25">
      <c r="A70" s="587" t="s">
        <v>5546</v>
      </c>
      <c r="B70" s="587"/>
    </row>
    <row r="71" spans="1:2" x14ac:dyDescent="0.25">
      <c r="A71" s="55" t="s">
        <v>5570</v>
      </c>
      <c r="B71" t="s">
        <v>5656</v>
      </c>
    </row>
    <row r="72" spans="1:2" x14ac:dyDescent="0.25">
      <c r="A72" s="55" t="s">
        <v>5571</v>
      </c>
      <c r="B72" t="s">
        <v>5655</v>
      </c>
    </row>
    <row r="73" spans="1:2" x14ac:dyDescent="0.25">
      <c r="A73" s="55" t="s">
        <v>5572</v>
      </c>
      <c r="B73" t="s">
        <v>5653</v>
      </c>
    </row>
    <row r="74" spans="1:2" x14ac:dyDescent="0.25">
      <c r="A74" s="55" t="s">
        <v>5573</v>
      </c>
      <c r="B74" t="s">
        <v>5650</v>
      </c>
    </row>
    <row r="75" spans="1:2" x14ac:dyDescent="0.25">
      <c r="A75" s="55" t="s">
        <v>5574</v>
      </c>
      <c r="B75" t="s">
        <v>5652</v>
      </c>
    </row>
    <row r="76" spans="1:2" x14ac:dyDescent="0.25">
      <c r="A76" s="55" t="s">
        <v>5575</v>
      </c>
      <c r="B76" t="s">
        <v>5660</v>
      </c>
    </row>
    <row r="77" spans="1:2" x14ac:dyDescent="0.25">
      <c r="A77" s="55" t="s">
        <v>5576</v>
      </c>
      <c r="B77" t="s">
        <v>5658</v>
      </c>
    </row>
    <row r="78" spans="1:2" x14ac:dyDescent="0.25">
      <c r="A78" s="55" t="s">
        <v>5577</v>
      </c>
      <c r="B78" t="s">
        <v>5651</v>
      </c>
    </row>
    <row r="79" spans="1:2" x14ac:dyDescent="0.25">
      <c r="A79" s="55" t="s">
        <v>5578</v>
      </c>
      <c r="B79" t="s">
        <v>5657</v>
      </c>
    </row>
    <row r="80" spans="1:2" x14ac:dyDescent="0.25">
      <c r="A80" s="55" t="s">
        <v>5579</v>
      </c>
      <c r="B80" t="s">
        <v>5654</v>
      </c>
    </row>
    <row r="81" spans="1:2" x14ac:dyDescent="0.25">
      <c r="A81" s="55" t="s">
        <v>5580</v>
      </c>
      <c r="B81" t="s">
        <v>5659</v>
      </c>
    </row>
    <row r="82" spans="1:2" x14ac:dyDescent="0.25">
      <c r="A82" s="55" t="s">
        <v>5581</v>
      </c>
      <c r="B82" t="s">
        <v>5661</v>
      </c>
    </row>
    <row r="83" spans="1:2" x14ac:dyDescent="0.25">
      <c r="A83" s="590" t="s">
        <v>371</v>
      </c>
      <c r="B83" s="590"/>
    </row>
    <row r="84" spans="1:2" x14ac:dyDescent="0.25">
      <c r="A84" t="s">
        <v>324</v>
      </c>
      <c r="B84" t="s">
        <v>5663</v>
      </c>
    </row>
    <row r="85" spans="1:2" x14ac:dyDescent="0.25">
      <c r="A85" t="s">
        <v>325</v>
      </c>
      <c r="B85" t="s">
        <v>5664</v>
      </c>
    </row>
    <row r="86" spans="1:2" x14ac:dyDescent="0.25">
      <c r="A86" t="s">
        <v>326</v>
      </c>
      <c r="B86" t="s">
        <v>5665</v>
      </c>
    </row>
    <row r="87" spans="1:2" x14ac:dyDescent="0.25">
      <c r="A87" t="s">
        <v>327</v>
      </c>
      <c r="B87" t="s">
        <v>5666</v>
      </c>
    </row>
    <row r="88" spans="1:2" x14ac:dyDescent="0.25">
      <c r="A88" t="s">
        <v>328</v>
      </c>
      <c r="B88" t="s">
        <v>5667</v>
      </c>
    </row>
    <row r="89" spans="1:2" x14ac:dyDescent="0.25">
      <c r="A89" t="s">
        <v>329</v>
      </c>
      <c r="B89" t="s">
        <v>5668</v>
      </c>
    </row>
    <row r="90" spans="1:2" x14ac:dyDescent="0.25">
      <c r="A90" t="s">
        <v>330</v>
      </c>
      <c r="B90" t="s">
        <v>5669</v>
      </c>
    </row>
    <row r="91" spans="1:2" x14ac:dyDescent="0.25">
      <c r="A91" s="587" t="s">
        <v>5547</v>
      </c>
      <c r="B91" s="587"/>
    </row>
    <row r="92" spans="1:2" x14ac:dyDescent="0.25">
      <c r="A92" t="s">
        <v>5562</v>
      </c>
      <c r="B92" t="s">
        <v>5676</v>
      </c>
    </row>
    <row r="93" spans="1:2" x14ac:dyDescent="0.25">
      <c r="A93" t="s">
        <v>5563</v>
      </c>
      <c r="B93" t="s">
        <v>5671</v>
      </c>
    </row>
    <row r="94" spans="1:2" x14ac:dyDescent="0.25">
      <c r="A94" t="s">
        <v>5564</v>
      </c>
      <c r="B94" t="s">
        <v>5672</v>
      </c>
    </row>
    <row r="95" spans="1:2" x14ac:dyDescent="0.25">
      <c r="A95" t="s">
        <v>5565</v>
      </c>
      <c r="B95" t="s">
        <v>5675</v>
      </c>
    </row>
    <row r="96" spans="1:2" x14ac:dyDescent="0.25">
      <c r="A96" t="s">
        <v>5566</v>
      </c>
      <c r="B96" t="s">
        <v>5670</v>
      </c>
    </row>
    <row r="97" spans="1:2" x14ac:dyDescent="0.25">
      <c r="A97" t="s">
        <v>5567</v>
      </c>
      <c r="B97" t="s">
        <v>5674</v>
      </c>
    </row>
    <row r="98" spans="1:2" x14ac:dyDescent="0.25">
      <c r="A98" t="s">
        <v>5568</v>
      </c>
      <c r="B98" t="s">
        <v>5673</v>
      </c>
    </row>
    <row r="99" spans="1:2" x14ac:dyDescent="0.25">
      <c r="A99" t="s">
        <v>5569</v>
      </c>
      <c r="B99" t="s">
        <v>5641</v>
      </c>
    </row>
    <row r="100" spans="1:2" x14ac:dyDescent="0.25">
      <c r="A100" s="588" t="s">
        <v>107</v>
      </c>
      <c r="B100" s="588"/>
    </row>
    <row r="101" spans="1:2" x14ac:dyDescent="0.25">
      <c r="A101" s="55" t="s">
        <v>108</v>
      </c>
      <c r="B101" t="s">
        <v>5677</v>
      </c>
    </row>
    <row r="102" spans="1:2" x14ac:dyDescent="0.25">
      <c r="A102" s="55" t="s">
        <v>372</v>
      </c>
      <c r="B102" t="s">
        <v>5678</v>
      </c>
    </row>
    <row r="103" spans="1:2" x14ac:dyDescent="0.25">
      <c r="A103" s="55" t="s">
        <v>373</v>
      </c>
      <c r="B103" t="s">
        <v>5679</v>
      </c>
    </row>
    <row r="104" spans="1:2" x14ac:dyDescent="0.25">
      <c r="A104" s="55" t="s">
        <v>374</v>
      </c>
      <c r="B104" t="s">
        <v>5680</v>
      </c>
    </row>
    <row r="105" spans="1:2" x14ac:dyDescent="0.25">
      <c r="A105" s="56" t="s">
        <v>5548</v>
      </c>
      <c r="B105" t="s">
        <v>5681</v>
      </c>
    </row>
    <row r="106" spans="1:2" x14ac:dyDescent="0.25">
      <c r="A106" s="55" t="s">
        <v>5549</v>
      </c>
      <c r="B106" t="s">
        <v>5682</v>
      </c>
    </row>
    <row r="107" spans="1:2" x14ac:dyDescent="0.25">
      <c r="A107" s="589" t="s">
        <v>122</v>
      </c>
      <c r="B107" s="589"/>
    </row>
    <row r="108" spans="1:2" x14ac:dyDescent="0.25">
      <c r="A108" s="56" t="s">
        <v>279</v>
      </c>
      <c r="B108" t="s">
        <v>5683</v>
      </c>
    </row>
    <row r="109" spans="1:2" x14ac:dyDescent="0.25">
      <c r="A109" s="56" t="s">
        <v>280</v>
      </c>
      <c r="B109" t="s">
        <v>5688</v>
      </c>
    </row>
    <row r="110" spans="1:2" x14ac:dyDescent="0.25">
      <c r="A110" s="56" t="s">
        <v>281</v>
      </c>
      <c r="B110" t="s">
        <v>5684</v>
      </c>
    </row>
    <row r="111" spans="1:2" x14ac:dyDescent="0.25">
      <c r="A111" s="56" t="s">
        <v>282</v>
      </c>
      <c r="B111" t="s">
        <v>5697</v>
      </c>
    </row>
    <row r="112" spans="1:2" x14ac:dyDescent="0.25">
      <c r="A112" s="56" t="s">
        <v>283</v>
      </c>
      <c r="B112" t="s">
        <v>5692</v>
      </c>
    </row>
    <row r="113" spans="1:2" x14ac:dyDescent="0.25">
      <c r="A113" s="56" t="s">
        <v>284</v>
      </c>
      <c r="B113" t="s">
        <v>5686</v>
      </c>
    </row>
    <row r="114" spans="1:2" x14ac:dyDescent="0.25">
      <c r="A114" s="56" t="s">
        <v>285</v>
      </c>
      <c r="B114" t="s">
        <v>5699</v>
      </c>
    </row>
    <row r="115" spans="1:2" x14ac:dyDescent="0.25">
      <c r="A115" s="56" t="s">
        <v>286</v>
      </c>
      <c r="B115" t="s">
        <v>5694</v>
      </c>
    </row>
    <row r="116" spans="1:2" x14ac:dyDescent="0.25">
      <c r="A116" s="56" t="s">
        <v>287</v>
      </c>
      <c r="B116" t="s">
        <v>5687</v>
      </c>
    </row>
    <row r="117" spans="1:2" x14ac:dyDescent="0.25">
      <c r="A117" s="56" t="s">
        <v>288</v>
      </c>
      <c r="B117" t="s">
        <v>5689</v>
      </c>
    </row>
    <row r="118" spans="1:2" x14ac:dyDescent="0.25">
      <c r="A118" s="56" t="s">
        <v>289</v>
      </c>
      <c r="B118" t="s">
        <v>5700</v>
      </c>
    </row>
    <row r="119" spans="1:2" x14ac:dyDescent="0.25">
      <c r="A119" s="56" t="s">
        <v>290</v>
      </c>
      <c r="B119" t="s">
        <v>5693</v>
      </c>
    </row>
    <row r="120" spans="1:2" x14ac:dyDescent="0.25">
      <c r="A120" s="56" t="s">
        <v>291</v>
      </c>
      <c r="B120" t="s">
        <v>5685</v>
      </c>
    </row>
    <row r="121" spans="1:2" x14ac:dyDescent="0.25">
      <c r="A121" s="56" t="s">
        <v>292</v>
      </c>
      <c r="B121" t="s">
        <v>5695</v>
      </c>
    </row>
    <row r="122" spans="1:2" x14ac:dyDescent="0.25">
      <c r="A122" s="56" t="s">
        <v>293</v>
      </c>
      <c r="B122" t="s">
        <v>5696</v>
      </c>
    </row>
    <row r="123" spans="1:2" x14ac:dyDescent="0.25">
      <c r="A123" s="56" t="s">
        <v>294</v>
      </c>
      <c r="B123" t="s">
        <v>5691</v>
      </c>
    </row>
    <row r="124" spans="1:2" x14ac:dyDescent="0.25">
      <c r="A124" s="56" t="s">
        <v>295</v>
      </c>
      <c r="B124" t="s">
        <v>5690</v>
      </c>
    </row>
    <row r="125" spans="1:2" x14ac:dyDescent="0.25">
      <c r="A125" s="56" t="s">
        <v>296</v>
      </c>
      <c r="B125" t="s">
        <v>5698</v>
      </c>
    </row>
    <row r="126" spans="1:2" x14ac:dyDescent="0.25">
      <c r="A126" s="56" t="s">
        <v>297</v>
      </c>
      <c r="B126" t="s">
        <v>5701</v>
      </c>
    </row>
    <row r="127" spans="1:2" x14ac:dyDescent="0.25">
      <c r="A127" s="585" t="s">
        <v>5748</v>
      </c>
      <c r="B127" s="585"/>
    </row>
    <row r="128" spans="1:2" x14ac:dyDescent="0.25">
      <c r="A128" t="s">
        <v>5703</v>
      </c>
      <c r="B128" t="s">
        <v>5702</v>
      </c>
    </row>
    <row r="129" spans="1:2" x14ac:dyDescent="0.25">
      <c r="A129" t="s">
        <v>5705</v>
      </c>
      <c r="B129" t="s">
        <v>5704</v>
      </c>
    </row>
    <row r="130" spans="1:2" x14ac:dyDescent="0.25">
      <c r="A130" t="s">
        <v>5749</v>
      </c>
      <c r="B130" t="s">
        <v>5706</v>
      </c>
    </row>
    <row r="131" spans="1:2" x14ac:dyDescent="0.25">
      <c r="A131" t="s">
        <v>5750</v>
      </c>
      <c r="B131" t="s">
        <v>5707</v>
      </c>
    </row>
    <row r="132" spans="1:2" x14ac:dyDescent="0.25">
      <c r="A132" t="s">
        <v>409</v>
      </c>
      <c r="B132" t="s">
        <v>2288</v>
      </c>
    </row>
    <row r="133" spans="1:2" x14ac:dyDescent="0.25">
      <c r="A133" t="s">
        <v>5741</v>
      </c>
      <c r="B133" t="s">
        <v>5724</v>
      </c>
    </row>
    <row r="134" spans="1:2" x14ac:dyDescent="0.25">
      <c r="A134" t="s">
        <v>5709</v>
      </c>
      <c r="B134" t="s">
        <v>5708</v>
      </c>
    </row>
    <row r="135" spans="1:2" x14ac:dyDescent="0.25">
      <c r="A135" t="s">
        <v>5711</v>
      </c>
      <c r="B135" t="s">
        <v>5710</v>
      </c>
    </row>
    <row r="136" spans="1:2" x14ac:dyDescent="0.25">
      <c r="A136" t="s">
        <v>5713</v>
      </c>
      <c r="B136" t="s">
        <v>5712</v>
      </c>
    </row>
    <row r="137" spans="1:2" x14ac:dyDescent="0.25">
      <c r="A137" t="s">
        <v>5715</v>
      </c>
      <c r="B137" t="s">
        <v>5714</v>
      </c>
    </row>
    <row r="138" spans="1:2" x14ac:dyDescent="0.25">
      <c r="A138" t="s">
        <v>5717</v>
      </c>
      <c r="B138" t="s">
        <v>5716</v>
      </c>
    </row>
    <row r="139" spans="1:2" x14ac:dyDescent="0.25">
      <c r="B139" t="s">
        <v>5719</v>
      </c>
    </row>
    <row r="140" spans="1:2" x14ac:dyDescent="0.25">
      <c r="B140" t="s">
        <v>5720</v>
      </c>
    </row>
    <row r="141" spans="1:2" x14ac:dyDescent="0.25">
      <c r="B141" t="s">
        <v>5721</v>
      </c>
    </row>
    <row r="142" spans="1:2" x14ac:dyDescent="0.25">
      <c r="B142" t="s">
        <v>5722</v>
      </c>
    </row>
    <row r="143" spans="1:2" x14ac:dyDescent="0.25">
      <c r="B143" t="s">
        <v>5723</v>
      </c>
    </row>
    <row r="144" spans="1:2" x14ac:dyDescent="0.25">
      <c r="B144" t="s">
        <v>5725</v>
      </c>
    </row>
    <row r="145" spans="1:2" x14ac:dyDescent="0.25">
      <c r="A145" s="586" t="s">
        <v>5726</v>
      </c>
      <c r="B145" s="586"/>
    </row>
    <row r="146" spans="1:2" x14ac:dyDescent="0.25">
      <c r="A146" t="s">
        <v>10</v>
      </c>
      <c r="B146" t="s">
        <v>5729</v>
      </c>
    </row>
    <row r="147" spans="1:2" x14ac:dyDescent="0.25">
      <c r="A147" s="49" t="s">
        <v>10994</v>
      </c>
      <c r="B147" s="49" t="s">
        <v>11008</v>
      </c>
    </row>
    <row r="148" spans="1:2" x14ac:dyDescent="0.25">
      <c r="A148" t="s">
        <v>5727</v>
      </c>
      <c r="B148" t="s">
        <v>5728</v>
      </c>
    </row>
    <row r="149" spans="1:2" s="252" customFormat="1" x14ac:dyDescent="0.25">
      <c r="A149" s="584" t="s">
        <v>5662</v>
      </c>
      <c r="B149" s="584"/>
    </row>
    <row r="150" spans="1:2" s="252" customFormat="1" x14ac:dyDescent="0.25">
      <c r="A150" s="252" t="s">
        <v>11058</v>
      </c>
      <c r="B150" s="252" t="s">
        <v>11054</v>
      </c>
    </row>
    <row r="151" spans="1:2" s="252" customFormat="1" x14ac:dyDescent="0.25">
      <c r="A151" s="252" t="s">
        <v>11059</v>
      </c>
      <c r="B151" s="252" t="s">
        <v>11055</v>
      </c>
    </row>
    <row r="152" spans="1:2" s="252" customFormat="1" x14ac:dyDescent="0.25">
      <c r="A152" s="252" t="s">
        <v>11060</v>
      </c>
      <c r="B152" s="252" t="s">
        <v>11056</v>
      </c>
    </row>
    <row r="153" spans="1:2" s="252" customFormat="1" x14ac:dyDescent="0.25">
      <c r="A153" s="252" t="s">
        <v>11061</v>
      </c>
      <c r="B153" s="252" t="s">
        <v>11057</v>
      </c>
    </row>
    <row r="154" spans="1:2" s="252" customFormat="1" x14ac:dyDescent="0.25"/>
    <row r="156" spans="1:2" x14ac:dyDescent="0.25">
      <c r="A156" t="s">
        <v>10385</v>
      </c>
    </row>
    <row r="157" spans="1:2" x14ac:dyDescent="0.25">
      <c r="A157" t="s">
        <v>11360</v>
      </c>
      <c r="B157">
        <v>31370</v>
      </c>
    </row>
    <row r="158" spans="1:2" x14ac:dyDescent="0.25">
      <c r="A158" t="s">
        <v>11359</v>
      </c>
      <c r="B158">
        <v>3812</v>
      </c>
    </row>
    <row r="159" spans="1:2" x14ac:dyDescent="0.25">
      <c r="A159" t="s">
        <v>11358</v>
      </c>
      <c r="B159">
        <v>4326</v>
      </c>
    </row>
  </sheetData>
  <mergeCells count="15">
    <mergeCell ref="A149:B149"/>
    <mergeCell ref="A127:B127"/>
    <mergeCell ref="A145:B145"/>
    <mergeCell ref="A2:B2"/>
    <mergeCell ref="A15:B15"/>
    <mergeCell ref="A19:B19"/>
    <mergeCell ref="A25:B25"/>
    <mergeCell ref="A29:B29"/>
    <mergeCell ref="A100:B100"/>
    <mergeCell ref="A107:B107"/>
    <mergeCell ref="A58:B58"/>
    <mergeCell ref="A64:B64"/>
    <mergeCell ref="A70:B70"/>
    <mergeCell ref="A83:B83"/>
    <mergeCell ref="A91:B9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59</vt:i4>
      </vt:variant>
    </vt:vector>
  </HeadingPairs>
  <TitlesOfParts>
    <vt:vector size="76" baseType="lpstr">
      <vt:lpstr>Accueil-Instructions</vt:lpstr>
      <vt:lpstr>Qualité_ressource</vt:lpstr>
      <vt:lpstr>thesauri_details</vt:lpstr>
      <vt:lpstr>thesauri</vt:lpstr>
      <vt:lpstr>Listes</vt:lpstr>
      <vt:lpstr>Sheet2</vt:lpstr>
      <vt:lpstr>Identification</vt:lpstr>
      <vt:lpstr>Description</vt:lpstr>
      <vt:lpstr>Contacts</vt:lpstr>
      <vt:lpstr>Accès et utilisation</vt:lpstr>
      <vt:lpstr>Distribution</vt:lpstr>
      <vt:lpstr>Qualité</vt:lpstr>
      <vt:lpstr>INSPIRE</vt:lpstr>
      <vt:lpstr>Plus d'info</vt:lpstr>
      <vt:lpstr>synthese</vt:lpstr>
      <vt:lpstr>Valeurs fixes</vt:lpstr>
      <vt:lpstr>Codelist_ISO</vt:lpstr>
      <vt:lpstr>acces_limite</vt:lpstr>
      <vt:lpstr>carte_statique</vt:lpstr>
      <vt:lpstr>Champ</vt:lpstr>
      <vt:lpstr>code_classification</vt:lpstr>
      <vt:lpstr>Cond</vt:lpstr>
      <vt:lpstr>Cond_utilisation</vt:lpstr>
      <vt:lpstr>conditions_utilisations</vt:lpstr>
      <vt:lpstr>conformance_pass</vt:lpstr>
      <vt:lpstr>Contraintes_acces</vt:lpstr>
      <vt:lpstr>denominator</vt:lpstr>
      <vt:lpstr>Descri_ressource_en_ligne</vt:lpstr>
      <vt:lpstr>Distance</vt:lpstr>
      <vt:lpstr>EPSG</vt:lpstr>
      <vt:lpstr>Fonction_ressource_en_ligne</vt:lpstr>
      <vt:lpstr>Format_distri</vt:lpstr>
      <vt:lpstr>Format_vignette</vt:lpstr>
      <vt:lpstr>Frequence_maintenance</vt:lpstr>
      <vt:lpstr>full_online2</vt:lpstr>
      <vt:lpstr>hierachy_level2</vt:lpstr>
      <vt:lpstr>hierarchylevel</vt:lpstr>
      <vt:lpstr>INSPIRE</vt:lpstr>
      <vt:lpstr>INSPIREConf</vt:lpstr>
      <vt:lpstr>ISO_Topic</vt:lpstr>
      <vt:lpstr>keywords2</vt:lpstr>
      <vt:lpstr>Langues</vt:lpstr>
      <vt:lpstr>Liste_DB</vt:lpstr>
      <vt:lpstr>Local_Code</vt:lpstr>
      <vt:lpstr>mediumNameCOde</vt:lpstr>
      <vt:lpstr>mesure_qualité</vt:lpstr>
      <vt:lpstr>Methode_evaluation</vt:lpstr>
      <vt:lpstr>mots_cles_tech_INFRASIG</vt:lpstr>
      <vt:lpstr>offline</vt:lpstr>
      <vt:lpstr>Offline_2</vt:lpstr>
      <vt:lpstr>online_full</vt:lpstr>
      <vt:lpstr>principal</vt:lpstr>
      <vt:lpstr>Protocol_distri</vt:lpstr>
      <vt:lpstr>protocoles_contacts</vt:lpstr>
      <vt:lpstr>pt_contact</vt:lpstr>
      <vt:lpstr>Regime_acces</vt:lpstr>
      <vt:lpstr>regime_acces_ressource</vt:lpstr>
      <vt:lpstr>Repre_Spatial</vt:lpstr>
      <vt:lpstr>Role</vt:lpstr>
      <vt:lpstr>roles</vt:lpstr>
      <vt:lpstr>ScopeINSPIRE</vt:lpstr>
      <vt:lpstr>Séparateur</vt:lpstr>
      <vt:lpstr>service_visusalisation</vt:lpstr>
      <vt:lpstr>site_rapport</vt:lpstr>
      <vt:lpstr>Statut</vt:lpstr>
      <vt:lpstr>syst_coord</vt:lpstr>
      <vt:lpstr>Thèmes_GEMET</vt:lpstr>
      <vt:lpstr>Thèmes_GEMET_Concepts</vt:lpstr>
      <vt:lpstr>Thèmes_Géoportail</vt:lpstr>
      <vt:lpstr>Thèmes_INSPIRE</vt:lpstr>
      <vt:lpstr>Thèmes_ISO19115</vt:lpstr>
      <vt:lpstr>Thesauri</vt:lpstr>
      <vt:lpstr>Traduction_Themes_ISO</vt:lpstr>
      <vt:lpstr>Type_mot_cle</vt:lpstr>
      <vt:lpstr>type_ressource</vt:lpstr>
      <vt:lpstr>uselimitations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Francois Donnay</dc:creator>
  <cp:lastModifiedBy>Francois Donnay</cp:lastModifiedBy>
  <cp:lastPrinted>2014-05-28T11:05:42Z</cp:lastPrinted>
  <dcterms:created xsi:type="dcterms:W3CDTF">2014-03-14T15:58:08Z</dcterms:created>
  <dcterms:modified xsi:type="dcterms:W3CDTF">2014-11-12T13:22:48Z</dcterms:modified>
</cp:coreProperties>
</file>